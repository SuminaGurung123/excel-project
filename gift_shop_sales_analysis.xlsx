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Raw_Customers" sheetId="2" r:id="rId1"/>
    <sheet name="Raw_Orders" sheetId="3" r:id="rId2"/>
    <sheet name="Raw_Products" sheetId="4" r:id="rId3"/>
    <sheet name="Cleaned_Data" sheetId="5" r:id="rId4"/>
    <sheet name="Summary" sheetId="6" r:id="rId5"/>
    <sheet name="Dashboar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<sst xmlns="http://schemas.openxmlformats.org/spreadsheetml/2006/main" count="11116" uniqueCount="4284">
  <si>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</si>
  <si>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</si>
  <si>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</si>
  <si>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</si>
  <si>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</si>
  <si>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</si>
  <si>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</si>
  <si>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</si>
  <si>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</si>
  <si>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</si>
  <si>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+917193971454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</si>
  <si>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</si>
  <si>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</si>
  <si>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</si>
  <si>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</si>
  <si>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</si>
  <si>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</si>
  <si>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</si>
  <si>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</si>
  <si>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</si>
  <si>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</si>
  <si>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</si>
  <si>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</si>
  <si>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</si>
  <si>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</si>
  <si>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</si>
  <si>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</si>
  <si>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</si>
  <si>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</si>
  <si>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</si>
  <si>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</si>
  <si>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</si>
  <si>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</si>
  <si>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</si>
  <si>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</si>
  <si>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</si>
  <si>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</si>
  <si>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</si>
  <si>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</si>
  <si>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</si>
  <si>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</si>
  <si>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</si>
  <si>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+919363577179</t>
  </si>
  <si>
    <t>evaswamy@biswas-sekhon.com</t>
  </si>
  <si>
    <t>15/89, Dayal Chowk, Rohtak 586046</t>
  </si>
  <si>
    <t>C007</t>
  </si>
  <si>
    <t>Jayant Kamdar</t>
  </si>
  <si>
    <t>Berhampore</t>
  </si>
  <si>
    <t>+918576675504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</si>
  <si>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</si>
  <si>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</si>
  <si>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</si>
  <si>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</si>
  <si>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</si>
  <si>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</si>
  <si>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</si>
  <si>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</si>
  <si>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</si>
  <si>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</si>
  <si>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</si>
  <si>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</si>
  <si>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</si>
  <si>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</si>
  <si>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</si>
  <si>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</si>
  <si>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</si>
  <si>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</si>
  <si>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</si>
  <si>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</si>
  <si>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</si>
  <si>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</si>
  <si>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</si>
  <si>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+916173563562</t>
  </si>
  <si>
    <t>rsidhu@gmail.com</t>
  </si>
  <si>
    <t>53/710, Tailor Ganj, Gorakhpur-030540</t>
  </si>
  <si>
    <t>C012</t>
  </si>
  <si>
    <t>Onkar Mangat</t>
  </si>
  <si>
    <t>+919921125624</t>
  </si>
  <si>
    <t>oorjabassi@wali.com</t>
  </si>
  <si>
    <t>H.No. 460, Sankar Ganj
Tadipatri 227246</t>
  </si>
  <si>
    <t>C013</t>
  </si>
  <si>
    <t>Manikya Goswami</t>
  </si>
  <si>
    <t>Mangalore</t>
  </si>
  <si>
    <t>+912112817503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</si>
  <si>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</si>
  <si>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</si>
  <si>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</si>
  <si>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</si>
  <si>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</si>
  <si>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</si>
  <si>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</si>
  <si>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</si>
  <si>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</si>
  <si>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</si>
  <si>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</si>
  <si>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+918664164910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</si>
  <si>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</si>
  <si>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</si>
  <si>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</si>
  <si>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</si>
  <si>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</si>
  <si>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</si>
  <si>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</si>
  <si>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</si>
  <si>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</si>
  <si>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</si>
  <si>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</si>
  <si>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+912738556486</t>
  </si>
  <si>
    <t>pmaster@deol.com</t>
  </si>
  <si>
    <t>80/81, Varghese Chowk, Bidhannagar-928710</t>
  </si>
  <si>
    <t>C018</t>
  </si>
  <si>
    <t>Eva Vaidya</t>
  </si>
  <si>
    <t>Nizamabad</t>
  </si>
  <si>
    <t>+919080029661</t>
  </si>
  <si>
    <t>drishya20@kapadia.com</t>
  </si>
  <si>
    <t>34/29
Manne Circle, Ahmedabad 929297</t>
  </si>
  <si>
    <t>C019</t>
  </si>
  <si>
    <t>Amira Sengupta</t>
  </si>
  <si>
    <t>Danapur</t>
  </si>
  <si>
    <t>+914513393592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</si>
  <si>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</si>
  <si>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</si>
  <si>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</si>
  <si>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</si>
  <si>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</si>
  <si>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</si>
  <si>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</si>
  <si>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</si>
  <si>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</si>
  <si>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</si>
  <si>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</si>
  <si>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+915555408563</t>
  </si>
  <si>
    <t>hsunder@raman.info</t>
  </si>
  <si>
    <t>H.No. 617, Brahmbhatt Path, Madanapalle-879728</t>
  </si>
  <si>
    <t>C022</t>
  </si>
  <si>
    <t>Ivana Rout</t>
  </si>
  <si>
    <t>Khandwa</t>
  </si>
  <si>
    <t>+913111711777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</si>
  <si>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</si>
  <si>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</si>
  <si>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</si>
  <si>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</si>
  <si>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</si>
  <si>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</si>
  <si>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</si>
  <si>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</si>
  <si>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</si>
  <si>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</si>
  <si>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</si>
  <si>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+910316756360</t>
  </si>
  <si>
    <t>magarvardaniya@biswas.com</t>
  </si>
  <si>
    <t>827, Shere Nagar, Mangalore 084058</t>
  </si>
  <si>
    <t>C025</t>
  </si>
  <si>
    <t>Ira Bava</t>
  </si>
  <si>
    <t>Singrauli</t>
  </si>
  <si>
    <t>+917406193950</t>
  </si>
  <si>
    <t>rastogizain@yahoo.com</t>
  </si>
  <si>
    <t>13/846, Bajaj Road, Nangloi Jat-882740</t>
  </si>
  <si>
    <t>C026</t>
  </si>
  <si>
    <t>Ira Chahal</t>
  </si>
  <si>
    <t>Farrukhabad</t>
  </si>
  <si>
    <t>+918716483532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</si>
  <si>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</si>
  <si>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</si>
  <si>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</si>
  <si>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</si>
  <si>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</si>
  <si>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</si>
  <si>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</si>
  <si>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</si>
  <si>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</si>
  <si>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</si>
  <si>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</si>
  <si>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</si>
  <si>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</si>
  <si>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</si>
  <si>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</si>
  <si>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</si>
  <si>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</si>
  <si>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+912454360885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</si>
  <si>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</si>
  <si>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</si>
  <si>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</si>
  <si>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</si>
  <si>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</si>
  <si>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</si>
  <si>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</si>
  <si>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</si>
  <si>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</si>
  <si>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</si>
  <si>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</si>
  <si>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</si>
  <si>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</si>
  <si>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</si>
  <si>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</si>
  <si>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</si>
  <si>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</si>
  <si>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</si>
  <si>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</si>
  <si>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</si>
  <si>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</si>
  <si>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</si>
  <si>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</si>
  <si>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</si>
  <si>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</si>
  <si>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</si>
  <si>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</si>
  <si>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</si>
  <si>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</si>
  <si>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</si>
  <si>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</si>
  <si>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</si>
  <si>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</si>
  <si>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</si>
  <si>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</si>
  <si>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+916899648374</t>
  </si>
  <si>
    <t>zben@cherian.org</t>
  </si>
  <si>
    <t>63, Baria Circle
Siliguri 399443</t>
  </si>
  <si>
    <t>C036</t>
  </si>
  <si>
    <t>Biju Bajwa</t>
  </si>
  <si>
    <t>Dibrugarh</t>
  </si>
  <si>
    <t>+918721850071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</si>
  <si>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</si>
  <si>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</si>
  <si>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</si>
  <si>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</si>
  <si>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</si>
  <si>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</si>
  <si>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</si>
  <si>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</si>
  <si>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</si>
  <si>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</si>
  <si>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</si>
  <si>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</si>
  <si>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</si>
  <si>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</si>
  <si>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</si>
  <si>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</si>
  <si>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</si>
  <si>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+918804850295</t>
  </si>
  <si>
    <t>keerzara@deshpande-sandhu.net</t>
  </si>
  <si>
    <t>318
Chokshi Road, Miryalaguda-997025</t>
  </si>
  <si>
    <t>C040</t>
  </si>
  <si>
    <t>Hazel Mangat</t>
  </si>
  <si>
    <t>Pallavaram</t>
  </si>
  <si>
    <t>+918810621361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</si>
  <si>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</si>
  <si>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</si>
  <si>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</si>
  <si>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</si>
  <si>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</si>
  <si>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</si>
  <si>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</si>
  <si>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</si>
  <si>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</si>
  <si>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</si>
  <si>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</si>
  <si>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+916843169694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</si>
  <si>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</si>
  <si>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</si>
  <si>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</si>
  <si>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</si>
  <si>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</si>
  <si>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</si>
  <si>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</si>
  <si>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</si>
  <si>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</si>
  <si>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</si>
  <si>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</si>
  <si>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</si>
  <si>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</si>
  <si>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</si>
  <si>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</si>
  <si>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</si>
  <si>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</si>
  <si>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</si>
  <si>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</si>
  <si>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</si>
  <si>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</si>
  <si>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</si>
  <si>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+917543187237</t>
  </si>
  <si>
    <t>madanheer@gmail.com</t>
  </si>
  <si>
    <t>H.No. 26
Khurana, Kharagpur-183176</t>
  </si>
  <si>
    <t>C047</t>
  </si>
  <si>
    <t>Bhamini Ravi</t>
  </si>
  <si>
    <t>Jorhat</t>
  </si>
  <si>
    <t>+910798274175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</si>
  <si>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</si>
  <si>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</si>
  <si>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</si>
  <si>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</si>
  <si>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</si>
  <si>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</si>
  <si>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</si>
  <si>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</si>
  <si>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</si>
  <si>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</si>
  <si>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</si>
  <si>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</si>
  <si>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</si>
  <si>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</si>
  <si>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</si>
  <si>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</si>
  <si>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+911157961919</t>
  </si>
  <si>
    <t>xmand@hotmail.com</t>
  </si>
  <si>
    <t>80/683
Gandhi Zila
Amravati-523734</t>
  </si>
  <si>
    <t>C051</t>
  </si>
  <si>
    <t>Aradhya Batta</t>
  </si>
  <si>
    <t>Kota</t>
  </si>
  <si>
    <t>+911200621501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</si>
  <si>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</si>
  <si>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</si>
  <si>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</si>
  <si>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</si>
  <si>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</si>
  <si>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</si>
  <si>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</si>
  <si>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</si>
  <si>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</si>
  <si>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</si>
  <si>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</si>
  <si>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+918068004996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</si>
  <si>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</si>
  <si>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</si>
  <si>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</si>
  <si>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</si>
  <si>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</si>
  <si>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</si>
  <si>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</si>
  <si>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</si>
  <si>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</si>
  <si>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</si>
  <si>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</si>
  <si>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</si>
  <si>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</si>
  <si>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</si>
  <si>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</si>
  <si>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</si>
  <si>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</si>
  <si>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</si>
  <si>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</si>
  <si>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</si>
  <si>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</si>
  <si>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</si>
  <si>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</si>
  <si>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</si>
  <si>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</si>
  <si>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+919771604920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</si>
  <si>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</si>
  <si>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</si>
  <si>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</si>
  <si>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</si>
  <si>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</si>
  <si>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</si>
  <si>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</si>
  <si>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</si>
  <si>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</si>
  <si>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</si>
  <si>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</si>
  <si>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</si>
  <si>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</si>
  <si>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</si>
  <si>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</si>
  <si>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</si>
  <si>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</si>
  <si>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</si>
  <si>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</si>
  <si>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</si>
  <si>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</si>
  <si>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</si>
  <si>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+915915082470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</si>
  <si>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</si>
  <si>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</si>
  <si>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</si>
  <si>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</si>
  <si>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</si>
  <si>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</si>
  <si>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</si>
  <si>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</si>
  <si>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</si>
  <si>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</si>
  <si>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</si>
  <si>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+916181058210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</si>
  <si>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</si>
  <si>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</si>
  <si>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</si>
  <si>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</si>
  <si>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</si>
  <si>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</si>
  <si>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</si>
  <si>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</si>
  <si>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</si>
  <si>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</si>
  <si>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</si>
  <si>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</si>
  <si>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</si>
  <si>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</si>
  <si>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</si>
  <si>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</si>
  <si>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</si>
  <si>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</si>
  <si>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</si>
  <si>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</si>
  <si>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</si>
  <si>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</si>
  <si>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+913719858588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</si>
  <si>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</si>
  <si>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</si>
  <si>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</si>
  <si>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</si>
  <si>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</si>
  <si>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</si>
  <si>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</si>
  <si>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</si>
  <si>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</si>
  <si>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</si>
  <si>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</si>
  <si>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</si>
  <si>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</si>
  <si>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</si>
  <si>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</si>
  <si>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</si>
  <si>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</si>
  <si>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</si>
  <si>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</si>
  <si>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</si>
  <si>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</si>
  <si>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</si>
  <si>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</si>
  <si>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</si>
  <si>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</si>
  <si>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</si>
  <si>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</si>
  <si>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</si>
  <si>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+918037721297</t>
  </si>
  <si>
    <t>vardaniya27@yahoo.com</t>
  </si>
  <si>
    <t>63/76, Karan Street
Kanpur 487263</t>
  </si>
  <si>
    <t>C074</t>
  </si>
  <si>
    <t>Vanya Apte</t>
  </si>
  <si>
    <t>Sultan Pur Majra</t>
  </si>
  <si>
    <t>+919182523205</t>
  </si>
  <si>
    <t>gdoshi@gmail.com</t>
  </si>
  <si>
    <t>509, Shah Road, Medininagar 212721</t>
  </si>
  <si>
    <t>C075</t>
  </si>
  <si>
    <t>Yashvi Bansal</t>
  </si>
  <si>
    <t>Aligarh</t>
  </si>
  <si>
    <t>+914513765238</t>
  </si>
  <si>
    <t>indranilsastry@gmail.com</t>
  </si>
  <si>
    <t>62, Dash Street
Pondicherry-945886</t>
  </si>
  <si>
    <t>C076</t>
  </si>
  <si>
    <t>Oorja Dayal</t>
  </si>
  <si>
    <t>Gaya</t>
  </si>
  <si>
    <t>+916936516442</t>
  </si>
  <si>
    <t>indrajit78@balay-ravi.com</t>
  </si>
  <si>
    <t>49
Sami
Dibrugarh-768751</t>
  </si>
  <si>
    <t>C077</t>
  </si>
  <si>
    <t>Gokul Ahluwalia</t>
  </si>
  <si>
    <t>+910413737551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</si>
  <si>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</si>
  <si>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</si>
  <si>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</si>
  <si>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</si>
  <si>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</si>
  <si>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</si>
  <si>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</si>
  <si>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</si>
  <si>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</si>
  <si>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</si>
  <si>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</si>
  <si>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</si>
  <si>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</si>
  <si>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</si>
  <si>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</si>
  <si>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</si>
  <si>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</si>
  <si>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</si>
  <si>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</si>
  <si>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</si>
  <si>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</si>
  <si>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</si>
  <si>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</si>
  <si>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</si>
  <si>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</si>
  <si>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</si>
  <si>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</si>
  <si>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</si>
  <si>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</si>
  <si>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</si>
  <si>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</si>
  <si>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</si>
  <si>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</si>
  <si>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</si>
  <si>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</si>
  <si>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+912690208110</t>
  </si>
  <si>
    <t>devanromil@hotmail.com</t>
  </si>
  <si>
    <t>H.No. 256
Sami Street, Lucknow-283322</t>
  </si>
  <si>
    <t>C084</t>
  </si>
  <si>
    <t>Anahita Shankar</t>
  </si>
  <si>
    <t>Tiruchirappalli</t>
  </si>
  <si>
    <t>+912205603376</t>
  </si>
  <si>
    <t>jchada@hotmail.com</t>
  </si>
  <si>
    <t>537
Bahl Nagar
Tinsukia 000008</t>
  </si>
  <si>
    <t>C085</t>
  </si>
  <si>
    <t>Bhamini Johal</t>
  </si>
  <si>
    <t>Raipur</t>
  </si>
  <si>
    <t>+913129106402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</si>
  <si>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</si>
  <si>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</si>
  <si>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</si>
  <si>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</si>
  <si>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</si>
  <si>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</si>
  <si>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</si>
  <si>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</si>
  <si>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</si>
  <si>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</si>
  <si>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</si>
  <si>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</si>
  <si>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</si>
  <si>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</si>
  <si>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</si>
  <si>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 xml:space="preserve">Khora </t>
  </si>
  <si>
    <t>+919113488461</t>
  </si>
  <si>
    <t>uthkarsh12@yahoo.com</t>
  </si>
  <si>
    <t>H.No. 82, Kala Road, Moradabad-953360</t>
  </si>
  <si>
    <t>C089</t>
  </si>
  <si>
    <t>Oorja Dey</t>
  </si>
  <si>
    <t>Nellore</t>
  </si>
  <si>
    <t>+917264144428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</si>
  <si>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</si>
  <si>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</si>
  <si>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</si>
  <si>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</si>
  <si>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</si>
  <si>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</si>
  <si>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</si>
  <si>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</si>
  <si>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</si>
  <si>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</si>
  <si>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</si>
  <si>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+915525478357</t>
  </si>
  <si>
    <t>indrans79@gmail.com</t>
  </si>
  <si>
    <t>H.No. 85
Bora Road
Rajpur Sonarpur-156686</t>
  </si>
  <si>
    <t>C092</t>
  </si>
  <si>
    <t>Zoya Mani</t>
  </si>
  <si>
    <t>+918918356963</t>
  </si>
  <si>
    <t>obose@gmail.com</t>
  </si>
  <si>
    <t>H.No. 319
Mandal Ganj, Vijayawada-709890</t>
  </si>
  <si>
    <t>C093</t>
  </si>
  <si>
    <t>Mamooty Bawa</t>
  </si>
  <si>
    <t>Tumkur</t>
  </si>
  <si>
    <t>+912783169130</t>
  </si>
  <si>
    <t>veer55@chaudhari.net</t>
  </si>
  <si>
    <t>499
Apte Street
Gorakhpur 610533</t>
  </si>
  <si>
    <t>C094</t>
  </si>
  <si>
    <t>Raghav Babu</t>
  </si>
  <si>
    <t>Deoghar</t>
  </si>
  <si>
    <t>+914638480067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</si>
  <si>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</si>
  <si>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</si>
  <si>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</si>
  <si>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</si>
  <si>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</si>
  <si>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</si>
  <si>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</si>
  <si>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</si>
  <si>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</si>
  <si>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</si>
  <si>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</si>
  <si>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+918680724565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</si>
  <si>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</si>
  <si>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</si>
  <si>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</si>
  <si>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</si>
  <si>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</si>
  <si>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</si>
  <si>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</si>
  <si>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</si>
  <si>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</si>
  <si>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</si>
  <si>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</si>
  <si>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+914461213936</t>
  </si>
  <si>
    <t>tellamadhup@bhatt-bhasin.info</t>
  </si>
  <si>
    <t>910
Rastogi Circle, Tiruppur 102771</t>
  </si>
  <si>
    <t>C099</t>
  </si>
  <si>
    <t>Ranbir Loyal</t>
  </si>
  <si>
    <t>+913621448305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</si>
  <si>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</si>
  <si>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</si>
  <si>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</si>
  <si>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</si>
  <si>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</si>
  <si>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+919478540370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</si>
  <si>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</si>
  <si>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</si>
  <si>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</si>
  <si>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</si>
  <si>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</si>
  <si>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</si>
  <si>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</si>
  <si>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</si>
  <si>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</si>
  <si>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</si>
  <si>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</si>
  <si>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Duplicate_Check</t>
  </si>
  <si>
    <t>1</t>
  </si>
  <si>
    <t>67</t>
  </si>
  <si>
    <t>5</t>
  </si>
  <si>
    <t>24-02-2023</t>
  </si>
  <si>
    <t>23:48:13</t>
  </si>
  <si>
    <t>05-03-2023</t>
  </si>
  <si>
    <t>07:27:10</t>
  </si>
  <si>
    <t>Bardhaman</t>
  </si>
  <si>
    <t>Anniversary</t>
  </si>
  <si>
    <t>2</t>
  </si>
  <si>
    <t>41</t>
  </si>
  <si>
    <t>07-11-2023</t>
  </si>
  <si>
    <t>23:30:18</t>
  </si>
  <si>
    <t>13-11-2023</t>
  </si>
  <si>
    <t>07:16:17</t>
  </si>
  <si>
    <t>Jaipur</t>
  </si>
  <si>
    <t>Diwali</t>
  </si>
  <si>
    <t>3</t>
  </si>
  <si>
    <t>14-07-2023</t>
  </si>
  <si>
    <t>19:12:03</t>
  </si>
  <si>
    <t>19-07-2023</t>
  </si>
  <si>
    <t>17:39:00</t>
  </si>
  <si>
    <t>4</t>
  </si>
  <si>
    <t>14</t>
  </si>
  <si>
    <t>10-07-2023</t>
  </si>
  <si>
    <t>04:44:29</t>
  </si>
  <si>
    <t>06:33:23</t>
  </si>
  <si>
    <t>Guwahati</t>
  </si>
  <si>
    <t>Birthday</t>
  </si>
  <si>
    <t>58</t>
  </si>
  <si>
    <t>11-02-2023</t>
  </si>
  <si>
    <t>19:44:48</t>
  </si>
  <si>
    <t>18-02-2023</t>
  </si>
  <si>
    <t>11:08:52</t>
  </si>
  <si>
    <t>Rajkot</t>
  </si>
  <si>
    <t>Valentine's Day</t>
  </si>
  <si>
    <t>6</t>
  </si>
  <si>
    <t>28</t>
  </si>
  <si>
    <t>20-08-2023</t>
  </si>
  <si>
    <t>22:11:35</t>
  </si>
  <si>
    <t>26-08-2023</t>
  </si>
  <si>
    <t>19:06:46</t>
  </si>
  <si>
    <t>Sirsa</t>
  </si>
  <si>
    <t>Raksha Bandhan</t>
  </si>
  <si>
    <t>7</t>
  </si>
  <si>
    <t>45</t>
  </si>
  <si>
    <t>08-05-2023</t>
  </si>
  <si>
    <t>01:45:13</t>
  </si>
  <si>
    <t>13-05-2023</t>
  </si>
  <si>
    <t>10:07:17</t>
  </si>
  <si>
    <t>Nanded</t>
  </si>
  <si>
    <t>8</t>
  </si>
  <si>
    <t>43</t>
  </si>
  <si>
    <t>08-11-2023</t>
  </si>
  <si>
    <t>19:20:02</t>
  </si>
  <si>
    <t>14-11-2023</t>
  </si>
  <si>
    <t>08:44:45</t>
  </si>
  <si>
    <t>Morena</t>
  </si>
  <si>
    <t>9</t>
  </si>
  <si>
    <t>27</t>
  </si>
  <si>
    <t>23:39:51</t>
  </si>
  <si>
    <t>29-08-2023</t>
  </si>
  <si>
    <t>23:59:54</t>
  </si>
  <si>
    <t>10</t>
  </si>
  <si>
    <t>56</t>
  </si>
  <si>
    <t>26-02-2023</t>
  </si>
  <si>
    <t>00:17:26</t>
  </si>
  <si>
    <t>08-03-2023</t>
  </si>
  <si>
    <t>20:47:43</t>
  </si>
  <si>
    <t>Ambala</t>
  </si>
  <si>
    <t>11</t>
  </si>
  <si>
    <t>16</t>
  </si>
  <si>
    <t>02-03-2023</t>
  </si>
  <si>
    <t>20:14:55</t>
  </si>
  <si>
    <t>03-03-2023</t>
  </si>
  <si>
    <t>23:19:47</t>
  </si>
  <si>
    <t>Belgaum</t>
  </si>
  <si>
    <t>Holi</t>
  </si>
  <si>
    <t>12</t>
  </si>
  <si>
    <t>38</t>
  </si>
  <si>
    <t>12-07-2023</t>
  </si>
  <si>
    <t>08:28:56</t>
  </si>
  <si>
    <t>20-07-2023</t>
  </si>
  <si>
    <t>23:34:57</t>
  </si>
  <si>
    <t>Karnal</t>
  </si>
  <si>
    <t>13</t>
  </si>
  <si>
    <t>20</t>
  </si>
  <si>
    <t>16:47:16</t>
  </si>
  <si>
    <t>04-03-2023</t>
  </si>
  <si>
    <t>02:27:37</t>
  </si>
  <si>
    <t>Gandhidham</t>
  </si>
  <si>
    <t>60</t>
  </si>
  <si>
    <t>03:46:06</t>
  </si>
  <si>
    <t>15-11-2023</t>
  </si>
  <si>
    <t>12:08:02</t>
  </si>
  <si>
    <t>15</t>
  </si>
  <si>
    <t>21</t>
  </si>
  <si>
    <t>02:52:39</t>
  </si>
  <si>
    <t>30-08-2023</t>
  </si>
  <si>
    <t>13:26:45</t>
  </si>
  <si>
    <t>Pune</t>
  </si>
  <si>
    <t>16-02-2023</t>
  </si>
  <si>
    <t>15:06:11</t>
  </si>
  <si>
    <t>20-02-2023</t>
  </si>
  <si>
    <t>22:14:21</t>
  </si>
  <si>
    <t>Khammam</t>
  </si>
  <si>
    <t>17</t>
  </si>
  <si>
    <t>04-11-2023</t>
  </si>
  <si>
    <t>11:31:33</t>
  </si>
  <si>
    <t>18:40:13</t>
  </si>
  <si>
    <t>18</t>
  </si>
  <si>
    <t>23</t>
  </si>
  <si>
    <t>10-12-2023</t>
  </si>
  <si>
    <t>10:46:15</t>
  </si>
  <si>
    <t>11-12-2023</t>
  </si>
  <si>
    <t>00:20:29</t>
  </si>
  <si>
    <t>Moradabad</t>
  </si>
  <si>
    <t>19</t>
  </si>
  <si>
    <t>62</t>
  </si>
  <si>
    <t>07-03-2023</t>
  </si>
  <si>
    <t>07:59:48</t>
  </si>
  <si>
    <t>03:04:34</t>
  </si>
  <si>
    <t>Vijayanagaram</t>
  </si>
  <si>
    <t>52</t>
  </si>
  <si>
    <t>14:36:57</t>
  </si>
  <si>
    <t>14-02-2023</t>
  </si>
  <si>
    <t>01:34:16</t>
  </si>
  <si>
    <t>32</t>
  </si>
  <si>
    <t>09-02-2023</t>
  </si>
  <si>
    <t>11:20:52</t>
  </si>
  <si>
    <t>12-02-2023</t>
  </si>
  <si>
    <t>11:36:26</t>
  </si>
  <si>
    <t>Bathinda</t>
  </si>
  <si>
    <t>22</t>
  </si>
  <si>
    <t>09-11-2023</t>
  </si>
  <si>
    <t>01:05:28</t>
  </si>
  <si>
    <t>09:49:47</t>
  </si>
  <si>
    <t>05-05-2023</t>
  </si>
  <si>
    <t>05:28:33</t>
  </si>
  <si>
    <t>06-05-2023</t>
  </si>
  <si>
    <t>12:12:24</t>
  </si>
  <si>
    <t>Ludhiana</t>
  </si>
  <si>
    <t>24</t>
  </si>
  <si>
    <t>42</t>
  </si>
  <si>
    <t>25-07-2023</t>
  </si>
  <si>
    <t>05:10:42</t>
  </si>
  <si>
    <t>03-08-2023</t>
  </si>
  <si>
    <t>07:57:35</t>
  </si>
  <si>
    <t>Durg</t>
  </si>
  <si>
    <t>All Occasions</t>
  </si>
  <si>
    <t>25</t>
  </si>
  <si>
    <t>30</t>
  </si>
  <si>
    <t>21-07-2023</t>
  </si>
  <si>
    <t>10:46:57</t>
  </si>
  <si>
    <t>24-07-2023</t>
  </si>
  <si>
    <t>14:28:42</t>
  </si>
  <si>
    <t>Panipat</t>
  </si>
  <si>
    <t>26</t>
  </si>
  <si>
    <t>06-03-2023</t>
  </si>
  <si>
    <t>05:03:06</t>
  </si>
  <si>
    <t>12-03-2023</t>
  </si>
  <si>
    <t>06:06:11</t>
  </si>
  <si>
    <t>Amroha</t>
  </si>
  <si>
    <t>22-08-2023</t>
  </si>
  <si>
    <t>11:16:28</t>
  </si>
  <si>
    <t>07:59:12</t>
  </si>
  <si>
    <t>03:25:25</t>
  </si>
  <si>
    <t>10-05-2023</t>
  </si>
  <si>
    <t>07:55:04</t>
  </si>
  <si>
    <t>29</t>
  </si>
  <si>
    <t>22-09-2023</t>
  </si>
  <si>
    <t>01:06:22</t>
  </si>
  <si>
    <t>01-10-2023</t>
  </si>
  <si>
    <t>14:29:16</t>
  </si>
  <si>
    <t>Kollam</t>
  </si>
  <si>
    <t>13-01-2023</t>
  </si>
  <si>
    <t>09:23:33</t>
  </si>
  <si>
    <t>15-01-2023</t>
  </si>
  <si>
    <t>13:36:58</t>
  </si>
  <si>
    <t>31</t>
  </si>
  <si>
    <t>28-02-2023</t>
  </si>
  <si>
    <t>13:13:22</t>
  </si>
  <si>
    <t>23:35:49</t>
  </si>
  <si>
    <t>Nandyal</t>
  </si>
  <si>
    <t>15:36:41</t>
  </si>
  <si>
    <t>15:54:10</t>
  </si>
  <si>
    <t>Pudukkottai</t>
  </si>
  <si>
    <t>33</t>
  </si>
  <si>
    <t>15-04-2023</t>
  </si>
  <si>
    <t>01:37:27</t>
  </si>
  <si>
    <t>25-04-2023</t>
  </si>
  <si>
    <t>02:13:27</t>
  </si>
  <si>
    <t>34</t>
  </si>
  <si>
    <t>22:58:15</t>
  </si>
  <si>
    <t>05-10-2023</t>
  </si>
  <si>
    <t>05:36:46</t>
  </si>
  <si>
    <t>Tirupati</t>
  </si>
  <si>
    <t>35</t>
  </si>
  <si>
    <t>16:10:26</t>
  </si>
  <si>
    <t>15:00:40</t>
  </si>
  <si>
    <t>Asansol</t>
  </si>
  <si>
    <t>36</t>
  </si>
  <si>
    <t>66</t>
  </si>
  <si>
    <t>10:28:53</t>
  </si>
  <si>
    <t>14-03-2023</t>
  </si>
  <si>
    <t>08:14:49</t>
  </si>
  <si>
    <t>37</t>
  </si>
  <si>
    <t>10-02-2023</t>
  </si>
  <si>
    <t>11:01:04</t>
  </si>
  <si>
    <t>15-02-2023</t>
  </si>
  <si>
    <t>21:19:36</t>
  </si>
  <si>
    <t>Katni</t>
  </si>
  <si>
    <t>11-11-2023</t>
  </si>
  <si>
    <t>12:30:28</t>
  </si>
  <si>
    <t>12:24:51</t>
  </si>
  <si>
    <t>39</t>
  </si>
  <si>
    <t>02-11-2023</t>
  </si>
  <si>
    <t>19:25:58</t>
  </si>
  <si>
    <t>13:28:42</t>
  </si>
  <si>
    <t>40</t>
  </si>
  <si>
    <t>48</t>
  </si>
  <si>
    <t>14:15:10</t>
  </si>
  <si>
    <t>05-11-2023</t>
  </si>
  <si>
    <t>04:29:54</t>
  </si>
  <si>
    <t>Raiganj</t>
  </si>
  <si>
    <t>54</t>
  </si>
  <si>
    <t>08-06-2023</t>
  </si>
  <si>
    <t>19:19:50</t>
  </si>
  <si>
    <t>10-06-2023</t>
  </si>
  <si>
    <t>14:29:42</t>
  </si>
  <si>
    <t>Saharsa</t>
  </si>
  <si>
    <t>00:08:38</t>
  </si>
  <si>
    <t>17:18:28</t>
  </si>
  <si>
    <t>Faridabad</t>
  </si>
  <si>
    <t>49</t>
  </si>
  <si>
    <t>22:31:16</t>
  </si>
  <si>
    <t>02:47:47</t>
  </si>
  <si>
    <t>Sambalpur</t>
  </si>
  <si>
    <t>44</t>
  </si>
  <si>
    <t>17-07-2023</t>
  </si>
  <si>
    <t>21:57:56</t>
  </si>
  <si>
    <t>27-07-2023</t>
  </si>
  <si>
    <t>10:48:09</t>
  </si>
  <si>
    <t>Bhavnagar</t>
  </si>
  <si>
    <t>61</t>
  </si>
  <si>
    <t>28-04-2023</t>
  </si>
  <si>
    <t>14:26:26</t>
  </si>
  <si>
    <t>29-04-2023</t>
  </si>
  <si>
    <t>06:16:36</t>
  </si>
  <si>
    <t>Haldia</t>
  </si>
  <si>
    <t>46</t>
  </si>
  <si>
    <t>18-04-2023</t>
  </si>
  <si>
    <t>03:21:11</t>
  </si>
  <si>
    <t>23-04-2023</t>
  </si>
  <si>
    <t>08:02:45</t>
  </si>
  <si>
    <t>47</t>
  </si>
  <si>
    <t>13:04:28</t>
  </si>
  <si>
    <t>06:00:20</t>
  </si>
  <si>
    <t>65</t>
  </si>
  <si>
    <t>12-11-2023</t>
  </si>
  <si>
    <t>20:00:30</t>
  </si>
  <si>
    <t>16-11-2023</t>
  </si>
  <si>
    <t>05:31:42</t>
  </si>
  <si>
    <t>17:44:30</t>
  </si>
  <si>
    <t>18-11-2023</t>
  </si>
  <si>
    <t>13:49:52</t>
  </si>
  <si>
    <t>Nangloi Jat</t>
  </si>
  <si>
    <t>50</t>
  </si>
  <si>
    <t>06:56:33</t>
  </si>
  <si>
    <t>10:19:22</t>
  </si>
  <si>
    <t>Jamalpur</t>
  </si>
  <si>
    <t>51</t>
  </si>
  <si>
    <t>15-03-2023</t>
  </si>
  <si>
    <t>09:23:49</t>
  </si>
  <si>
    <t>19-03-2023</t>
  </si>
  <si>
    <t>16:46:40</t>
  </si>
  <si>
    <t>Agartala</t>
  </si>
  <si>
    <t>19:55:22</t>
  </si>
  <si>
    <t>07-09-2023</t>
  </si>
  <si>
    <t>04:22:02</t>
  </si>
  <si>
    <t>Hospet</t>
  </si>
  <si>
    <t>53</t>
  </si>
  <si>
    <t>08:25:45</t>
  </si>
  <si>
    <t>27-08-2023</t>
  </si>
  <si>
    <t>05:59:31</t>
  </si>
  <si>
    <t>Kozhikode</t>
  </si>
  <si>
    <t>13-04-2023</t>
  </si>
  <si>
    <t>09:55:01</t>
  </si>
  <si>
    <t>14:30:59</t>
  </si>
  <si>
    <t>55</t>
  </si>
  <si>
    <t>08-02-2023</t>
  </si>
  <si>
    <t>08:01:07</t>
  </si>
  <si>
    <t>13-02-2023</t>
  </si>
  <si>
    <t>07:42:58</t>
  </si>
  <si>
    <t>12:11:48</t>
  </si>
  <si>
    <t>18:51:59</t>
  </si>
  <si>
    <t>57</t>
  </si>
  <si>
    <t>08:00:15</t>
  </si>
  <si>
    <t>12:27:32</t>
  </si>
  <si>
    <t>Ahmedabad</t>
  </si>
  <si>
    <t>06-01-2023</t>
  </si>
  <si>
    <t>02:51:30</t>
  </si>
  <si>
    <t>08:26:18</t>
  </si>
  <si>
    <t>Amravati</t>
  </si>
  <si>
    <t>59</t>
  </si>
  <si>
    <t>26-06-2023</t>
  </si>
  <si>
    <t>03:56:15</t>
  </si>
  <si>
    <t>28-06-2023</t>
  </si>
  <si>
    <t>20:10:04</t>
  </si>
  <si>
    <t>Thiruvananthapuram</t>
  </si>
  <si>
    <t>13-12-2023</t>
  </si>
  <si>
    <t>06:46:45</t>
  </si>
  <si>
    <t>15-12-2023</t>
  </si>
  <si>
    <t>13:03:56</t>
  </si>
  <si>
    <t>Darbhanga</t>
  </si>
  <si>
    <t>22:26:25</t>
  </si>
  <si>
    <t>10-11-2023</t>
  </si>
  <si>
    <t>08:08:31</t>
  </si>
  <si>
    <t>Panihati</t>
  </si>
  <si>
    <t>15:30:51</t>
  </si>
  <si>
    <t>23:51:40</t>
  </si>
  <si>
    <t>63</t>
  </si>
  <si>
    <t>25-06-2023</t>
  </si>
  <si>
    <t>06:22:38</t>
  </si>
  <si>
    <t>15:40:04</t>
  </si>
  <si>
    <t>Munger</t>
  </si>
  <si>
    <t>64</t>
  </si>
  <si>
    <t>12-06-2023</t>
  </si>
  <si>
    <t>02:48:39</t>
  </si>
  <si>
    <t>15-06-2023</t>
  </si>
  <si>
    <t>22:05:41</t>
  </si>
  <si>
    <t>Chittoor</t>
  </si>
  <si>
    <t>01-09-2023</t>
  </si>
  <si>
    <t>13:02:28</t>
  </si>
  <si>
    <t>11-09-2023</t>
  </si>
  <si>
    <t>06:33:52</t>
  </si>
  <si>
    <t>Berhampur</t>
  </si>
  <si>
    <t>21:00:44</t>
  </si>
  <si>
    <t>27-02-2023</t>
  </si>
  <si>
    <t>06:25:58</t>
  </si>
  <si>
    <t>06-07-2023</t>
  </si>
  <si>
    <t>17:28:21</t>
  </si>
  <si>
    <t>21:11:01</t>
  </si>
  <si>
    <t>Thrissur</t>
  </si>
  <si>
    <t>68</t>
  </si>
  <si>
    <t>25-08-2023</t>
  </si>
  <si>
    <t>22:43:58</t>
  </si>
  <si>
    <t>31-08-2023</t>
  </si>
  <si>
    <t>21:31:14</t>
  </si>
  <si>
    <t>69</t>
  </si>
  <si>
    <t>02-09-2023</t>
  </si>
  <si>
    <t>19:21:41</t>
  </si>
  <si>
    <t>08-09-2023</t>
  </si>
  <si>
    <t>09:30:02</t>
  </si>
  <si>
    <t>70</t>
  </si>
  <si>
    <t>28-09-2023</t>
  </si>
  <si>
    <t>04:21:09</t>
  </si>
  <si>
    <t>03-10-2023</t>
  </si>
  <si>
    <t>11:44:33</t>
  </si>
  <si>
    <t>71</t>
  </si>
  <si>
    <t>16:32:06</t>
  </si>
  <si>
    <t>28-08-2023</t>
  </si>
  <si>
    <t>13:31:32</t>
  </si>
  <si>
    <t>72</t>
  </si>
  <si>
    <t>15:49:26</t>
  </si>
  <si>
    <t>17:34:10</t>
  </si>
  <si>
    <t>Bally</t>
  </si>
  <si>
    <t>73</t>
  </si>
  <si>
    <t>12:52:36</t>
  </si>
  <si>
    <t>11-03-2023</t>
  </si>
  <si>
    <t>01:28:36</t>
  </si>
  <si>
    <t>74</t>
  </si>
  <si>
    <t>01-01-2023</t>
  </si>
  <si>
    <t>20:55:22</t>
  </si>
  <si>
    <t>07-01-2023</t>
  </si>
  <si>
    <t>09:02:03</t>
  </si>
  <si>
    <t>Shivpuri</t>
  </si>
  <si>
    <t>75</t>
  </si>
  <si>
    <t>06-04-2023</t>
  </si>
  <si>
    <t>11:10:24</t>
  </si>
  <si>
    <t>09-04-2023</t>
  </si>
  <si>
    <t>23:00:34</t>
  </si>
  <si>
    <t>76</t>
  </si>
  <si>
    <t>05:13:11</t>
  </si>
  <si>
    <t>00:34:50</t>
  </si>
  <si>
    <t>77</t>
  </si>
  <si>
    <t>05-08-2023</t>
  </si>
  <si>
    <t>01:07:11</t>
  </si>
  <si>
    <t>13-08-2023</t>
  </si>
  <si>
    <t>16:20:52</t>
  </si>
  <si>
    <t>78</t>
  </si>
  <si>
    <t>04-02-2023</t>
  </si>
  <si>
    <t>13:00:09</t>
  </si>
  <si>
    <t>20:31:15</t>
  </si>
  <si>
    <t>79</t>
  </si>
  <si>
    <t>01-06-2023</t>
  </si>
  <si>
    <t>17:29:30</t>
  </si>
  <si>
    <t>11-06-2023</t>
  </si>
  <si>
    <t>07:34:53</t>
  </si>
  <si>
    <t>Varanasi</t>
  </si>
  <si>
    <t>80</t>
  </si>
  <si>
    <t>02-01-2023</t>
  </si>
  <si>
    <t>11:07:02</t>
  </si>
  <si>
    <t>11-01-2023</t>
  </si>
  <si>
    <t>02:05:50</t>
  </si>
  <si>
    <t>Salem</t>
  </si>
  <si>
    <t>81</t>
  </si>
  <si>
    <t>22-02-2023</t>
  </si>
  <si>
    <t>18:29:21</t>
  </si>
  <si>
    <t>07:09:32</t>
  </si>
  <si>
    <t>82</t>
  </si>
  <si>
    <t>04-08-2023</t>
  </si>
  <si>
    <t>22:02:05</t>
  </si>
  <si>
    <t>14:08:13</t>
  </si>
  <si>
    <t>Gwalior</t>
  </si>
  <si>
    <t>83</t>
  </si>
  <si>
    <t>23-08-2023</t>
  </si>
  <si>
    <t>19:12:01</t>
  </si>
  <si>
    <t>14:44:00</t>
  </si>
  <si>
    <t>84</t>
  </si>
  <si>
    <t>03:31:50</t>
  </si>
  <si>
    <t>07:02:20</t>
  </si>
  <si>
    <t>85</t>
  </si>
  <si>
    <t>21:35:20</t>
  </si>
  <si>
    <t>14:48:22</t>
  </si>
  <si>
    <t>86</t>
  </si>
  <si>
    <t>13-09-2023</t>
  </si>
  <si>
    <t>11:27:49</t>
  </si>
  <si>
    <t>14:09:30</t>
  </si>
  <si>
    <t>87</t>
  </si>
  <si>
    <t>13:17:21</t>
  </si>
  <si>
    <t>23:06:36</t>
  </si>
  <si>
    <t>Malda</t>
  </si>
  <si>
    <t>88</t>
  </si>
  <si>
    <t>22-12-2023</t>
  </si>
  <si>
    <t>10:02:31</t>
  </si>
  <si>
    <t>01-01-2024</t>
  </si>
  <si>
    <t>12:17:55</t>
  </si>
  <si>
    <t>Avadi</t>
  </si>
  <si>
    <t>89</t>
  </si>
  <si>
    <t>22:56:52</t>
  </si>
  <si>
    <t>14:41:41</t>
  </si>
  <si>
    <t>Aurangabad</t>
  </si>
  <si>
    <t>90</t>
  </si>
  <si>
    <t>20:54:16</t>
  </si>
  <si>
    <t>17:48:35</t>
  </si>
  <si>
    <t>Shahjahanpur</t>
  </si>
  <si>
    <t>91</t>
  </si>
  <si>
    <t>13:52:56</t>
  </si>
  <si>
    <t>13:23:25</t>
  </si>
  <si>
    <t>Mahbubnagar</t>
  </si>
  <si>
    <t>92</t>
  </si>
  <si>
    <t>15-05-2023</t>
  </si>
  <si>
    <t>00:11:18</t>
  </si>
  <si>
    <t>25-05-2023</t>
  </si>
  <si>
    <t>11:17:55</t>
  </si>
  <si>
    <t>Rohtak</t>
  </si>
  <si>
    <t>93</t>
  </si>
  <si>
    <t>01-05-2023</t>
  </si>
  <si>
    <t>17:50:59</t>
  </si>
  <si>
    <t>03-05-2023</t>
  </si>
  <si>
    <t>18:35:56</t>
  </si>
  <si>
    <t>94</t>
  </si>
  <si>
    <t>14:51:08</t>
  </si>
  <si>
    <t>95</t>
  </si>
  <si>
    <t>29-05-2023</t>
  </si>
  <si>
    <t>07:54:41</t>
  </si>
  <si>
    <t>03-06-2023</t>
  </si>
  <si>
    <t>07:16:33</t>
  </si>
  <si>
    <t>Narasaraopet</t>
  </si>
  <si>
    <t>96</t>
  </si>
  <si>
    <t>15:00:21</t>
  </si>
  <si>
    <t>23-03-2023</t>
  </si>
  <si>
    <t>08:56:06</t>
  </si>
  <si>
    <t>Latur</t>
  </si>
  <si>
    <t>97</t>
  </si>
  <si>
    <t>03-11-2023</t>
  </si>
  <si>
    <t>20:11:32</t>
  </si>
  <si>
    <t>01:35:25</t>
  </si>
  <si>
    <t>98</t>
  </si>
  <si>
    <t>30-10-2023</t>
  </si>
  <si>
    <t>15:26:00</t>
  </si>
  <si>
    <t>01-11-2023</t>
  </si>
  <si>
    <t>16:34:28</t>
  </si>
  <si>
    <t>99</t>
  </si>
  <si>
    <t>14:00:46</t>
  </si>
  <si>
    <t>15:44:38</t>
  </si>
  <si>
    <t>Burhanpur</t>
  </si>
  <si>
    <t>100</t>
  </si>
  <si>
    <t>09-05-2023</t>
  </si>
  <si>
    <t>05:50:07</t>
  </si>
  <si>
    <t>17-05-2023</t>
  </si>
  <si>
    <t>05:30:26</t>
  </si>
  <si>
    <t>Bhiwani</t>
  </si>
  <si>
    <t>101</t>
  </si>
  <si>
    <t>19-06-2023</t>
  </si>
  <si>
    <t>03:56:52</t>
  </si>
  <si>
    <t>21-06-2023</t>
  </si>
  <si>
    <t>06:18:37</t>
  </si>
  <si>
    <t>102</t>
  </si>
  <si>
    <t>28-10-2023</t>
  </si>
  <si>
    <t>19:34:14</t>
  </si>
  <si>
    <t>06-11-2023</t>
  </si>
  <si>
    <t>07:06:35</t>
  </si>
  <si>
    <t>Ozhukarai</t>
  </si>
  <si>
    <t>103</t>
  </si>
  <si>
    <t>01-02-2023</t>
  </si>
  <si>
    <t>12:24:59</t>
  </si>
  <si>
    <t>22:51:39</t>
  </si>
  <si>
    <t>Ichalkaranji</t>
  </si>
  <si>
    <t>104</t>
  </si>
  <si>
    <t>29-12-2023</t>
  </si>
  <si>
    <t>01:45:29</t>
  </si>
  <si>
    <t>05-01-2024</t>
  </si>
  <si>
    <t>00:15:28</t>
  </si>
  <si>
    <t>105</t>
  </si>
  <si>
    <t>02:57:36</t>
  </si>
  <si>
    <t>21-02-2023</t>
  </si>
  <si>
    <t>01:34:10</t>
  </si>
  <si>
    <t>106</t>
  </si>
  <si>
    <t>17:55:46</t>
  </si>
  <si>
    <t>23:00:28</t>
  </si>
  <si>
    <t>107</t>
  </si>
  <si>
    <t>10:18:07</t>
  </si>
  <si>
    <t>14:20:21</t>
  </si>
  <si>
    <t>Gorakhpur</t>
  </si>
  <si>
    <t>108</t>
  </si>
  <si>
    <t>09:03:26</t>
  </si>
  <si>
    <t>08:03:05</t>
  </si>
  <si>
    <t>109</t>
  </si>
  <si>
    <t>15:35:48</t>
  </si>
  <si>
    <t>01-03-2023</t>
  </si>
  <si>
    <t>08:38:56</t>
  </si>
  <si>
    <t>110</t>
  </si>
  <si>
    <t>11:23:44</t>
  </si>
  <si>
    <t>13-03-2023</t>
  </si>
  <si>
    <t>08:27:31</t>
  </si>
  <si>
    <t>Kishanganj</t>
  </si>
  <si>
    <t>111</t>
  </si>
  <si>
    <t>14:18:57</t>
  </si>
  <si>
    <t>21:03:57</t>
  </si>
  <si>
    <t>Ramgarh</t>
  </si>
  <si>
    <t>112</t>
  </si>
  <si>
    <t>06:36:04</t>
  </si>
  <si>
    <t>15:50:59</t>
  </si>
  <si>
    <t>Kochi</t>
  </si>
  <si>
    <t>113</t>
  </si>
  <si>
    <t>15:30:30</t>
  </si>
  <si>
    <t>23-11-2023</t>
  </si>
  <si>
    <t>04:26:47</t>
  </si>
  <si>
    <t>114</t>
  </si>
  <si>
    <t>03-02-2023</t>
  </si>
  <si>
    <t>16:03:15</t>
  </si>
  <si>
    <t>07-02-2023</t>
  </si>
  <si>
    <t>02:22:48</t>
  </si>
  <si>
    <t>Kirari Suleman Nagar</t>
  </si>
  <si>
    <t>115</t>
  </si>
  <si>
    <t>18:11:22</t>
  </si>
  <si>
    <t>11:36:31</t>
  </si>
  <si>
    <t>Jhansi</t>
  </si>
  <si>
    <t>116</t>
  </si>
  <si>
    <t>14:28:05</t>
  </si>
  <si>
    <t>20-11-2023</t>
  </si>
  <si>
    <t>05:25:26</t>
  </si>
  <si>
    <t>Howrah</t>
  </si>
  <si>
    <t>117</t>
  </si>
  <si>
    <t>18:50:05</t>
  </si>
  <si>
    <t>03:43:01</t>
  </si>
  <si>
    <t>Loni</t>
  </si>
  <si>
    <t>118</t>
  </si>
  <si>
    <t>10:32:52</t>
  </si>
  <si>
    <t>119</t>
  </si>
  <si>
    <t>11:02:10</t>
  </si>
  <si>
    <t>12:22:18</t>
  </si>
  <si>
    <t>Fatehpur</t>
  </si>
  <si>
    <t>120</t>
  </si>
  <si>
    <t>25-12-2023</t>
  </si>
  <si>
    <t>22:26:37</t>
  </si>
  <si>
    <t>31-12-2023</t>
  </si>
  <si>
    <t>09:57:24</t>
  </si>
  <si>
    <t>121</t>
  </si>
  <si>
    <t>05-02-2023</t>
  </si>
  <si>
    <t>02:18:55</t>
  </si>
  <si>
    <t>07:29:31</t>
  </si>
  <si>
    <t>Guntur</t>
  </si>
  <si>
    <t>122</t>
  </si>
  <si>
    <t>09:04:23</t>
  </si>
  <si>
    <t>13-10-2023</t>
  </si>
  <si>
    <t>03:15:14</t>
  </si>
  <si>
    <t>Gulbarga</t>
  </si>
  <si>
    <t>123</t>
  </si>
  <si>
    <t>00:31:09</t>
  </si>
  <si>
    <t>25-01-2023</t>
  </si>
  <si>
    <t>04:58:43</t>
  </si>
  <si>
    <t>124</t>
  </si>
  <si>
    <t>08:44:55</t>
  </si>
  <si>
    <t>23-07-2023</t>
  </si>
  <si>
    <t>05:23:44</t>
  </si>
  <si>
    <t>Bhilwara</t>
  </si>
  <si>
    <t>125</t>
  </si>
  <si>
    <t>09:12:11</t>
  </si>
  <si>
    <t>25-03-2023</t>
  </si>
  <si>
    <t>14:36:11</t>
  </si>
  <si>
    <t>126</t>
  </si>
  <si>
    <t>02:28:24</t>
  </si>
  <si>
    <t>13:16:38</t>
  </si>
  <si>
    <t>Dharmavaram</t>
  </si>
  <si>
    <t>127</t>
  </si>
  <si>
    <t>14:04:38</t>
  </si>
  <si>
    <t>19:25:01</t>
  </si>
  <si>
    <t>128</t>
  </si>
  <si>
    <t>16:50:28</t>
  </si>
  <si>
    <t>15:11:19</t>
  </si>
  <si>
    <t>129</t>
  </si>
  <si>
    <t>17-02-2023</t>
  </si>
  <si>
    <t>05:21:30</t>
  </si>
  <si>
    <t>08:17:32</t>
  </si>
  <si>
    <t>130</t>
  </si>
  <si>
    <t>22-04-2023</t>
  </si>
  <si>
    <t>13:32:41</t>
  </si>
  <si>
    <t>27-04-2023</t>
  </si>
  <si>
    <t>22:01:54</t>
  </si>
  <si>
    <t>131</t>
  </si>
  <si>
    <t>20:30:50</t>
  </si>
  <si>
    <t>08:29:03</t>
  </si>
  <si>
    <t>132</t>
  </si>
  <si>
    <t>23:23:41</t>
  </si>
  <si>
    <t>19:55:48</t>
  </si>
  <si>
    <t>Thoothukudi</t>
  </si>
  <si>
    <t>133</t>
  </si>
  <si>
    <t>15:51:54</t>
  </si>
  <si>
    <t>11:22:51</t>
  </si>
  <si>
    <t>134</t>
  </si>
  <si>
    <t>19:12:46</t>
  </si>
  <si>
    <t>04:58:29</t>
  </si>
  <si>
    <t>135</t>
  </si>
  <si>
    <t>10:20:09</t>
  </si>
  <si>
    <t>14-12-2023</t>
  </si>
  <si>
    <t>15:43:20</t>
  </si>
  <si>
    <t>Bokaro</t>
  </si>
  <si>
    <t>136</t>
  </si>
  <si>
    <t>05-09-2023</t>
  </si>
  <si>
    <t>16:08:59</t>
  </si>
  <si>
    <t>09-09-2023</t>
  </si>
  <si>
    <t>22:12:18</t>
  </si>
  <si>
    <t>137</t>
  </si>
  <si>
    <t>16:06:24</t>
  </si>
  <si>
    <t>07:29:21</t>
  </si>
  <si>
    <t>138</t>
  </si>
  <si>
    <t>09:33:56</t>
  </si>
  <si>
    <t>18-03-2023</t>
  </si>
  <si>
    <t>06:02:40</t>
  </si>
  <si>
    <t>Siliguri</t>
  </si>
  <si>
    <t>139</t>
  </si>
  <si>
    <t>11-05-2023</t>
  </si>
  <si>
    <t>04:14:45</t>
  </si>
  <si>
    <t>16-05-2023</t>
  </si>
  <si>
    <t>18:12:44</t>
  </si>
  <si>
    <t>Amritsar</t>
  </si>
  <si>
    <t>140</t>
  </si>
  <si>
    <t>06:19:35</t>
  </si>
  <si>
    <t>21:29:35</t>
  </si>
  <si>
    <t>141</t>
  </si>
  <si>
    <t>03:55:06</t>
  </si>
  <si>
    <t>10-03-2023</t>
  </si>
  <si>
    <t>02:31:56</t>
  </si>
  <si>
    <t>Allahabad</t>
  </si>
  <si>
    <t>142</t>
  </si>
  <si>
    <t>23-10-2023</t>
  </si>
  <si>
    <t>02:31:13</t>
  </si>
  <si>
    <t>27-10-2023</t>
  </si>
  <si>
    <t>04:24:16</t>
  </si>
  <si>
    <t>143</t>
  </si>
  <si>
    <t>07:37:18</t>
  </si>
  <si>
    <t>14:49:54</t>
  </si>
  <si>
    <t>Ramagundam</t>
  </si>
  <si>
    <t>144</t>
  </si>
  <si>
    <t>18-01-2023</t>
  </si>
  <si>
    <t>09:01:03</t>
  </si>
  <si>
    <t>23-01-2023</t>
  </si>
  <si>
    <t>03:23:15</t>
  </si>
  <si>
    <t>Srinagar</t>
  </si>
  <si>
    <t>145</t>
  </si>
  <si>
    <t>16:52:56</t>
  </si>
  <si>
    <t>03-09-2023</t>
  </si>
  <si>
    <t>13:04:25</t>
  </si>
  <si>
    <t>Kumbakonam</t>
  </si>
  <si>
    <t>146</t>
  </si>
  <si>
    <t>18:23:55</t>
  </si>
  <si>
    <t>04:07:37</t>
  </si>
  <si>
    <t>Vijayawada</t>
  </si>
  <si>
    <t>147</t>
  </si>
  <si>
    <t>17-03-2023</t>
  </si>
  <si>
    <t>19:28:15</t>
  </si>
  <si>
    <t>13:51:11</t>
  </si>
  <si>
    <t>Jodhpur</t>
  </si>
  <si>
    <t>148</t>
  </si>
  <si>
    <t>05-12-2023</t>
  </si>
  <si>
    <t>02:09:08</t>
  </si>
  <si>
    <t>07-12-2023</t>
  </si>
  <si>
    <t>08:57:38</t>
  </si>
  <si>
    <t>Gopalpur</t>
  </si>
  <si>
    <t>149</t>
  </si>
  <si>
    <t>06-10-2023</t>
  </si>
  <si>
    <t>23:23:09</t>
  </si>
  <si>
    <t>09-10-2023</t>
  </si>
  <si>
    <t>20:09:12</t>
  </si>
  <si>
    <t>150</t>
  </si>
  <si>
    <t>07:18:17</t>
  </si>
  <si>
    <t>16:56:13</t>
  </si>
  <si>
    <t>Bidar</t>
  </si>
  <si>
    <t>151</t>
  </si>
  <si>
    <t>21:42:26</t>
  </si>
  <si>
    <t>03:56:02</t>
  </si>
  <si>
    <t>Jalna</t>
  </si>
  <si>
    <t>152</t>
  </si>
  <si>
    <t>10:48:51</t>
  </si>
  <si>
    <t>16:39:22</t>
  </si>
  <si>
    <t>153</t>
  </si>
  <si>
    <t>12:15:00</t>
  </si>
  <si>
    <t>06:04:43</t>
  </si>
  <si>
    <t>Rewa</t>
  </si>
  <si>
    <t>154</t>
  </si>
  <si>
    <t>21-11-2023</t>
  </si>
  <si>
    <t>23:14:18</t>
  </si>
  <si>
    <t>25-11-2023</t>
  </si>
  <si>
    <t>02:04:59</t>
  </si>
  <si>
    <t>155</t>
  </si>
  <si>
    <t>14:46:58</t>
  </si>
  <si>
    <t>00:00:30</t>
  </si>
  <si>
    <t>156</t>
  </si>
  <si>
    <t>08:20:50</t>
  </si>
  <si>
    <t>10:49:14</t>
  </si>
  <si>
    <t>157</t>
  </si>
  <si>
    <t>12:44:17</t>
  </si>
  <si>
    <t>11:35:44</t>
  </si>
  <si>
    <t>158</t>
  </si>
  <si>
    <t>15:40:17</t>
  </si>
  <si>
    <t>02:53:01</t>
  </si>
  <si>
    <t>159</t>
  </si>
  <si>
    <t>21:31:39</t>
  </si>
  <si>
    <t>04:55:56</t>
  </si>
  <si>
    <t>160</t>
  </si>
  <si>
    <t>02-06-2023</t>
  </si>
  <si>
    <t>00:28:57</t>
  </si>
  <si>
    <t>07:52:59</t>
  </si>
  <si>
    <t>161</t>
  </si>
  <si>
    <t>03:08:06</t>
  </si>
  <si>
    <t>23:12:01</t>
  </si>
  <si>
    <t>162</t>
  </si>
  <si>
    <t>06:14:31</t>
  </si>
  <si>
    <t>15:53:45</t>
  </si>
  <si>
    <t>Barasat</t>
  </si>
  <si>
    <t>163</t>
  </si>
  <si>
    <t>19:50:10</t>
  </si>
  <si>
    <t>25-02-2023</t>
  </si>
  <si>
    <t>10:20:16</t>
  </si>
  <si>
    <t>Ujjain</t>
  </si>
  <si>
    <t>164</t>
  </si>
  <si>
    <t>02:04:02</t>
  </si>
  <si>
    <t>11:49:33</t>
  </si>
  <si>
    <t>165</t>
  </si>
  <si>
    <t>06-08-2023</t>
  </si>
  <si>
    <t>13:11:16</t>
  </si>
  <si>
    <t>10-08-2023</t>
  </si>
  <si>
    <t>08:37:14</t>
  </si>
  <si>
    <t>Lucknow</t>
  </si>
  <si>
    <t>166</t>
  </si>
  <si>
    <t>23:05:28</t>
  </si>
  <si>
    <t>06:12:46</t>
  </si>
  <si>
    <t>Madanapalle</t>
  </si>
  <si>
    <t>167</t>
  </si>
  <si>
    <t>01:26:51</t>
  </si>
  <si>
    <t>15:16:27</t>
  </si>
  <si>
    <t>168</t>
  </si>
  <si>
    <t>15:36:03</t>
  </si>
  <si>
    <t>11:02:42</t>
  </si>
  <si>
    <t>169</t>
  </si>
  <si>
    <t>06-02-2023</t>
  </si>
  <si>
    <t>10:28:57</t>
  </si>
  <si>
    <t>01:26:19</t>
  </si>
  <si>
    <t>170</t>
  </si>
  <si>
    <t>21-03-2023</t>
  </si>
  <si>
    <t>11:58:13</t>
  </si>
  <si>
    <t>27-03-2023</t>
  </si>
  <si>
    <t>05:14:07</t>
  </si>
  <si>
    <t>171</t>
  </si>
  <si>
    <t>30-06-2023</t>
  </si>
  <si>
    <t>11:47:49</t>
  </si>
  <si>
    <t>08-07-2023</t>
  </si>
  <si>
    <t>12:27:06</t>
  </si>
  <si>
    <t>Tiruvottiyur</t>
  </si>
  <si>
    <t>172</t>
  </si>
  <si>
    <t>04:40:04</t>
  </si>
  <si>
    <t>05:12:47</t>
  </si>
  <si>
    <t>Patiala</t>
  </si>
  <si>
    <t>173</t>
  </si>
  <si>
    <t>23:15:37</t>
  </si>
  <si>
    <t>01:51:53</t>
  </si>
  <si>
    <t>174</t>
  </si>
  <si>
    <t>15:39:20</t>
  </si>
  <si>
    <t>18:06:46</t>
  </si>
  <si>
    <t>175</t>
  </si>
  <si>
    <t>01:17:47</t>
  </si>
  <si>
    <t>20-10-2023</t>
  </si>
  <si>
    <t>07:22:52</t>
  </si>
  <si>
    <t>Navi Mumbai</t>
  </si>
  <si>
    <t>176</t>
  </si>
  <si>
    <t>03:34:46</t>
  </si>
  <si>
    <t>16-03-2023</t>
  </si>
  <si>
    <t>17:24:51</t>
  </si>
  <si>
    <t>177</t>
  </si>
  <si>
    <t>01:49:12</t>
  </si>
  <si>
    <t>14:50:42</t>
  </si>
  <si>
    <t>178</t>
  </si>
  <si>
    <t>23:04:31</t>
  </si>
  <si>
    <t>02:14:23</t>
  </si>
  <si>
    <t>179</t>
  </si>
  <si>
    <t>15:16:02</t>
  </si>
  <si>
    <t>14:31:07</t>
  </si>
  <si>
    <t>180</t>
  </si>
  <si>
    <t>24-08-2023</t>
  </si>
  <si>
    <t>16:40:33</t>
  </si>
  <si>
    <t>08:45:14</t>
  </si>
  <si>
    <t>181</t>
  </si>
  <si>
    <t>05:55:22</t>
  </si>
  <si>
    <t>06-09-2023</t>
  </si>
  <si>
    <t>04:53:28</t>
  </si>
  <si>
    <t>182</t>
  </si>
  <si>
    <t>23:21:30</t>
  </si>
  <si>
    <t>06:07:33</t>
  </si>
  <si>
    <t>Chennai</t>
  </si>
  <si>
    <t>183</t>
  </si>
  <si>
    <t>18:11:41</t>
  </si>
  <si>
    <t>15:29:26</t>
  </si>
  <si>
    <t>Bahraich</t>
  </si>
  <si>
    <t>184</t>
  </si>
  <si>
    <t>21:34:53</t>
  </si>
  <si>
    <t>05:00:29</t>
  </si>
  <si>
    <t>185</t>
  </si>
  <si>
    <t>07-05-2023</t>
  </si>
  <si>
    <t>07:10:45</t>
  </si>
  <si>
    <t>20:00:43</t>
  </si>
  <si>
    <t>186</t>
  </si>
  <si>
    <t>09:09:44</t>
  </si>
  <si>
    <t>00:16:23</t>
  </si>
  <si>
    <t>187</t>
  </si>
  <si>
    <t>21:10:41</t>
  </si>
  <si>
    <t>09:34:09</t>
  </si>
  <si>
    <t>Anantapur</t>
  </si>
  <si>
    <t>188</t>
  </si>
  <si>
    <t>18-09-2023</t>
  </si>
  <si>
    <t>01:38:33</t>
  </si>
  <si>
    <t>25-09-2023</t>
  </si>
  <si>
    <t>14:02:12</t>
  </si>
  <si>
    <t>189</t>
  </si>
  <si>
    <t>19-11-2023</t>
  </si>
  <si>
    <t>17:22:19</t>
  </si>
  <si>
    <t>22-11-2023</t>
  </si>
  <si>
    <t>13:21:54</t>
  </si>
  <si>
    <t>190</t>
  </si>
  <si>
    <t>12:33:49</t>
  </si>
  <si>
    <t>13:41:24</t>
  </si>
  <si>
    <t>191</t>
  </si>
  <si>
    <t>12-10-2023</t>
  </si>
  <si>
    <t>18:13:06</t>
  </si>
  <si>
    <t>17-10-2023</t>
  </si>
  <si>
    <t>08:50:02</t>
  </si>
  <si>
    <t>Etawah</t>
  </si>
  <si>
    <t>192</t>
  </si>
  <si>
    <t>12:28:32</t>
  </si>
  <si>
    <t>21-08-2023</t>
  </si>
  <si>
    <t>02:11:18</t>
  </si>
  <si>
    <t>193</t>
  </si>
  <si>
    <t>16-08-2023</t>
  </si>
  <si>
    <t>23:44:29</t>
  </si>
  <si>
    <t>19-08-2023</t>
  </si>
  <si>
    <t>02:34:02</t>
  </si>
  <si>
    <t>194</t>
  </si>
  <si>
    <t>11:41:29</t>
  </si>
  <si>
    <t>04:54:30</t>
  </si>
  <si>
    <t>Pondicherry</t>
  </si>
  <si>
    <t>195</t>
  </si>
  <si>
    <t>10-04-2023</t>
  </si>
  <si>
    <t>05:33:53</t>
  </si>
  <si>
    <t>17-04-2023</t>
  </si>
  <si>
    <t>07:51:40</t>
  </si>
  <si>
    <t>196</t>
  </si>
  <si>
    <t>09:37:50</t>
  </si>
  <si>
    <t>08:58:06</t>
  </si>
  <si>
    <t>Begusarai</t>
  </si>
  <si>
    <t>197</t>
  </si>
  <si>
    <t>22-03-2023</t>
  </si>
  <si>
    <t>18:38:42</t>
  </si>
  <si>
    <t>26-03-2023</t>
  </si>
  <si>
    <t>03:30:06</t>
  </si>
  <si>
    <t>198</t>
  </si>
  <si>
    <t>22:33:37</t>
  </si>
  <si>
    <t>04-09-2023</t>
  </si>
  <si>
    <t>01:09:50</t>
  </si>
  <si>
    <t>199</t>
  </si>
  <si>
    <t>01:54:30</t>
  </si>
  <si>
    <t>16:24:59</t>
  </si>
  <si>
    <t>Bareilly</t>
  </si>
  <si>
    <t>200</t>
  </si>
  <si>
    <t>03-01-2023</t>
  </si>
  <si>
    <t>20:04:16</t>
  </si>
  <si>
    <t>08-01-2023</t>
  </si>
  <si>
    <t>23:18:52</t>
  </si>
  <si>
    <t>201</t>
  </si>
  <si>
    <t>04:40:14</t>
  </si>
  <si>
    <t>03:52:28</t>
  </si>
  <si>
    <t>Dewas</t>
  </si>
  <si>
    <t>202</t>
  </si>
  <si>
    <t>08:13:48</t>
  </si>
  <si>
    <t>01-08-2023</t>
  </si>
  <si>
    <t>03:02:01</t>
  </si>
  <si>
    <t>Bhimavaram</t>
  </si>
  <si>
    <t>203</t>
  </si>
  <si>
    <t>05:39:00</t>
  </si>
  <si>
    <t>22:40:14</t>
  </si>
  <si>
    <t>204</t>
  </si>
  <si>
    <t>03-07-2023</t>
  </si>
  <si>
    <t>10:46:43</t>
  </si>
  <si>
    <t>09-07-2023</t>
  </si>
  <si>
    <t>06:29:03</t>
  </si>
  <si>
    <t>205</t>
  </si>
  <si>
    <t>05:17:21</t>
  </si>
  <si>
    <t>11:47:12</t>
  </si>
  <si>
    <t>206</t>
  </si>
  <si>
    <t>22:12:16</t>
  </si>
  <si>
    <t>12:42:01</t>
  </si>
  <si>
    <t>Ulhasnagar</t>
  </si>
  <si>
    <t>207</t>
  </si>
  <si>
    <t>01:13:16</t>
  </si>
  <si>
    <t>12:15:56</t>
  </si>
  <si>
    <t>208</t>
  </si>
  <si>
    <t>02-04-2023</t>
  </si>
  <si>
    <t>04:30:47</t>
  </si>
  <si>
    <t>12-04-2023</t>
  </si>
  <si>
    <t>07:06:36</t>
  </si>
  <si>
    <t>Kulti</t>
  </si>
  <si>
    <t>209</t>
  </si>
  <si>
    <t>22-06-2023</t>
  </si>
  <si>
    <t>00:44:32</t>
  </si>
  <si>
    <t>23-06-2023</t>
  </si>
  <si>
    <t>21:44:32</t>
  </si>
  <si>
    <t>Hajipur</t>
  </si>
  <si>
    <t>210</t>
  </si>
  <si>
    <t>00:46:32</t>
  </si>
  <si>
    <t>08:02:35</t>
  </si>
  <si>
    <t>211</t>
  </si>
  <si>
    <t>22-10-2023</t>
  </si>
  <si>
    <t>18:14:59</t>
  </si>
  <si>
    <t>29-10-2023</t>
  </si>
  <si>
    <t>17:40:03</t>
  </si>
  <si>
    <t>212</t>
  </si>
  <si>
    <t>07:14:40</t>
  </si>
  <si>
    <t>20:01:45</t>
  </si>
  <si>
    <t>213</t>
  </si>
  <si>
    <t>08:58:11</t>
  </si>
  <si>
    <t>Dehradun</t>
  </si>
  <si>
    <t>214</t>
  </si>
  <si>
    <t>07:49:55</t>
  </si>
  <si>
    <t>08:27:25</t>
  </si>
  <si>
    <t>Durgapur</t>
  </si>
  <si>
    <t>215</t>
  </si>
  <si>
    <t>21-05-2023</t>
  </si>
  <si>
    <t>03:54:26</t>
  </si>
  <si>
    <t>24-05-2023</t>
  </si>
  <si>
    <t>12:37:34</t>
  </si>
  <si>
    <t>216</t>
  </si>
  <si>
    <t>15:46:35</t>
  </si>
  <si>
    <t>08-10-2023</t>
  </si>
  <si>
    <t>20:46:28</t>
  </si>
  <si>
    <t>217</t>
  </si>
  <si>
    <t>16:42:19</t>
  </si>
  <si>
    <t>218</t>
  </si>
  <si>
    <t>13-06-2023</t>
  </si>
  <si>
    <t>22:55:11</t>
  </si>
  <si>
    <t>16-06-2023</t>
  </si>
  <si>
    <t>03:06:01</t>
  </si>
  <si>
    <t>Gurgaon</t>
  </si>
  <si>
    <t>219</t>
  </si>
  <si>
    <t>00:36:07</t>
  </si>
  <si>
    <t>10:36:05</t>
  </si>
  <si>
    <t>220</t>
  </si>
  <si>
    <t>12:26:54</t>
  </si>
  <si>
    <t>14:41:52</t>
  </si>
  <si>
    <t>Jalandhar</t>
  </si>
  <si>
    <t>221</t>
  </si>
  <si>
    <t>02:11:04</t>
  </si>
  <si>
    <t>14:00:35</t>
  </si>
  <si>
    <t>Naihati</t>
  </si>
  <si>
    <t>222</t>
  </si>
  <si>
    <t>05:57:25</t>
  </si>
  <si>
    <t>18:20:50</t>
  </si>
  <si>
    <t>223</t>
  </si>
  <si>
    <t>08:44:25</t>
  </si>
  <si>
    <t>10:17:59</t>
  </si>
  <si>
    <t>Bhalswa Jahangir Pur</t>
  </si>
  <si>
    <t>224</t>
  </si>
  <si>
    <t>21:01:58</t>
  </si>
  <si>
    <t>02:06:40</t>
  </si>
  <si>
    <t>Suryapet</t>
  </si>
  <si>
    <t>225</t>
  </si>
  <si>
    <t>12:12:26</t>
  </si>
  <si>
    <t>18:01:06</t>
  </si>
  <si>
    <t>Arrah</t>
  </si>
  <si>
    <t>226</t>
  </si>
  <si>
    <t>08:48:50</t>
  </si>
  <si>
    <t>12-09-2023</t>
  </si>
  <si>
    <t>11:20:36</t>
  </si>
  <si>
    <t>227</t>
  </si>
  <si>
    <t>18:50:42</t>
  </si>
  <si>
    <t>26-12-2023</t>
  </si>
  <si>
    <t>14:09:44</t>
  </si>
  <si>
    <t>228</t>
  </si>
  <si>
    <t>18:40:52</t>
  </si>
  <si>
    <t>10:30:00</t>
  </si>
  <si>
    <t>Bijapur</t>
  </si>
  <si>
    <t>229</t>
  </si>
  <si>
    <t>20:55:38</t>
  </si>
  <si>
    <t>09:32:50</t>
  </si>
  <si>
    <t>Junagadh</t>
  </si>
  <si>
    <t>230</t>
  </si>
  <si>
    <t>08:27:50</t>
  </si>
  <si>
    <t>01:35:49</t>
  </si>
  <si>
    <t>231</t>
  </si>
  <si>
    <t>09:15:18</t>
  </si>
  <si>
    <t>21:13:01</t>
  </si>
  <si>
    <t>Proddatur</t>
  </si>
  <si>
    <t>232</t>
  </si>
  <si>
    <t>12:06:09</t>
  </si>
  <si>
    <t>09:00:02</t>
  </si>
  <si>
    <t>Nadiad</t>
  </si>
  <si>
    <t>233</t>
  </si>
  <si>
    <t>22:15:19</t>
  </si>
  <si>
    <t>04:07:39</t>
  </si>
  <si>
    <t>234</t>
  </si>
  <si>
    <t>24-03-2023</t>
  </si>
  <si>
    <t>21:18:12</t>
  </si>
  <si>
    <t>01-04-2023</t>
  </si>
  <si>
    <t>00:36:53</t>
  </si>
  <si>
    <t>235</t>
  </si>
  <si>
    <t>14:26:46</t>
  </si>
  <si>
    <t>23:26:23</t>
  </si>
  <si>
    <t>236</t>
  </si>
  <si>
    <t>02:10:18</t>
  </si>
  <si>
    <t>237</t>
  </si>
  <si>
    <t>09:23:53</t>
  </si>
  <si>
    <t>08:19:20</t>
  </si>
  <si>
    <t>238</t>
  </si>
  <si>
    <t>07:56:43</t>
  </si>
  <si>
    <t>20:18:17</t>
  </si>
  <si>
    <t>Jammu</t>
  </si>
  <si>
    <t>239</t>
  </si>
  <si>
    <t>08:33:45</t>
  </si>
  <si>
    <t>13:23:08</t>
  </si>
  <si>
    <t>240</t>
  </si>
  <si>
    <t>06:03:38</t>
  </si>
  <si>
    <t>30-03-2023</t>
  </si>
  <si>
    <t>15:43:28</t>
  </si>
  <si>
    <t>241</t>
  </si>
  <si>
    <t>09:52:16</t>
  </si>
  <si>
    <t>08:58:21</t>
  </si>
  <si>
    <t>242</t>
  </si>
  <si>
    <t>10:24:46</t>
  </si>
  <si>
    <t>16:02:32</t>
  </si>
  <si>
    <t>243</t>
  </si>
  <si>
    <t>20:50:37</t>
  </si>
  <si>
    <t>12:30:54</t>
  </si>
  <si>
    <t>Siwan</t>
  </si>
  <si>
    <t>244</t>
  </si>
  <si>
    <t>20-03-2023</t>
  </si>
  <si>
    <t>15:06:01</t>
  </si>
  <si>
    <t>07:06:40</t>
  </si>
  <si>
    <t>245</t>
  </si>
  <si>
    <t>06:25:26</t>
  </si>
  <si>
    <t>09:30:30</t>
  </si>
  <si>
    <t>246</t>
  </si>
  <si>
    <t>23:24:33</t>
  </si>
  <si>
    <t>00:38:49</t>
  </si>
  <si>
    <t>247</t>
  </si>
  <si>
    <t>11-10-2023</t>
  </si>
  <si>
    <t>05:58:48</t>
  </si>
  <si>
    <t>16-10-2023</t>
  </si>
  <si>
    <t>02:58:46</t>
  </si>
  <si>
    <t>Gudivada</t>
  </si>
  <si>
    <t>248</t>
  </si>
  <si>
    <t>08:43:41</t>
  </si>
  <si>
    <t>04:15:01</t>
  </si>
  <si>
    <t>Alwar</t>
  </si>
  <si>
    <t>249</t>
  </si>
  <si>
    <t>10-09-2023</t>
  </si>
  <si>
    <t>22:22:16</t>
  </si>
  <si>
    <t>19-09-2023</t>
  </si>
  <si>
    <t>23:17:36</t>
  </si>
  <si>
    <t>250</t>
  </si>
  <si>
    <t>15:07:27</t>
  </si>
  <si>
    <t>01:32:06</t>
  </si>
  <si>
    <t>Korba</t>
  </si>
  <si>
    <t>251</t>
  </si>
  <si>
    <t>00:31:48</t>
  </si>
  <si>
    <t>00:19:44</t>
  </si>
  <si>
    <t>252</t>
  </si>
  <si>
    <t>05:41:28</t>
  </si>
  <si>
    <t>08:11:16</t>
  </si>
  <si>
    <t>253</t>
  </si>
  <si>
    <t>14:24:46</t>
  </si>
  <si>
    <t>05:39:27</t>
  </si>
  <si>
    <t>Bangalore</t>
  </si>
  <si>
    <t>254</t>
  </si>
  <si>
    <t>07-07-2023</t>
  </si>
  <si>
    <t>00:09:44</t>
  </si>
  <si>
    <t>15-07-2023</t>
  </si>
  <si>
    <t>05:27:49</t>
  </si>
  <si>
    <t>255</t>
  </si>
  <si>
    <t>27-12-2023</t>
  </si>
  <si>
    <t>03:42:35</t>
  </si>
  <si>
    <t>06-01-2024</t>
  </si>
  <si>
    <t>09:23:14</t>
  </si>
  <si>
    <t>256</t>
  </si>
  <si>
    <t>19:13:49</t>
  </si>
  <si>
    <t>18:05:55</t>
  </si>
  <si>
    <t>257</t>
  </si>
  <si>
    <t>15:42:59</t>
  </si>
  <si>
    <t>22:39:39</t>
  </si>
  <si>
    <t>258</t>
  </si>
  <si>
    <t>16-04-2023</t>
  </si>
  <si>
    <t>05:40:39</t>
  </si>
  <si>
    <t>20-04-2023</t>
  </si>
  <si>
    <t>20:05:32</t>
  </si>
  <si>
    <t>259</t>
  </si>
  <si>
    <t>15:21:54</t>
  </si>
  <si>
    <t>00:04:01</t>
  </si>
  <si>
    <t>260</t>
  </si>
  <si>
    <t>13:06:11</t>
  </si>
  <si>
    <t>22:22:30</t>
  </si>
  <si>
    <t>261</t>
  </si>
  <si>
    <t>14:03:50</t>
  </si>
  <si>
    <t>20:17:47</t>
  </si>
  <si>
    <t>262</t>
  </si>
  <si>
    <t>08:05:16</t>
  </si>
  <si>
    <t>01:06:57</t>
  </si>
  <si>
    <t>Tirunelveli</t>
  </si>
  <si>
    <t>263</t>
  </si>
  <si>
    <t>09:35:10</t>
  </si>
  <si>
    <t>15:22:01</t>
  </si>
  <si>
    <t>264</t>
  </si>
  <si>
    <t>05:35:19</t>
  </si>
  <si>
    <t>15:43:46</t>
  </si>
  <si>
    <t>265</t>
  </si>
  <si>
    <t>21:17:18</t>
  </si>
  <si>
    <t>06:28:33</t>
  </si>
  <si>
    <t>266</t>
  </si>
  <si>
    <t>12-05-2023</t>
  </si>
  <si>
    <t>13:46:56</t>
  </si>
  <si>
    <t>19:20:09</t>
  </si>
  <si>
    <t>Sonipat</t>
  </si>
  <si>
    <t>267</t>
  </si>
  <si>
    <t>13:38:57</t>
  </si>
  <si>
    <t>03:52:00</t>
  </si>
  <si>
    <t>Chandrapur</t>
  </si>
  <si>
    <t>268</t>
  </si>
  <si>
    <t>14-08-2023</t>
  </si>
  <si>
    <t>07:45:59</t>
  </si>
  <si>
    <t>16:53:30</t>
  </si>
  <si>
    <t>269</t>
  </si>
  <si>
    <t>25-10-2023</t>
  </si>
  <si>
    <t>01:12:12</t>
  </si>
  <si>
    <t>26-10-2023</t>
  </si>
  <si>
    <t>17:58:13</t>
  </si>
  <si>
    <t>Raebareli</t>
  </si>
  <si>
    <t>270</t>
  </si>
  <si>
    <t>20:21:29</t>
  </si>
  <si>
    <t>16:03:59</t>
  </si>
  <si>
    <t>271</t>
  </si>
  <si>
    <t>18:27:42</t>
  </si>
  <si>
    <t>18:20:05</t>
  </si>
  <si>
    <t>Patna</t>
  </si>
  <si>
    <t>272</t>
  </si>
  <si>
    <t>08-04-2023</t>
  </si>
  <si>
    <t>09:40:05</t>
  </si>
  <si>
    <t>20:13:56</t>
  </si>
  <si>
    <t>273</t>
  </si>
  <si>
    <t>16:12:35</t>
  </si>
  <si>
    <t>24-11-2023</t>
  </si>
  <si>
    <t>01:52:48</t>
  </si>
  <si>
    <t>274</t>
  </si>
  <si>
    <t>06:37:51</t>
  </si>
  <si>
    <t>20:53:36</t>
  </si>
  <si>
    <t>275</t>
  </si>
  <si>
    <t>04:13:47</t>
  </si>
  <si>
    <t>01:17:39</t>
  </si>
  <si>
    <t>Ranchi</t>
  </si>
  <si>
    <t>276</t>
  </si>
  <si>
    <t>28-05-2023</t>
  </si>
  <si>
    <t>01:34:06</t>
  </si>
  <si>
    <t>07:05:33</t>
  </si>
  <si>
    <t>Muzaffarpur</t>
  </si>
  <si>
    <t>277</t>
  </si>
  <si>
    <t>19:16:40</t>
  </si>
  <si>
    <t>15:50:18</t>
  </si>
  <si>
    <t>278</t>
  </si>
  <si>
    <t>20-06-2023</t>
  </si>
  <si>
    <t>23:33:52</t>
  </si>
  <si>
    <t>24-06-2023</t>
  </si>
  <si>
    <t>05:42:44</t>
  </si>
  <si>
    <t>Ballia</t>
  </si>
  <si>
    <t>279</t>
  </si>
  <si>
    <t>09:14:46</t>
  </si>
  <si>
    <t>26-11-2023</t>
  </si>
  <si>
    <t>17:51:23</t>
  </si>
  <si>
    <t>280</t>
  </si>
  <si>
    <t>17:44:47</t>
  </si>
  <si>
    <t>16:31:05</t>
  </si>
  <si>
    <t>281</t>
  </si>
  <si>
    <t>21-09-2023</t>
  </si>
  <si>
    <t>20:36:47</t>
  </si>
  <si>
    <t>10:27:14</t>
  </si>
  <si>
    <t>282</t>
  </si>
  <si>
    <t>10:20:49</t>
  </si>
  <si>
    <t>22:11:40</t>
  </si>
  <si>
    <t>283</t>
  </si>
  <si>
    <t>02:51:34</t>
  </si>
  <si>
    <t>30-11-2023</t>
  </si>
  <si>
    <t>18:21:40</t>
  </si>
  <si>
    <t>Erode</t>
  </si>
  <si>
    <t>284</t>
  </si>
  <si>
    <t>16:13:04</t>
  </si>
  <si>
    <t>11:21:57</t>
  </si>
  <si>
    <t>285</t>
  </si>
  <si>
    <t>17:26:44</t>
  </si>
  <si>
    <t>12:52:20</t>
  </si>
  <si>
    <t>286</t>
  </si>
  <si>
    <t>20:05:40</t>
  </si>
  <si>
    <t>02:41:27</t>
  </si>
  <si>
    <t>Mango</t>
  </si>
  <si>
    <t>287</t>
  </si>
  <si>
    <t>04:54:04</t>
  </si>
  <si>
    <t>15:39:57</t>
  </si>
  <si>
    <t>Muzaffarnagar</t>
  </si>
  <si>
    <t>288</t>
  </si>
  <si>
    <t>15:58:58</t>
  </si>
  <si>
    <t>20:42:36</t>
  </si>
  <si>
    <t>289</t>
  </si>
  <si>
    <t>23:40:01</t>
  </si>
  <si>
    <t>02:50:06</t>
  </si>
  <si>
    <t>290</t>
  </si>
  <si>
    <t>10:27:18</t>
  </si>
  <si>
    <t>14:33:34</t>
  </si>
  <si>
    <t>291</t>
  </si>
  <si>
    <t>00:12:40</t>
  </si>
  <si>
    <t>22:52:51</t>
  </si>
  <si>
    <t>292</t>
  </si>
  <si>
    <t>27-09-2023</t>
  </si>
  <si>
    <t>22:43:35</t>
  </si>
  <si>
    <t>01:44:47</t>
  </si>
  <si>
    <t>293</t>
  </si>
  <si>
    <t>04:03:47</t>
  </si>
  <si>
    <t>18:10:36</t>
  </si>
  <si>
    <t>Tezpur</t>
  </si>
  <si>
    <t>294</t>
  </si>
  <si>
    <t>21:04:18</t>
  </si>
  <si>
    <t>19:44:54</t>
  </si>
  <si>
    <t>295</t>
  </si>
  <si>
    <t>15:54:09</t>
  </si>
  <si>
    <t>10:06:42</t>
  </si>
  <si>
    <t>Tadepalligudem</t>
  </si>
  <si>
    <t>296</t>
  </si>
  <si>
    <t>11:55:14</t>
  </si>
  <si>
    <t>11-04-2023</t>
  </si>
  <si>
    <t>19:33:46</t>
  </si>
  <si>
    <t>297</t>
  </si>
  <si>
    <t>20:15:29</t>
  </si>
  <si>
    <t>20:52:27</t>
  </si>
  <si>
    <t>298</t>
  </si>
  <si>
    <t>23:06:29</t>
  </si>
  <si>
    <t>02:17:43</t>
  </si>
  <si>
    <t>299</t>
  </si>
  <si>
    <t>11:51:21</t>
  </si>
  <si>
    <t>17-11-2023</t>
  </si>
  <si>
    <t>13:17:51</t>
  </si>
  <si>
    <t>300</t>
  </si>
  <si>
    <t>19:20:05</t>
  </si>
  <si>
    <t>18:25:16</t>
  </si>
  <si>
    <t>Tinsukia</t>
  </si>
  <si>
    <t>301</t>
  </si>
  <si>
    <t>06:24:22</t>
  </si>
  <si>
    <t>16:52:16</t>
  </si>
  <si>
    <t>302</t>
  </si>
  <si>
    <t>24-10-2023</t>
  </si>
  <si>
    <t>13:53:05</t>
  </si>
  <si>
    <t>17:13:25</t>
  </si>
  <si>
    <t>303</t>
  </si>
  <si>
    <t>06:42:57</t>
  </si>
  <si>
    <t>29-11-2023</t>
  </si>
  <si>
    <t>07:08:02</t>
  </si>
  <si>
    <t>304</t>
  </si>
  <si>
    <t>09:24:28</t>
  </si>
  <si>
    <t>23:09:37</t>
  </si>
  <si>
    <t>305</t>
  </si>
  <si>
    <t>00:10:44</t>
  </si>
  <si>
    <t>14:01:05</t>
  </si>
  <si>
    <t>306</t>
  </si>
  <si>
    <t>11:35:51</t>
  </si>
  <si>
    <t>06:38:00</t>
  </si>
  <si>
    <t>Bellary</t>
  </si>
  <si>
    <t>307</t>
  </si>
  <si>
    <t>21:37:54</t>
  </si>
  <si>
    <t>11:28:10</t>
  </si>
  <si>
    <t>308</t>
  </si>
  <si>
    <t>09-03-2023</t>
  </si>
  <si>
    <t>07:54:11</t>
  </si>
  <si>
    <t>12:11:24</t>
  </si>
  <si>
    <t>309</t>
  </si>
  <si>
    <t>06:38:43</t>
  </si>
  <si>
    <t>05:14:33</t>
  </si>
  <si>
    <t>310</t>
  </si>
  <si>
    <t>12:24:22</t>
  </si>
  <si>
    <t>15:42:48</t>
  </si>
  <si>
    <t>311</t>
  </si>
  <si>
    <t>09:26:47</t>
  </si>
  <si>
    <t>17:51:43</t>
  </si>
  <si>
    <t>312</t>
  </si>
  <si>
    <t>18:27:36</t>
  </si>
  <si>
    <t>06:01:14</t>
  </si>
  <si>
    <t>Akola</t>
  </si>
  <si>
    <t>313</t>
  </si>
  <si>
    <t>22-07-2023</t>
  </si>
  <si>
    <t>19:24:29</t>
  </si>
  <si>
    <t>26-07-2023</t>
  </si>
  <si>
    <t>06:06:13</t>
  </si>
  <si>
    <t>Thane</t>
  </si>
  <si>
    <t>314</t>
  </si>
  <si>
    <t>11:48:41</t>
  </si>
  <si>
    <t>04:55:25</t>
  </si>
  <si>
    <t>315</t>
  </si>
  <si>
    <t>14:21:31</t>
  </si>
  <si>
    <t>19:20:21</t>
  </si>
  <si>
    <t>Ambattur</t>
  </si>
  <si>
    <t>316</t>
  </si>
  <si>
    <t>21:35:05</t>
  </si>
  <si>
    <t>07:21:50</t>
  </si>
  <si>
    <t>317</t>
  </si>
  <si>
    <t>18:51:27</t>
  </si>
  <si>
    <t>16:12:50</t>
  </si>
  <si>
    <t>318</t>
  </si>
  <si>
    <t>12:15:49</t>
  </si>
  <si>
    <t>15:59:47</t>
  </si>
  <si>
    <t>Hosur</t>
  </si>
  <si>
    <t>319</t>
  </si>
  <si>
    <t>06:23:07</t>
  </si>
  <si>
    <t>22:44:23</t>
  </si>
  <si>
    <t>Bikaner</t>
  </si>
  <si>
    <t>320</t>
  </si>
  <si>
    <t>08:38:21</t>
  </si>
  <si>
    <t>321</t>
  </si>
  <si>
    <t>11:27:05</t>
  </si>
  <si>
    <t>09:51:43</t>
  </si>
  <si>
    <t>Rampur</t>
  </si>
  <si>
    <t>322</t>
  </si>
  <si>
    <t>08:32:11</t>
  </si>
  <si>
    <t>03:30:27</t>
  </si>
  <si>
    <t>Udaipur</t>
  </si>
  <si>
    <t>323</t>
  </si>
  <si>
    <t>18:13:04</t>
  </si>
  <si>
    <t>10:22:35</t>
  </si>
  <si>
    <t>324</t>
  </si>
  <si>
    <t>02-02-2023</t>
  </si>
  <si>
    <t>18:47:28</t>
  </si>
  <si>
    <t>15:34:54</t>
  </si>
  <si>
    <t>325</t>
  </si>
  <si>
    <t>18:30:45</t>
  </si>
  <si>
    <t>20:02:37</t>
  </si>
  <si>
    <t>326</t>
  </si>
  <si>
    <t>15:39:05</t>
  </si>
  <si>
    <t>15:33:32</t>
  </si>
  <si>
    <t>327</t>
  </si>
  <si>
    <t>24-09-2023</t>
  </si>
  <si>
    <t>09:29:05</t>
  </si>
  <si>
    <t>26-09-2023</t>
  </si>
  <si>
    <t>20:09:05</t>
  </si>
  <si>
    <t>328</t>
  </si>
  <si>
    <t>17:51:38</t>
  </si>
  <si>
    <t>08:59:18</t>
  </si>
  <si>
    <t>329</t>
  </si>
  <si>
    <t>02:22:03</t>
  </si>
  <si>
    <t>03:08:52</t>
  </si>
  <si>
    <t>Nashik</t>
  </si>
  <si>
    <t>330</t>
  </si>
  <si>
    <t>20:25:09</t>
  </si>
  <si>
    <t>12:26:20</t>
  </si>
  <si>
    <t>331</t>
  </si>
  <si>
    <t>21:49:56</t>
  </si>
  <si>
    <t>14:13:32</t>
  </si>
  <si>
    <t>332</t>
  </si>
  <si>
    <t>20:14:13</t>
  </si>
  <si>
    <t>14:10:44</t>
  </si>
  <si>
    <t>333</t>
  </si>
  <si>
    <t>06:19:15</t>
  </si>
  <si>
    <t>03:46:29</t>
  </si>
  <si>
    <t>South Dumdum</t>
  </si>
  <si>
    <t>334</t>
  </si>
  <si>
    <t>21:19:46</t>
  </si>
  <si>
    <t>22:03:03</t>
  </si>
  <si>
    <t>335</t>
  </si>
  <si>
    <t>02:09:35</t>
  </si>
  <si>
    <t>02:23:24</t>
  </si>
  <si>
    <t>336</t>
  </si>
  <si>
    <t>04:32:24</t>
  </si>
  <si>
    <t>19:54:17</t>
  </si>
  <si>
    <t>337</t>
  </si>
  <si>
    <t>14:21:12</t>
  </si>
  <si>
    <t>22-05-2023</t>
  </si>
  <si>
    <t>20:26:13</t>
  </si>
  <si>
    <t>338</t>
  </si>
  <si>
    <t>14:15:51</t>
  </si>
  <si>
    <t>01:34:07</t>
  </si>
  <si>
    <t>339</t>
  </si>
  <si>
    <t>20-09-2023</t>
  </si>
  <si>
    <t>20:07:19</t>
  </si>
  <si>
    <t>29-09-2023</t>
  </si>
  <si>
    <t>10:50:19</t>
  </si>
  <si>
    <t>340</t>
  </si>
  <si>
    <t>07:53:01</t>
  </si>
  <si>
    <t>02:56:01</t>
  </si>
  <si>
    <t>341</t>
  </si>
  <si>
    <t>14:54:35</t>
  </si>
  <si>
    <t>22:32:13</t>
  </si>
  <si>
    <t>Ongole</t>
  </si>
  <si>
    <t>342</t>
  </si>
  <si>
    <t>04:03:43</t>
  </si>
  <si>
    <t>16:26:16</t>
  </si>
  <si>
    <t>343</t>
  </si>
  <si>
    <t>14:12:40</t>
  </si>
  <si>
    <t>09:27:05</t>
  </si>
  <si>
    <t>344</t>
  </si>
  <si>
    <t>17:06:22</t>
  </si>
  <si>
    <t>06:28:07</t>
  </si>
  <si>
    <t>345</t>
  </si>
  <si>
    <t>15-09-2023</t>
  </si>
  <si>
    <t>15:40:42</t>
  </si>
  <si>
    <t>23-09-2023</t>
  </si>
  <si>
    <t>23:11:31</t>
  </si>
  <si>
    <t>346</t>
  </si>
  <si>
    <t>23:24:17</t>
  </si>
  <si>
    <t>16:46:34</t>
  </si>
  <si>
    <t>347</t>
  </si>
  <si>
    <t>09:46:21</t>
  </si>
  <si>
    <t>08:37:09</t>
  </si>
  <si>
    <t>Shimoga</t>
  </si>
  <si>
    <t>348</t>
  </si>
  <si>
    <t>28-11-2023</t>
  </si>
  <si>
    <t>20:33:37</t>
  </si>
  <si>
    <t>12:02:59</t>
  </si>
  <si>
    <t>349</t>
  </si>
  <si>
    <t>03:32:37</t>
  </si>
  <si>
    <t>10:31:13</t>
  </si>
  <si>
    <t>350</t>
  </si>
  <si>
    <t>12:22:57</t>
  </si>
  <si>
    <t>16:26:10</t>
  </si>
  <si>
    <t>351</t>
  </si>
  <si>
    <t>16-01-2023</t>
  </si>
  <si>
    <t>15:11:07</t>
  </si>
  <si>
    <t>22:29:59</t>
  </si>
  <si>
    <t>352</t>
  </si>
  <si>
    <t>23:49:45</t>
  </si>
  <si>
    <t>09:14:52</t>
  </si>
  <si>
    <t>353</t>
  </si>
  <si>
    <t>09:43:27</t>
  </si>
  <si>
    <t>14:12:14</t>
  </si>
  <si>
    <t>354</t>
  </si>
  <si>
    <t>17:25:28</t>
  </si>
  <si>
    <t>09:43:32</t>
  </si>
  <si>
    <t>355</t>
  </si>
  <si>
    <t>24-12-2023</t>
  </si>
  <si>
    <t>04:52:44</t>
  </si>
  <si>
    <t>02-01-2024</t>
  </si>
  <si>
    <t>09:38:33</t>
  </si>
  <si>
    <t>356</t>
  </si>
  <si>
    <t>00:41:40</t>
  </si>
  <si>
    <t>04:31:42</t>
  </si>
  <si>
    <t>357</t>
  </si>
  <si>
    <t>20:01:18</t>
  </si>
  <si>
    <t>20:55:34</t>
  </si>
  <si>
    <t>358</t>
  </si>
  <si>
    <t>16:53:29</t>
  </si>
  <si>
    <t>13:30:37</t>
  </si>
  <si>
    <t>Secunderabad</t>
  </si>
  <si>
    <t>359</t>
  </si>
  <si>
    <t>12:13:36</t>
  </si>
  <si>
    <t>20:31:30</t>
  </si>
  <si>
    <t>360</t>
  </si>
  <si>
    <t>03:11:57</t>
  </si>
  <si>
    <t>17:45:31</t>
  </si>
  <si>
    <t>361</t>
  </si>
  <si>
    <t>06:09:56</t>
  </si>
  <si>
    <t>08:33:10</t>
  </si>
  <si>
    <t>362</t>
  </si>
  <si>
    <t>03:40:01</t>
  </si>
  <si>
    <t>10:35:23</t>
  </si>
  <si>
    <t>363</t>
  </si>
  <si>
    <t>27-11-2023</t>
  </si>
  <si>
    <t>19:01:01</t>
  </si>
  <si>
    <t>01:50:36</t>
  </si>
  <si>
    <t>364</t>
  </si>
  <si>
    <t>06:09:01</t>
  </si>
  <si>
    <t>04:37:33</t>
  </si>
  <si>
    <t>365</t>
  </si>
  <si>
    <t>15:31:47</t>
  </si>
  <si>
    <t>04-06-2023</t>
  </si>
  <si>
    <t>10:15:29</t>
  </si>
  <si>
    <t>366</t>
  </si>
  <si>
    <t>23:15:47</t>
  </si>
  <si>
    <t>10:51:38</t>
  </si>
  <si>
    <t>367</t>
  </si>
  <si>
    <t>00:44:09</t>
  </si>
  <si>
    <t>15:05:03</t>
  </si>
  <si>
    <t>368</t>
  </si>
  <si>
    <t>23:03:22</t>
  </si>
  <si>
    <t>02:52:10</t>
  </si>
  <si>
    <t>369</t>
  </si>
  <si>
    <t>07-08-2023</t>
  </si>
  <si>
    <t>07:23:44</t>
  </si>
  <si>
    <t>15-08-2023</t>
  </si>
  <si>
    <t>04:28:30</t>
  </si>
  <si>
    <t>370</t>
  </si>
  <si>
    <t>05:57:39</t>
  </si>
  <si>
    <t>13-07-2023</t>
  </si>
  <si>
    <t>19:01:40</t>
  </si>
  <si>
    <t>371</t>
  </si>
  <si>
    <t>01:27:58</t>
  </si>
  <si>
    <t>19-05-2023</t>
  </si>
  <si>
    <t>10:28:47</t>
  </si>
  <si>
    <t>372</t>
  </si>
  <si>
    <t>19:04:25</t>
  </si>
  <si>
    <t>18:28:46</t>
  </si>
  <si>
    <t>373</t>
  </si>
  <si>
    <t>07-06-2023</t>
  </si>
  <si>
    <t>20:49:11</t>
  </si>
  <si>
    <t>23:57:40</t>
  </si>
  <si>
    <t>374</t>
  </si>
  <si>
    <t>07:47:32</t>
  </si>
  <si>
    <t>22:32:44</t>
  </si>
  <si>
    <t>375</t>
  </si>
  <si>
    <t>04:16:25</t>
  </si>
  <si>
    <t>19:37:38</t>
  </si>
  <si>
    <t>Mysore</t>
  </si>
  <si>
    <t>376</t>
  </si>
  <si>
    <t>14-05-2023</t>
  </si>
  <si>
    <t>20:18:32</t>
  </si>
  <si>
    <t>23:48:02</t>
  </si>
  <si>
    <t>377</t>
  </si>
  <si>
    <t>08:34:06</t>
  </si>
  <si>
    <t>11:47:09</t>
  </si>
  <si>
    <t>Ghaziabad</t>
  </si>
  <si>
    <t>378</t>
  </si>
  <si>
    <t>11:30:20</t>
  </si>
  <si>
    <t>19:26:52</t>
  </si>
  <si>
    <t>Hindupur</t>
  </si>
  <si>
    <t>379</t>
  </si>
  <si>
    <t>23:31:41</t>
  </si>
  <si>
    <t>10:44:03</t>
  </si>
  <si>
    <t>380</t>
  </si>
  <si>
    <t>13:33:02</t>
  </si>
  <si>
    <t>23:40:37</t>
  </si>
  <si>
    <t>381</t>
  </si>
  <si>
    <t>18:30:03</t>
  </si>
  <si>
    <t>28-01-2023</t>
  </si>
  <si>
    <t>06:21:06</t>
  </si>
  <si>
    <t>382</t>
  </si>
  <si>
    <t>10:02:19</t>
  </si>
  <si>
    <t>21:53:48</t>
  </si>
  <si>
    <t>383</t>
  </si>
  <si>
    <t>00:16:45</t>
  </si>
  <si>
    <t>20:09:52</t>
  </si>
  <si>
    <t>384</t>
  </si>
  <si>
    <t>16:57:57</t>
  </si>
  <si>
    <t>13:57:13</t>
  </si>
  <si>
    <t>385</t>
  </si>
  <si>
    <t>01:16:01</t>
  </si>
  <si>
    <t>10:46:18</t>
  </si>
  <si>
    <t>386</t>
  </si>
  <si>
    <t>12:47:45</t>
  </si>
  <si>
    <t>14-06-2023</t>
  </si>
  <si>
    <t>21:34:41</t>
  </si>
  <si>
    <t>387</t>
  </si>
  <si>
    <t>30-04-2023</t>
  </si>
  <si>
    <t>05:38:25</t>
  </si>
  <si>
    <t>02:15:58</t>
  </si>
  <si>
    <t>388</t>
  </si>
  <si>
    <t>00:15:10</t>
  </si>
  <si>
    <t>10:37:06</t>
  </si>
  <si>
    <t>389</t>
  </si>
  <si>
    <t>03:26:18</t>
  </si>
  <si>
    <t>18:13:40</t>
  </si>
  <si>
    <t>390</t>
  </si>
  <si>
    <t>15:40:56</t>
  </si>
  <si>
    <t>23:02:07</t>
  </si>
  <si>
    <t>391</t>
  </si>
  <si>
    <t>13:44:06</t>
  </si>
  <si>
    <t>07-01-2024</t>
  </si>
  <si>
    <t>12:58:41</t>
  </si>
  <si>
    <t>392</t>
  </si>
  <si>
    <t>03:18:55</t>
  </si>
  <si>
    <t>18:53:09</t>
  </si>
  <si>
    <t>393</t>
  </si>
  <si>
    <t>11:01:18</t>
  </si>
  <si>
    <t>16:10:46</t>
  </si>
  <si>
    <t>Solapur</t>
  </si>
  <si>
    <t>394</t>
  </si>
  <si>
    <t>04:26:37</t>
  </si>
  <si>
    <t>31-03-2023</t>
  </si>
  <si>
    <t>395</t>
  </si>
  <si>
    <t>23:14:54</t>
  </si>
  <si>
    <t>18:32:37</t>
  </si>
  <si>
    <t>396</t>
  </si>
  <si>
    <t>15:30:58</t>
  </si>
  <si>
    <t>01:45:01</t>
  </si>
  <si>
    <t>397</t>
  </si>
  <si>
    <t>06:48:09</t>
  </si>
  <si>
    <t>13:32:34</t>
  </si>
  <si>
    <t>398</t>
  </si>
  <si>
    <t>08:45:21</t>
  </si>
  <si>
    <t>10:01:43</t>
  </si>
  <si>
    <t>399</t>
  </si>
  <si>
    <t>06:21:47</t>
  </si>
  <si>
    <t>07:08:14</t>
  </si>
  <si>
    <t>400</t>
  </si>
  <si>
    <t>14:05:01</t>
  </si>
  <si>
    <t>18:10:53</t>
  </si>
  <si>
    <t>401</t>
  </si>
  <si>
    <t>19:53:33</t>
  </si>
  <si>
    <t>07:19:07</t>
  </si>
  <si>
    <t>402</t>
  </si>
  <si>
    <t>16:42:29</t>
  </si>
  <si>
    <t>13:32:50</t>
  </si>
  <si>
    <t>403</t>
  </si>
  <si>
    <t>11:45:28</t>
  </si>
  <si>
    <t>20:13:26</t>
  </si>
  <si>
    <t>Chapra</t>
  </si>
  <si>
    <t>404</t>
  </si>
  <si>
    <t>07:55:20</t>
  </si>
  <si>
    <t>22:27:19</t>
  </si>
  <si>
    <t>405</t>
  </si>
  <si>
    <t>23:05:14</t>
  </si>
  <si>
    <t>14:47:38</t>
  </si>
  <si>
    <t>406</t>
  </si>
  <si>
    <t>15:59:17</t>
  </si>
  <si>
    <t>06:23:53</t>
  </si>
  <si>
    <t>407</t>
  </si>
  <si>
    <t>08:52:11</t>
  </si>
  <si>
    <t>04:09:44</t>
  </si>
  <si>
    <t>408</t>
  </si>
  <si>
    <t>12:19:26</t>
  </si>
  <si>
    <t>04:41:38</t>
  </si>
  <si>
    <t>409</t>
  </si>
  <si>
    <t>17:43:59</t>
  </si>
  <si>
    <t>19:44:57</t>
  </si>
  <si>
    <t>410</t>
  </si>
  <si>
    <t>20:20:49</t>
  </si>
  <si>
    <t>05:57:06</t>
  </si>
  <si>
    <t>Surendranagar Dudhrej</t>
  </si>
  <si>
    <t>411</t>
  </si>
  <si>
    <t>16:31:34</t>
  </si>
  <si>
    <t>07:21:26</t>
  </si>
  <si>
    <t>412</t>
  </si>
  <si>
    <t>09:28:24</t>
  </si>
  <si>
    <t>31-10-2023</t>
  </si>
  <si>
    <t>23:14:27</t>
  </si>
  <si>
    <t>413</t>
  </si>
  <si>
    <t>05:32:17</t>
  </si>
  <si>
    <t>20:21:11</t>
  </si>
  <si>
    <t>414</t>
  </si>
  <si>
    <t>21:18:11</t>
  </si>
  <si>
    <t>01:07:31</t>
  </si>
  <si>
    <t>415</t>
  </si>
  <si>
    <t>20:08:30</t>
  </si>
  <si>
    <t>01:20:56</t>
  </si>
  <si>
    <t>416</t>
  </si>
  <si>
    <t>16:41:02</t>
  </si>
  <si>
    <t>09:37:01</t>
  </si>
  <si>
    <t>Saharanpur</t>
  </si>
  <si>
    <t>417</t>
  </si>
  <si>
    <t>22:40:40</t>
  </si>
  <si>
    <t>05:56:33</t>
  </si>
  <si>
    <t>418</t>
  </si>
  <si>
    <t>13:17:22</t>
  </si>
  <si>
    <t>11:37:10</t>
  </si>
  <si>
    <t>419</t>
  </si>
  <si>
    <t>17:18:51</t>
  </si>
  <si>
    <t>13:53:36</t>
  </si>
  <si>
    <t>420</t>
  </si>
  <si>
    <t>08:36:20</t>
  </si>
  <si>
    <t>00:07:29</t>
  </si>
  <si>
    <t>421</t>
  </si>
  <si>
    <t>08-08-2023</t>
  </si>
  <si>
    <t>20:16:30</t>
  </si>
  <si>
    <t>12-08-2023</t>
  </si>
  <si>
    <t>19:04:00</t>
  </si>
  <si>
    <t>422</t>
  </si>
  <si>
    <t>03:03:58</t>
  </si>
  <si>
    <t>04:05:39</t>
  </si>
  <si>
    <t>Eluru</t>
  </si>
  <si>
    <t>423</t>
  </si>
  <si>
    <t>16:46:58</t>
  </si>
  <si>
    <t>00:10:05</t>
  </si>
  <si>
    <t>Alappuzha</t>
  </si>
  <si>
    <t>424</t>
  </si>
  <si>
    <t>03:04:56</t>
  </si>
  <si>
    <t>10:27:03</t>
  </si>
  <si>
    <t>425</t>
  </si>
  <si>
    <t>30-09-2023</t>
  </si>
  <si>
    <t>00:02:06</t>
  </si>
  <si>
    <t>22:59:28</t>
  </si>
  <si>
    <t>426</t>
  </si>
  <si>
    <t>22:59:54</t>
  </si>
  <si>
    <t>13:51:00</t>
  </si>
  <si>
    <t>Kharagpur</t>
  </si>
  <si>
    <t>427</t>
  </si>
  <si>
    <t>07:56:32</t>
  </si>
  <si>
    <t>22:46:12</t>
  </si>
  <si>
    <t>428</t>
  </si>
  <si>
    <t>06-12-2023</t>
  </si>
  <si>
    <t>03:32:38</t>
  </si>
  <si>
    <t>12-12-2023</t>
  </si>
  <si>
    <t>19:37:01</t>
  </si>
  <si>
    <t>429</t>
  </si>
  <si>
    <t>22:46:57</t>
  </si>
  <si>
    <t>12:43:52</t>
  </si>
  <si>
    <t>430</t>
  </si>
  <si>
    <t>07:20:30</t>
  </si>
  <si>
    <t>10:03:32</t>
  </si>
  <si>
    <t>Rourkela</t>
  </si>
  <si>
    <t>431</t>
  </si>
  <si>
    <t>19:13:43</t>
  </si>
  <si>
    <t>19-12-2023</t>
  </si>
  <si>
    <t>21:02:24</t>
  </si>
  <si>
    <t>432</t>
  </si>
  <si>
    <t>05-01-2023</t>
  </si>
  <si>
    <t>12:09:27</t>
  </si>
  <si>
    <t>19:40:38</t>
  </si>
  <si>
    <t>433</t>
  </si>
  <si>
    <t>23:33:51</t>
  </si>
  <si>
    <t>04:19:56</t>
  </si>
  <si>
    <t>434</t>
  </si>
  <si>
    <t>07:23:06</t>
  </si>
  <si>
    <t>19:43:32</t>
  </si>
  <si>
    <t>435</t>
  </si>
  <si>
    <t>17:27:30</t>
  </si>
  <si>
    <t>12:35:14</t>
  </si>
  <si>
    <t>Mira-Bhayandar</t>
  </si>
  <si>
    <t>436</t>
  </si>
  <si>
    <t>27-01-2023</t>
  </si>
  <si>
    <t>06:08:00</t>
  </si>
  <si>
    <t>08:15:49</t>
  </si>
  <si>
    <t>437</t>
  </si>
  <si>
    <t>06:30:47</t>
  </si>
  <si>
    <t>22:56:38</t>
  </si>
  <si>
    <t>Uluberia</t>
  </si>
  <si>
    <t>438</t>
  </si>
  <si>
    <t>09:27:17</t>
  </si>
  <si>
    <t>03:18:31</t>
  </si>
  <si>
    <t>439</t>
  </si>
  <si>
    <t>08:56:11</t>
  </si>
  <si>
    <t>12:51:06</t>
  </si>
  <si>
    <t>440</t>
  </si>
  <si>
    <t>09:33:31</t>
  </si>
  <si>
    <t>01:21:29</t>
  </si>
  <si>
    <t>441</t>
  </si>
  <si>
    <t>11:23:56</t>
  </si>
  <si>
    <t>16:38:50</t>
  </si>
  <si>
    <t>Kurnool</t>
  </si>
  <si>
    <t>442</t>
  </si>
  <si>
    <t>18:03:20</t>
  </si>
  <si>
    <t>08:05:39</t>
  </si>
  <si>
    <t>443</t>
  </si>
  <si>
    <t>22:22:19</t>
  </si>
  <si>
    <t>02:16:00</t>
  </si>
  <si>
    <t>444</t>
  </si>
  <si>
    <t>01:01:13</t>
  </si>
  <si>
    <t>09:54:20</t>
  </si>
  <si>
    <t>445</t>
  </si>
  <si>
    <t>20:08:42</t>
  </si>
  <si>
    <t>14:22:27</t>
  </si>
  <si>
    <t>446</t>
  </si>
  <si>
    <t>02:54:04</t>
  </si>
  <si>
    <t>11:03:28</t>
  </si>
  <si>
    <t>447</t>
  </si>
  <si>
    <t>02:45:34</t>
  </si>
  <si>
    <t>15:04:56</t>
  </si>
  <si>
    <t>448</t>
  </si>
  <si>
    <t>02:42:54</t>
  </si>
  <si>
    <t>13:42:24</t>
  </si>
  <si>
    <t>449</t>
  </si>
  <si>
    <t>03:18:26</t>
  </si>
  <si>
    <t>10:09:41</t>
  </si>
  <si>
    <t>450</t>
  </si>
  <si>
    <t>02-12-2023</t>
  </si>
  <si>
    <t>07:58:05</t>
  </si>
  <si>
    <t>10:09:58</t>
  </si>
  <si>
    <t>451</t>
  </si>
  <si>
    <t>00:16:52</t>
  </si>
  <si>
    <t>21:10:57</t>
  </si>
  <si>
    <t>452</t>
  </si>
  <si>
    <t>19:57:29</t>
  </si>
  <si>
    <t>11:42:18</t>
  </si>
  <si>
    <t>453</t>
  </si>
  <si>
    <t>10:11:39</t>
  </si>
  <si>
    <t>12:28:21</t>
  </si>
  <si>
    <t>454</t>
  </si>
  <si>
    <t>23:26:49</t>
  </si>
  <si>
    <t>01:21:56</t>
  </si>
  <si>
    <t>455</t>
  </si>
  <si>
    <t>22:33:50</t>
  </si>
  <si>
    <t>18:04:20</t>
  </si>
  <si>
    <t>456</t>
  </si>
  <si>
    <t>22:14:06</t>
  </si>
  <si>
    <t>457</t>
  </si>
  <si>
    <t>27-05-2023</t>
  </si>
  <si>
    <t>13:55:39</t>
  </si>
  <si>
    <t>16:38:25</t>
  </si>
  <si>
    <t>Mirzapur</t>
  </si>
  <si>
    <t>458</t>
  </si>
  <si>
    <t>17:21:30</t>
  </si>
  <si>
    <t>20:32:44</t>
  </si>
  <si>
    <t>459</t>
  </si>
  <si>
    <t>29-03-2023</t>
  </si>
  <si>
    <t>07:24:55</t>
  </si>
  <si>
    <t>07:34:31</t>
  </si>
  <si>
    <t>460</t>
  </si>
  <si>
    <t>07:58:33</t>
  </si>
  <si>
    <t>00:07:26</t>
  </si>
  <si>
    <t>Kolhapur</t>
  </si>
  <si>
    <t>461</t>
  </si>
  <si>
    <t>08:12:37</t>
  </si>
  <si>
    <t>27-06-2023</t>
  </si>
  <si>
    <t>14:52:56</t>
  </si>
  <si>
    <t>462</t>
  </si>
  <si>
    <t>18:10:06</t>
  </si>
  <si>
    <t>14:20:14</t>
  </si>
  <si>
    <t>463</t>
  </si>
  <si>
    <t>22:23:47</t>
  </si>
  <si>
    <t>00:52:03</t>
  </si>
  <si>
    <t>Hazaribagh</t>
  </si>
  <si>
    <t>464</t>
  </si>
  <si>
    <t>05-07-2023</t>
  </si>
  <si>
    <t>03:04:25</t>
  </si>
  <si>
    <t>13:38:45</t>
  </si>
  <si>
    <t>Buxar</t>
  </si>
  <si>
    <t>465</t>
  </si>
  <si>
    <t>23:46:12</t>
  </si>
  <si>
    <t>13:29:11</t>
  </si>
  <si>
    <t>466</t>
  </si>
  <si>
    <t>13:58:22</t>
  </si>
  <si>
    <t>09:59:41</t>
  </si>
  <si>
    <t>467</t>
  </si>
  <si>
    <t>14:18:44</t>
  </si>
  <si>
    <t>15:20:11</t>
  </si>
  <si>
    <t>468</t>
  </si>
  <si>
    <t>07:57:26</t>
  </si>
  <si>
    <t>01:24:47</t>
  </si>
  <si>
    <t>Rajahmundry</t>
  </si>
  <si>
    <t>469</t>
  </si>
  <si>
    <t>07:06:00</t>
  </si>
  <si>
    <t>12:56:49</t>
  </si>
  <si>
    <t>470</t>
  </si>
  <si>
    <t>17:34:04</t>
  </si>
  <si>
    <t>15:29:29</t>
  </si>
  <si>
    <t>471</t>
  </si>
  <si>
    <t>31-01-2023</t>
  </si>
  <si>
    <t>12:09:01</t>
  </si>
  <si>
    <t>05:50:06</t>
  </si>
  <si>
    <t>472</t>
  </si>
  <si>
    <t>07:32:38</t>
  </si>
  <si>
    <t>30-12-2023</t>
  </si>
  <si>
    <t>22:46:18</t>
  </si>
  <si>
    <t>473</t>
  </si>
  <si>
    <t>28-03-2023</t>
  </si>
  <si>
    <t>08:13:57</t>
  </si>
  <si>
    <t>04-04-2023</t>
  </si>
  <si>
    <t>15:44:18</t>
  </si>
  <si>
    <t>Giridih</t>
  </si>
  <si>
    <t>474</t>
  </si>
  <si>
    <t>06:31:59</t>
  </si>
  <si>
    <t>02:00:07</t>
  </si>
  <si>
    <t>475</t>
  </si>
  <si>
    <t>04-12-2023</t>
  </si>
  <si>
    <t>07:21:23</t>
  </si>
  <si>
    <t>08-12-2023</t>
  </si>
  <si>
    <t>13:32:22</t>
  </si>
  <si>
    <t>Jalgaon</t>
  </si>
  <si>
    <t>476</t>
  </si>
  <si>
    <t>01:17:18</t>
  </si>
  <si>
    <t>17:53:14</t>
  </si>
  <si>
    <t>477</t>
  </si>
  <si>
    <t>17:18:09</t>
  </si>
  <si>
    <t>03:11:52</t>
  </si>
  <si>
    <t>478</t>
  </si>
  <si>
    <t>01:11:21</t>
  </si>
  <si>
    <t>09:50:19</t>
  </si>
  <si>
    <t>Ambarnath</t>
  </si>
  <si>
    <t>479</t>
  </si>
  <si>
    <t>17:48:21</t>
  </si>
  <si>
    <t>10:48:13</t>
  </si>
  <si>
    <t>480</t>
  </si>
  <si>
    <t>04:29:31</t>
  </si>
  <si>
    <t>22:19:33</t>
  </si>
  <si>
    <t>Sagar</t>
  </si>
  <si>
    <t>481</t>
  </si>
  <si>
    <t>00:00:53</t>
  </si>
  <si>
    <t>18:36:25</t>
  </si>
  <si>
    <t>Bhiwandi</t>
  </si>
  <si>
    <t>482</t>
  </si>
  <si>
    <t>05-06-2023</t>
  </si>
  <si>
    <t>20:33:38</t>
  </si>
  <si>
    <t>20:56:35</t>
  </si>
  <si>
    <t>483</t>
  </si>
  <si>
    <t>06:25:03</t>
  </si>
  <si>
    <t>05:06:02</t>
  </si>
  <si>
    <t>484</t>
  </si>
  <si>
    <t>26-05-2023</t>
  </si>
  <si>
    <t>19:03:55</t>
  </si>
  <si>
    <t>19:32:17</t>
  </si>
  <si>
    <t>485</t>
  </si>
  <si>
    <t>19:20:24</t>
  </si>
  <si>
    <t>19:27:14</t>
  </si>
  <si>
    <t>486</t>
  </si>
  <si>
    <t>14:34:30</t>
  </si>
  <si>
    <t>30-07-2023</t>
  </si>
  <si>
    <t>16:58:35</t>
  </si>
  <si>
    <t>487</t>
  </si>
  <si>
    <t>16:46:57</t>
  </si>
  <si>
    <t>09-01-2023</t>
  </si>
  <si>
    <t>04:28:18</t>
  </si>
  <si>
    <t>488</t>
  </si>
  <si>
    <t>22:13:30</t>
  </si>
  <si>
    <t>05:26:49</t>
  </si>
  <si>
    <t>489</t>
  </si>
  <si>
    <t>22:26:56</t>
  </si>
  <si>
    <t>04:30:46</t>
  </si>
  <si>
    <t>490</t>
  </si>
  <si>
    <t>12:28:03</t>
  </si>
  <si>
    <t>12:27:19</t>
  </si>
  <si>
    <t>491</t>
  </si>
  <si>
    <t>06:14:34</t>
  </si>
  <si>
    <t>22:59:20</t>
  </si>
  <si>
    <t>492</t>
  </si>
  <si>
    <t>13:54:25</t>
  </si>
  <si>
    <t>12:04:33</t>
  </si>
  <si>
    <t>493</t>
  </si>
  <si>
    <t>22:11:24</t>
  </si>
  <si>
    <t>15:43:11</t>
  </si>
  <si>
    <t>494</t>
  </si>
  <si>
    <t>03:11:22</t>
  </si>
  <si>
    <t>19:06:48</t>
  </si>
  <si>
    <t>495</t>
  </si>
  <si>
    <t>17:42:29</t>
  </si>
  <si>
    <t>22:51:31</t>
  </si>
  <si>
    <t>Pimpri-Chinchwad</t>
  </si>
  <si>
    <t>496</t>
  </si>
  <si>
    <t>14:31:57</t>
  </si>
  <si>
    <t>13:05:41</t>
  </si>
  <si>
    <t>497</t>
  </si>
  <si>
    <t>20:14:01</t>
  </si>
  <si>
    <t>04:42:56</t>
  </si>
  <si>
    <t>498</t>
  </si>
  <si>
    <t>21:34:44</t>
  </si>
  <si>
    <t>21:14:24</t>
  </si>
  <si>
    <t>Bhusawal</t>
  </si>
  <si>
    <t>499</t>
  </si>
  <si>
    <t>12:09:20</t>
  </si>
  <si>
    <t>500</t>
  </si>
  <si>
    <t>29-06-2023</t>
  </si>
  <si>
    <t>10:07:52</t>
  </si>
  <si>
    <t>12:14:25</t>
  </si>
  <si>
    <t>Bongaigaon</t>
  </si>
  <si>
    <t>501</t>
  </si>
  <si>
    <t>16:27:41</t>
  </si>
  <si>
    <t>07:33:36</t>
  </si>
  <si>
    <t>502</t>
  </si>
  <si>
    <t>05:33:20</t>
  </si>
  <si>
    <t>00:55:44</t>
  </si>
  <si>
    <t>503</t>
  </si>
  <si>
    <t>20:45:45</t>
  </si>
  <si>
    <t>07:49:54</t>
  </si>
  <si>
    <t>Dehri</t>
  </si>
  <si>
    <t>504</t>
  </si>
  <si>
    <t>13:04:42</t>
  </si>
  <si>
    <t>05:20:36</t>
  </si>
  <si>
    <t>Meerut</t>
  </si>
  <si>
    <t>505</t>
  </si>
  <si>
    <t>13:19:25</t>
  </si>
  <si>
    <t>01:59:32</t>
  </si>
  <si>
    <t>506</t>
  </si>
  <si>
    <t>08:52:04</t>
  </si>
  <si>
    <t>11:43:24</t>
  </si>
  <si>
    <t>507</t>
  </si>
  <si>
    <t>00:28:11</t>
  </si>
  <si>
    <t>20:11:36</t>
  </si>
  <si>
    <t>508</t>
  </si>
  <si>
    <t>17:29:28</t>
  </si>
  <si>
    <t>07:11:06</t>
  </si>
  <si>
    <t>509</t>
  </si>
  <si>
    <t>12:48:55</t>
  </si>
  <si>
    <t>07:47:16</t>
  </si>
  <si>
    <t>510</t>
  </si>
  <si>
    <t>13:00:05</t>
  </si>
  <si>
    <t>17-12-2023</t>
  </si>
  <si>
    <t>06:14:47</t>
  </si>
  <si>
    <t>511</t>
  </si>
  <si>
    <t>12:58:05</t>
  </si>
  <si>
    <t>00:46:11</t>
  </si>
  <si>
    <t>512</t>
  </si>
  <si>
    <t>02:42:41</t>
  </si>
  <si>
    <t>13:10:40</t>
  </si>
  <si>
    <t>513</t>
  </si>
  <si>
    <t>09:57:32</t>
  </si>
  <si>
    <t>13:56:41</t>
  </si>
  <si>
    <t>514</t>
  </si>
  <si>
    <t>09:56:10</t>
  </si>
  <si>
    <t>17:56:52</t>
  </si>
  <si>
    <t>515</t>
  </si>
  <si>
    <t>21-10-2023</t>
  </si>
  <si>
    <t>23:22:39</t>
  </si>
  <si>
    <t>14:59:49</t>
  </si>
  <si>
    <t>Unnao</t>
  </si>
  <si>
    <t>516</t>
  </si>
  <si>
    <t>20:52:56</t>
  </si>
  <si>
    <t>01:06:20</t>
  </si>
  <si>
    <t>517</t>
  </si>
  <si>
    <t>19:04:55</t>
  </si>
  <si>
    <t>518</t>
  </si>
  <si>
    <t>04:46:41</t>
  </si>
  <si>
    <t>19:40:46</t>
  </si>
  <si>
    <t>519</t>
  </si>
  <si>
    <t>23:10:38</t>
  </si>
  <si>
    <t>06:40:20</t>
  </si>
  <si>
    <t>520</t>
  </si>
  <si>
    <t>07-04-2023</t>
  </si>
  <si>
    <t>04:43:51</t>
  </si>
  <si>
    <t>08:21:40</t>
  </si>
  <si>
    <t>521</t>
  </si>
  <si>
    <t>21:00:17</t>
  </si>
  <si>
    <t>02:28:38</t>
  </si>
  <si>
    <t>522</t>
  </si>
  <si>
    <t>21:04:28</t>
  </si>
  <si>
    <t>01:34:50</t>
  </si>
  <si>
    <t>523</t>
  </si>
  <si>
    <t>02-07-2023</t>
  </si>
  <si>
    <t>13:37:08</t>
  </si>
  <si>
    <t>15:38:36</t>
  </si>
  <si>
    <t>524</t>
  </si>
  <si>
    <t>13:54:54</t>
  </si>
  <si>
    <t>12:29:47</t>
  </si>
  <si>
    <t>525</t>
  </si>
  <si>
    <t>20:06:08</t>
  </si>
  <si>
    <t>22:22:35</t>
  </si>
  <si>
    <t>Bhagalpur</t>
  </si>
  <si>
    <t>526</t>
  </si>
  <si>
    <t>06:06:20</t>
  </si>
  <si>
    <t>01:35:05</t>
  </si>
  <si>
    <t>527</t>
  </si>
  <si>
    <t>12:51:40</t>
  </si>
  <si>
    <t>19-02-2023</t>
  </si>
  <si>
    <t>15:58:07</t>
  </si>
  <si>
    <t>528</t>
  </si>
  <si>
    <t>05:01:16</t>
  </si>
  <si>
    <t>17:03:43</t>
  </si>
  <si>
    <t>529</t>
  </si>
  <si>
    <t>15:47:28</t>
  </si>
  <si>
    <t>14:05:18</t>
  </si>
  <si>
    <t>530</t>
  </si>
  <si>
    <t>10:45:21</t>
  </si>
  <si>
    <t>00:23:56</t>
  </si>
  <si>
    <t>531</t>
  </si>
  <si>
    <t>13:32:08</t>
  </si>
  <si>
    <t>08:43:11</t>
  </si>
  <si>
    <t>532</t>
  </si>
  <si>
    <t>13:25:06</t>
  </si>
  <si>
    <t>02:55:07</t>
  </si>
  <si>
    <t>533</t>
  </si>
  <si>
    <t>07:19:52</t>
  </si>
  <si>
    <t>17:43:45</t>
  </si>
  <si>
    <t>534</t>
  </si>
  <si>
    <t>03:40:16</t>
  </si>
  <si>
    <t>11:22:37</t>
  </si>
  <si>
    <t>535</t>
  </si>
  <si>
    <t>21:59:28</t>
  </si>
  <si>
    <t>11-07-2023</t>
  </si>
  <si>
    <t>06:30:40</t>
  </si>
  <si>
    <t>536</t>
  </si>
  <si>
    <t>15:14:52</t>
  </si>
  <si>
    <t>11:13:10</t>
  </si>
  <si>
    <t>537</t>
  </si>
  <si>
    <t>06:19:24</t>
  </si>
  <si>
    <t>03:09:08</t>
  </si>
  <si>
    <t>538</t>
  </si>
  <si>
    <t>18-05-2023</t>
  </si>
  <si>
    <t>13:09:06</t>
  </si>
  <si>
    <t>22:36:16</t>
  </si>
  <si>
    <t>539</t>
  </si>
  <si>
    <t>09-06-2023</t>
  </si>
  <si>
    <t>15:39:18</t>
  </si>
  <si>
    <t>14:17:05</t>
  </si>
  <si>
    <t>Jehanabad</t>
  </si>
  <si>
    <t>540</t>
  </si>
  <si>
    <t>19:07:35</t>
  </si>
  <si>
    <t>01:26:00</t>
  </si>
  <si>
    <t>Morbi</t>
  </si>
  <si>
    <t>541</t>
  </si>
  <si>
    <t>05:51:09</t>
  </si>
  <si>
    <t>22:56:34</t>
  </si>
  <si>
    <t>542</t>
  </si>
  <si>
    <t>19:41:20</t>
  </si>
  <si>
    <t>09:52:12</t>
  </si>
  <si>
    <t>543</t>
  </si>
  <si>
    <t>21:51:10</t>
  </si>
  <si>
    <t>11:53:09</t>
  </si>
  <si>
    <t>544</t>
  </si>
  <si>
    <t>02:31:54</t>
  </si>
  <si>
    <t>09:33:52</t>
  </si>
  <si>
    <t>545</t>
  </si>
  <si>
    <t>01:54:52</t>
  </si>
  <si>
    <t>08:07:19</t>
  </si>
  <si>
    <t>546</t>
  </si>
  <si>
    <t>22:04:53</t>
  </si>
  <si>
    <t>10:00:07</t>
  </si>
  <si>
    <t>Motihari</t>
  </si>
  <si>
    <t>547</t>
  </si>
  <si>
    <t>10-01-2023</t>
  </si>
  <si>
    <t>02:30:12</t>
  </si>
  <si>
    <t>19-01-2023</t>
  </si>
  <si>
    <t>548</t>
  </si>
  <si>
    <t>12:32:50</t>
  </si>
  <si>
    <t>19:47:44</t>
  </si>
  <si>
    <t>549</t>
  </si>
  <si>
    <t>19:29:43</t>
  </si>
  <si>
    <t>02:29:10</t>
  </si>
  <si>
    <t>550</t>
  </si>
  <si>
    <t>19:28:12</t>
  </si>
  <si>
    <t>17:03:39</t>
  </si>
  <si>
    <t>Bettiah</t>
  </si>
  <si>
    <t>551</t>
  </si>
  <si>
    <t>19-04-2023</t>
  </si>
  <si>
    <t>20:43:42</t>
  </si>
  <si>
    <t>15:25:04</t>
  </si>
  <si>
    <t>552</t>
  </si>
  <si>
    <t>18:59:31</t>
  </si>
  <si>
    <t>17:09:07</t>
  </si>
  <si>
    <t>553</t>
  </si>
  <si>
    <t>01:22:41</t>
  </si>
  <si>
    <t>07:43:27</t>
  </si>
  <si>
    <t>554</t>
  </si>
  <si>
    <t>20:25:07</t>
  </si>
  <si>
    <t>16:49:01</t>
  </si>
  <si>
    <t>Sangli-Miraj &amp; Kupwad</t>
  </si>
  <si>
    <t>555</t>
  </si>
  <si>
    <t>12:05:43</t>
  </si>
  <si>
    <t>17:58:12</t>
  </si>
  <si>
    <t>556</t>
  </si>
  <si>
    <t>15:34:22</t>
  </si>
  <si>
    <t>21-12-2023</t>
  </si>
  <si>
    <t>15:49:48</t>
  </si>
  <si>
    <t>557</t>
  </si>
  <si>
    <t>03:00:42</t>
  </si>
  <si>
    <t>02:10:39</t>
  </si>
  <si>
    <t>558</t>
  </si>
  <si>
    <t>00:42:58</t>
  </si>
  <si>
    <t>00:24:52</t>
  </si>
  <si>
    <t>559</t>
  </si>
  <si>
    <t>16:37:11</t>
  </si>
  <si>
    <t>18:35:43</t>
  </si>
  <si>
    <t>Mau</t>
  </si>
  <si>
    <t>560</t>
  </si>
  <si>
    <t>09-08-2023</t>
  </si>
  <si>
    <t>09:50:53</t>
  </si>
  <si>
    <t>561</t>
  </si>
  <si>
    <t>12:24:35</t>
  </si>
  <si>
    <t>17:23:34</t>
  </si>
  <si>
    <t>562</t>
  </si>
  <si>
    <t>09:18:20</t>
  </si>
  <si>
    <t>563</t>
  </si>
  <si>
    <t>11:43:18</t>
  </si>
  <si>
    <t>05:04:29</t>
  </si>
  <si>
    <t>564</t>
  </si>
  <si>
    <t>00:40:20</t>
  </si>
  <si>
    <t>06:06:57</t>
  </si>
  <si>
    <t>Gandhinagar</t>
  </si>
  <si>
    <t>565</t>
  </si>
  <si>
    <t>17:28:16</t>
  </si>
  <si>
    <t>13:12:47</t>
  </si>
  <si>
    <t>566</t>
  </si>
  <si>
    <t>12:48:03</t>
  </si>
  <si>
    <t>20:36:32</t>
  </si>
  <si>
    <t>567</t>
  </si>
  <si>
    <t>06:11:59</t>
  </si>
  <si>
    <t>18:57:04</t>
  </si>
  <si>
    <t>568</t>
  </si>
  <si>
    <t>20:55:39</t>
  </si>
  <si>
    <t>13:16:14</t>
  </si>
  <si>
    <t>569</t>
  </si>
  <si>
    <t>14:00:43</t>
  </si>
  <si>
    <t>17:56:22</t>
  </si>
  <si>
    <t>570</t>
  </si>
  <si>
    <t>11:25:04</t>
  </si>
  <si>
    <t>00:53:55</t>
  </si>
  <si>
    <t>Satna</t>
  </si>
  <si>
    <t>571</t>
  </si>
  <si>
    <t>09:38:25</t>
  </si>
  <si>
    <t>04:26:01</t>
  </si>
  <si>
    <t>572</t>
  </si>
  <si>
    <t>15:48:37</t>
  </si>
  <si>
    <t>10:11:48</t>
  </si>
  <si>
    <t>573</t>
  </si>
  <si>
    <t>02:52:06</t>
  </si>
  <si>
    <t>02:57:06</t>
  </si>
  <si>
    <t>574</t>
  </si>
  <si>
    <t>23:57:06</t>
  </si>
  <si>
    <t>21:45:12</t>
  </si>
  <si>
    <t>575</t>
  </si>
  <si>
    <t>13:24:32</t>
  </si>
  <si>
    <t>14:55:08</t>
  </si>
  <si>
    <t>576</t>
  </si>
  <si>
    <t>07:04:37</t>
  </si>
  <si>
    <t>08:01:59</t>
  </si>
  <si>
    <t>577</t>
  </si>
  <si>
    <t>14:51:26</t>
  </si>
  <si>
    <t>18:50:45</t>
  </si>
  <si>
    <t>578</t>
  </si>
  <si>
    <t>31-07-2023</t>
  </si>
  <si>
    <t>18:27:40</t>
  </si>
  <si>
    <t>16:43:25</t>
  </si>
  <si>
    <t>579</t>
  </si>
  <si>
    <t>21:38:40</t>
  </si>
  <si>
    <t>10:45:06</t>
  </si>
  <si>
    <t>580</t>
  </si>
  <si>
    <t>22:03:12</t>
  </si>
  <si>
    <t>12:25:42</t>
  </si>
  <si>
    <t>581</t>
  </si>
  <si>
    <t>02:08:23</t>
  </si>
  <si>
    <t>14:56:59</t>
  </si>
  <si>
    <t>582</t>
  </si>
  <si>
    <t>18:30:31</t>
  </si>
  <si>
    <t>19:16:41</t>
  </si>
  <si>
    <t>583</t>
  </si>
  <si>
    <t>16:47:25</t>
  </si>
  <si>
    <t>19:58:33</t>
  </si>
  <si>
    <t>584</t>
  </si>
  <si>
    <t>07:39:30</t>
  </si>
  <si>
    <t>16:10:28</t>
  </si>
  <si>
    <t>585</t>
  </si>
  <si>
    <t>26-04-2023</t>
  </si>
  <si>
    <t>18:32:41</t>
  </si>
  <si>
    <t>01:52:06</t>
  </si>
  <si>
    <t>586</t>
  </si>
  <si>
    <t>21:04:38</t>
  </si>
  <si>
    <t>16:30:39</t>
  </si>
  <si>
    <t>587</t>
  </si>
  <si>
    <t>00:51:24</t>
  </si>
  <si>
    <t>10:41:06</t>
  </si>
  <si>
    <t>588</t>
  </si>
  <si>
    <t>06:37:00</t>
  </si>
  <si>
    <t>21:21:57</t>
  </si>
  <si>
    <t>589</t>
  </si>
  <si>
    <t>09-12-2023</t>
  </si>
  <si>
    <t>21:23:17</t>
  </si>
  <si>
    <t>01:21:34</t>
  </si>
  <si>
    <t>590</t>
  </si>
  <si>
    <t>21:36:21</t>
  </si>
  <si>
    <t>05:53:50</t>
  </si>
  <si>
    <t>591</t>
  </si>
  <si>
    <t>12:56:00</t>
  </si>
  <si>
    <t>00:00:51</t>
  </si>
  <si>
    <t>592</t>
  </si>
  <si>
    <t>03:27:03</t>
  </si>
  <si>
    <t>21:41:23</t>
  </si>
  <si>
    <t>Phusro</t>
  </si>
  <si>
    <t>593</t>
  </si>
  <si>
    <t>17:30:40</t>
  </si>
  <si>
    <t>09:34:03</t>
  </si>
  <si>
    <t>594</t>
  </si>
  <si>
    <t>21:26:03</t>
  </si>
  <si>
    <t>04:59:28</t>
  </si>
  <si>
    <t>595</t>
  </si>
  <si>
    <t>13:49:19</t>
  </si>
  <si>
    <t>04:06:31</t>
  </si>
  <si>
    <t>596</t>
  </si>
  <si>
    <t>14:57:41</t>
  </si>
  <si>
    <t>17:58:44</t>
  </si>
  <si>
    <t>597</t>
  </si>
  <si>
    <t>01:05:53</t>
  </si>
  <si>
    <t>02:49:44</t>
  </si>
  <si>
    <t>598</t>
  </si>
  <si>
    <t>02:51:23</t>
  </si>
  <si>
    <t>21:53:27</t>
  </si>
  <si>
    <t>599</t>
  </si>
  <si>
    <t>19:32:24</t>
  </si>
  <si>
    <t>12:13:52</t>
  </si>
  <si>
    <t>600</t>
  </si>
  <si>
    <t>21:24:39</t>
  </si>
  <si>
    <t>15:17:19</t>
  </si>
  <si>
    <t>Shimla</t>
  </si>
  <si>
    <t>601</t>
  </si>
  <si>
    <t>02:37:47</t>
  </si>
  <si>
    <t>03:37:12</t>
  </si>
  <si>
    <t>602</t>
  </si>
  <si>
    <t>10:17:25</t>
  </si>
  <si>
    <t>06:02:00</t>
  </si>
  <si>
    <t>603</t>
  </si>
  <si>
    <t>05:23:57</t>
  </si>
  <si>
    <t>15:14:45</t>
  </si>
  <si>
    <t>604</t>
  </si>
  <si>
    <t>19:54:56</t>
  </si>
  <si>
    <t>21:24:38</t>
  </si>
  <si>
    <t>Tadipatri</t>
  </si>
  <si>
    <t>605</t>
  </si>
  <si>
    <t>22:21:06</t>
  </si>
  <si>
    <t>20:49:33</t>
  </si>
  <si>
    <t>Kakinada</t>
  </si>
  <si>
    <t>606</t>
  </si>
  <si>
    <t>02:13:13</t>
  </si>
  <si>
    <t>07:31:32</t>
  </si>
  <si>
    <t>607</t>
  </si>
  <si>
    <t>01:50:25</t>
  </si>
  <si>
    <t>09:52:56</t>
  </si>
  <si>
    <t>608</t>
  </si>
  <si>
    <t>20:30:15</t>
  </si>
  <si>
    <t>07:14:20</t>
  </si>
  <si>
    <t>609</t>
  </si>
  <si>
    <t>11:08:56</t>
  </si>
  <si>
    <t>23:46:55</t>
  </si>
  <si>
    <t>610</t>
  </si>
  <si>
    <t>17:25:41</t>
  </si>
  <si>
    <t>00:11:36</t>
  </si>
  <si>
    <t>611</t>
  </si>
  <si>
    <t>21:17:50</t>
  </si>
  <si>
    <t>03:27:30</t>
  </si>
  <si>
    <t>612</t>
  </si>
  <si>
    <t>10:22:25</t>
  </si>
  <si>
    <t>12:39:50</t>
  </si>
  <si>
    <t>613</t>
  </si>
  <si>
    <t>17:54:34</t>
  </si>
  <si>
    <t>19:18:27</t>
  </si>
  <si>
    <t>614</t>
  </si>
  <si>
    <t>15:36:13</t>
  </si>
  <si>
    <t>18:51:41</t>
  </si>
  <si>
    <t>615</t>
  </si>
  <si>
    <t>21:11:09</t>
  </si>
  <si>
    <t>06:10:16</t>
  </si>
  <si>
    <t>616</t>
  </si>
  <si>
    <t>23:57:57</t>
  </si>
  <si>
    <t>19:20:59</t>
  </si>
  <si>
    <t>617</t>
  </si>
  <si>
    <t>02:53:42</t>
  </si>
  <si>
    <t>17:01:34</t>
  </si>
  <si>
    <t>618</t>
  </si>
  <si>
    <t>16:09:13</t>
  </si>
  <si>
    <t>17:21:36</t>
  </si>
  <si>
    <t>619</t>
  </si>
  <si>
    <t>07:18:46</t>
  </si>
  <si>
    <t>03:17:33</t>
  </si>
  <si>
    <t>620</t>
  </si>
  <si>
    <t>22:23:01</t>
  </si>
  <si>
    <t>18-07-2023</t>
  </si>
  <si>
    <t>01:24:50</t>
  </si>
  <si>
    <t>621</t>
  </si>
  <si>
    <t>07:17:03</t>
  </si>
  <si>
    <t>01:32:49</t>
  </si>
  <si>
    <t>622</t>
  </si>
  <si>
    <t>15:59:02</t>
  </si>
  <si>
    <t>623</t>
  </si>
  <si>
    <t>13:37:50</t>
  </si>
  <si>
    <t>14:25:39</t>
  </si>
  <si>
    <t>624</t>
  </si>
  <si>
    <t>09:19:59</t>
  </si>
  <si>
    <t>08:29:54</t>
  </si>
  <si>
    <t>625</t>
  </si>
  <si>
    <t>23-02-2023</t>
  </si>
  <si>
    <t>21:15:42</t>
  </si>
  <si>
    <t>02:46:06</t>
  </si>
  <si>
    <t>626</t>
  </si>
  <si>
    <t>15:12:58</t>
  </si>
  <si>
    <t>08:14:22</t>
  </si>
  <si>
    <t>627</t>
  </si>
  <si>
    <t>04:30:25</t>
  </si>
  <si>
    <t>23:38:12</t>
  </si>
  <si>
    <t>628</t>
  </si>
  <si>
    <t>21:50:27</t>
  </si>
  <si>
    <t>21:07:46</t>
  </si>
  <si>
    <t>629</t>
  </si>
  <si>
    <t>09:09:01</t>
  </si>
  <si>
    <t>15:31:23</t>
  </si>
  <si>
    <t>630</t>
  </si>
  <si>
    <t>21:37:47</t>
  </si>
  <si>
    <t>18:53:08</t>
  </si>
  <si>
    <t>631</t>
  </si>
  <si>
    <t>21:41:50</t>
  </si>
  <si>
    <t>03:45:03</t>
  </si>
  <si>
    <t>632</t>
  </si>
  <si>
    <t>22:35:01</t>
  </si>
  <si>
    <t>11:32:50</t>
  </si>
  <si>
    <t>Adoni</t>
  </si>
  <si>
    <t>633</t>
  </si>
  <si>
    <t>14:44:42</t>
  </si>
  <si>
    <t>05:12:46</t>
  </si>
  <si>
    <t>634</t>
  </si>
  <si>
    <t>06:36:16</t>
  </si>
  <si>
    <t>13:43:49</t>
  </si>
  <si>
    <t>635</t>
  </si>
  <si>
    <t>18:37:11</t>
  </si>
  <si>
    <t>07:23:32</t>
  </si>
  <si>
    <t>636</t>
  </si>
  <si>
    <t>07:18:26</t>
  </si>
  <si>
    <t>03:33:45</t>
  </si>
  <si>
    <t>637</t>
  </si>
  <si>
    <t>19:29:26</t>
  </si>
  <si>
    <t>22:34:14</t>
  </si>
  <si>
    <t>638</t>
  </si>
  <si>
    <t>02:13:33</t>
  </si>
  <si>
    <t>02:51:20</t>
  </si>
  <si>
    <t>639</t>
  </si>
  <si>
    <t>02:36:31</t>
  </si>
  <si>
    <t>31-05-2023</t>
  </si>
  <si>
    <t>03:18:25</t>
  </si>
  <si>
    <t>Amaravati</t>
  </si>
  <si>
    <t>640</t>
  </si>
  <si>
    <t>06:16:51</t>
  </si>
  <si>
    <t>19:07:21</t>
  </si>
  <si>
    <t>641</t>
  </si>
  <si>
    <t>23:59:56</t>
  </si>
  <si>
    <t>19:14:55</t>
  </si>
  <si>
    <t>642</t>
  </si>
  <si>
    <t>05:26:04</t>
  </si>
  <si>
    <t>00:29:51</t>
  </si>
  <si>
    <t>643</t>
  </si>
  <si>
    <t>13:10:24</t>
  </si>
  <si>
    <t>20:24:10</t>
  </si>
  <si>
    <t>644</t>
  </si>
  <si>
    <t>14:54:36</t>
  </si>
  <si>
    <t>11:21:18</t>
  </si>
  <si>
    <t>645</t>
  </si>
  <si>
    <t>01:46:39</t>
  </si>
  <si>
    <t>02:07:11</t>
  </si>
  <si>
    <t>646</t>
  </si>
  <si>
    <t>16:30:10</t>
  </si>
  <si>
    <t>23-05-2023</t>
  </si>
  <si>
    <t>09:16:58</t>
  </si>
  <si>
    <t>647</t>
  </si>
  <si>
    <t>17:00:25</t>
  </si>
  <si>
    <t>01:29:04</t>
  </si>
  <si>
    <t>648</t>
  </si>
  <si>
    <t>19:06:16</t>
  </si>
  <si>
    <t>08:25:00</t>
  </si>
  <si>
    <t>649</t>
  </si>
  <si>
    <t>03:05:41</t>
  </si>
  <si>
    <t>08:55:15</t>
  </si>
  <si>
    <t>650</t>
  </si>
  <si>
    <t>01:54:43</t>
  </si>
  <si>
    <t>03:09:36</t>
  </si>
  <si>
    <t>651</t>
  </si>
  <si>
    <t>02:16:28</t>
  </si>
  <si>
    <t>11:55:54</t>
  </si>
  <si>
    <t>652</t>
  </si>
  <si>
    <t>19:41:09</t>
  </si>
  <si>
    <t>00:01:31</t>
  </si>
  <si>
    <t>653</t>
  </si>
  <si>
    <t>13:38:07</t>
  </si>
  <si>
    <t>01-12-2023</t>
  </si>
  <si>
    <t>05:52:11</t>
  </si>
  <si>
    <t>654</t>
  </si>
  <si>
    <t>04:53:15</t>
  </si>
  <si>
    <t>00:41:13</t>
  </si>
  <si>
    <t>655</t>
  </si>
  <si>
    <t>21:19:04</t>
  </si>
  <si>
    <t>18:57:37</t>
  </si>
  <si>
    <t>656</t>
  </si>
  <si>
    <t>18:34:41</t>
  </si>
  <si>
    <t>04:46:00</t>
  </si>
  <si>
    <t>657</t>
  </si>
  <si>
    <t>09:37:53</t>
  </si>
  <si>
    <t>14:48:35</t>
  </si>
  <si>
    <t>658</t>
  </si>
  <si>
    <t>20:54:56</t>
  </si>
  <si>
    <t>08:54:06</t>
  </si>
  <si>
    <t>659</t>
  </si>
  <si>
    <t>17:44:56</t>
  </si>
  <si>
    <t>22:37:43</t>
  </si>
  <si>
    <t>Silchar</t>
  </si>
  <si>
    <t>660</t>
  </si>
  <si>
    <t>06:08:46</t>
  </si>
  <si>
    <t>20:48:35</t>
  </si>
  <si>
    <t>661</t>
  </si>
  <si>
    <t>14-01-2023</t>
  </si>
  <si>
    <t>23:51:27</t>
  </si>
  <si>
    <t>09:50:46</t>
  </si>
  <si>
    <t>662</t>
  </si>
  <si>
    <t>18:29:52</t>
  </si>
  <si>
    <t>08:27:53</t>
  </si>
  <si>
    <t>663</t>
  </si>
  <si>
    <t>14:47:08</t>
  </si>
  <si>
    <t>22:32:05</t>
  </si>
  <si>
    <t>664</t>
  </si>
  <si>
    <t>11:54:34</t>
  </si>
  <si>
    <t>20:22:08</t>
  </si>
  <si>
    <t>665</t>
  </si>
  <si>
    <t>14:23:22</t>
  </si>
  <si>
    <t>15:54:03</t>
  </si>
  <si>
    <t>666</t>
  </si>
  <si>
    <t>09:41:06</t>
  </si>
  <si>
    <t>667</t>
  </si>
  <si>
    <t>08:26:58</t>
  </si>
  <si>
    <t>10:30:59</t>
  </si>
  <si>
    <t>668</t>
  </si>
  <si>
    <t>10:09:53</t>
  </si>
  <si>
    <t>16:32:49</t>
  </si>
  <si>
    <t>669</t>
  </si>
  <si>
    <t>07:11:50</t>
  </si>
  <si>
    <t>09:56:42</t>
  </si>
  <si>
    <t>670</t>
  </si>
  <si>
    <t>05:47:59</t>
  </si>
  <si>
    <t>05:09:00</t>
  </si>
  <si>
    <t>671</t>
  </si>
  <si>
    <t>03-12-2023</t>
  </si>
  <si>
    <t>06:54:18</t>
  </si>
  <si>
    <t>23:16:19</t>
  </si>
  <si>
    <t>672</t>
  </si>
  <si>
    <t>14:06:15</t>
  </si>
  <si>
    <t>06:46:37</t>
  </si>
  <si>
    <t>673</t>
  </si>
  <si>
    <t>05:54:49</t>
  </si>
  <si>
    <t>04:25:38</t>
  </si>
  <si>
    <t>674</t>
  </si>
  <si>
    <t>09:41:25</t>
  </si>
  <si>
    <t>23:40:25</t>
  </si>
  <si>
    <t>675</t>
  </si>
  <si>
    <t>08:04:46</t>
  </si>
  <si>
    <t>23:52:12</t>
  </si>
  <si>
    <t>Pali</t>
  </si>
  <si>
    <t>676</t>
  </si>
  <si>
    <t>12:42:24</t>
  </si>
  <si>
    <t>20:52:32</t>
  </si>
  <si>
    <t>677</t>
  </si>
  <si>
    <t>07:54:01</t>
  </si>
  <si>
    <t>05:32:35</t>
  </si>
  <si>
    <t>678</t>
  </si>
  <si>
    <t>14:23:59</t>
  </si>
  <si>
    <t>10:13:07</t>
  </si>
  <si>
    <t>679</t>
  </si>
  <si>
    <t>17:29:19</t>
  </si>
  <si>
    <t>14-10-2023</t>
  </si>
  <si>
    <t>12:58:06</t>
  </si>
  <si>
    <t>680</t>
  </si>
  <si>
    <t>22:20:31</t>
  </si>
  <si>
    <t>02:33:10</t>
  </si>
  <si>
    <t>681</t>
  </si>
  <si>
    <t>29-01-2023</t>
  </si>
  <si>
    <t>10:08:06</t>
  </si>
  <si>
    <t>12:01:28</t>
  </si>
  <si>
    <t>682</t>
  </si>
  <si>
    <t>07:31:16</t>
  </si>
  <si>
    <t>11:32:33</t>
  </si>
  <si>
    <t>683</t>
  </si>
  <si>
    <t>21:26:58</t>
  </si>
  <si>
    <t>19:25:08</t>
  </si>
  <si>
    <t>684</t>
  </si>
  <si>
    <t>17-09-2023</t>
  </si>
  <si>
    <t>01:33:50</t>
  </si>
  <si>
    <t>02:44:39</t>
  </si>
  <si>
    <t>685</t>
  </si>
  <si>
    <t>21:04:40</t>
  </si>
  <si>
    <t>08:30:45</t>
  </si>
  <si>
    <t>Sikar</t>
  </si>
  <si>
    <t>686</t>
  </si>
  <si>
    <t>16:29:38</t>
  </si>
  <si>
    <t>21:37:59</t>
  </si>
  <si>
    <t>687</t>
  </si>
  <si>
    <t>17:57:15</t>
  </si>
  <si>
    <t>04:50:54</t>
  </si>
  <si>
    <t>Raichur</t>
  </si>
  <si>
    <t>688</t>
  </si>
  <si>
    <t>19:02:07</t>
  </si>
  <si>
    <t>30-01-2023</t>
  </si>
  <si>
    <t>13:51:22</t>
  </si>
  <si>
    <t>689</t>
  </si>
  <si>
    <t>05:52:42</t>
  </si>
  <si>
    <t>11:00:27</t>
  </si>
  <si>
    <t>690</t>
  </si>
  <si>
    <t>21:13:25</t>
  </si>
  <si>
    <t>21:32:48</t>
  </si>
  <si>
    <t>Jaunpur</t>
  </si>
  <si>
    <t>691</t>
  </si>
  <si>
    <t>05:22:43</t>
  </si>
  <si>
    <t>11:08:26</t>
  </si>
  <si>
    <t>692</t>
  </si>
  <si>
    <t>11-08-2023</t>
  </si>
  <si>
    <t>07:04:55</t>
  </si>
  <si>
    <t>18-08-2023</t>
  </si>
  <si>
    <t>06:44:37</t>
  </si>
  <si>
    <t>693</t>
  </si>
  <si>
    <t>23:48:55</t>
  </si>
  <si>
    <t>05:31:27</t>
  </si>
  <si>
    <t>694</t>
  </si>
  <si>
    <t>19:26:27</t>
  </si>
  <si>
    <t>21-04-2023</t>
  </si>
  <si>
    <t>16:58:51</t>
  </si>
  <si>
    <t>695</t>
  </si>
  <si>
    <t>16:36:52</t>
  </si>
  <si>
    <t>17:01:44</t>
  </si>
  <si>
    <t>696</t>
  </si>
  <si>
    <t>02:42:21</t>
  </si>
  <si>
    <t>15:08:45</t>
  </si>
  <si>
    <t>Rajpur Sonarpur</t>
  </si>
  <si>
    <t>697</t>
  </si>
  <si>
    <t>14:20:25</t>
  </si>
  <si>
    <t>15:14:20</t>
  </si>
  <si>
    <t>698</t>
  </si>
  <si>
    <t>20:44:11</t>
  </si>
  <si>
    <t>15:00:13</t>
  </si>
  <si>
    <t>699</t>
  </si>
  <si>
    <t>12:14:44</t>
  </si>
  <si>
    <t>23:09:03</t>
  </si>
  <si>
    <t>700</t>
  </si>
  <si>
    <t>18:17:57</t>
  </si>
  <si>
    <t>13:43:07</t>
  </si>
  <si>
    <t>701</t>
  </si>
  <si>
    <t>10:57:34</t>
  </si>
  <si>
    <t>04:56:26</t>
  </si>
  <si>
    <t>702</t>
  </si>
  <si>
    <t>08:44:24</t>
  </si>
  <si>
    <t>06:26:10</t>
  </si>
  <si>
    <t>703</t>
  </si>
  <si>
    <t>16:19:39</t>
  </si>
  <si>
    <t>06:12:05</t>
  </si>
  <si>
    <t>704</t>
  </si>
  <si>
    <t>02:27:10</t>
  </si>
  <si>
    <t>13:36:34</t>
  </si>
  <si>
    <t>705</t>
  </si>
  <si>
    <t>18:18:01</t>
  </si>
  <si>
    <t>17:57:09</t>
  </si>
  <si>
    <t>706</t>
  </si>
  <si>
    <t>05:35:11</t>
  </si>
  <si>
    <t>04-05-2023</t>
  </si>
  <si>
    <t>13:13:10</t>
  </si>
  <si>
    <t>707</t>
  </si>
  <si>
    <t>06:17:26</t>
  </si>
  <si>
    <t>01:04:19</t>
  </si>
  <si>
    <t>708</t>
  </si>
  <si>
    <t>10:59:15</t>
  </si>
  <si>
    <t>05:05:35</t>
  </si>
  <si>
    <t>709</t>
  </si>
  <si>
    <t>04:38:05</t>
  </si>
  <si>
    <t>17:29:15</t>
  </si>
  <si>
    <t>710</t>
  </si>
  <si>
    <t>01:33:03</t>
  </si>
  <si>
    <t>01:43:52</t>
  </si>
  <si>
    <t>711</t>
  </si>
  <si>
    <t>17:15:28</t>
  </si>
  <si>
    <t>14:50:53</t>
  </si>
  <si>
    <t>712</t>
  </si>
  <si>
    <t>13:00:12</t>
  </si>
  <si>
    <t>06:34:57</t>
  </si>
  <si>
    <t>713</t>
  </si>
  <si>
    <t>23:24:22</t>
  </si>
  <si>
    <t>22:51:21</t>
  </si>
  <si>
    <t>714</t>
  </si>
  <si>
    <t>19:28:09</t>
  </si>
  <si>
    <t>Dhule</t>
  </si>
  <si>
    <t>715</t>
  </si>
  <si>
    <t>14-04-2023</t>
  </si>
  <si>
    <t>05:16:43</t>
  </si>
  <si>
    <t>16:39:31</t>
  </si>
  <si>
    <t>716</t>
  </si>
  <si>
    <t>23:18:12</t>
  </si>
  <si>
    <t>01:39:58</t>
  </si>
  <si>
    <t>717</t>
  </si>
  <si>
    <t>06:18:32</t>
  </si>
  <si>
    <t>23:20:48</t>
  </si>
  <si>
    <t>Yamunanagar</t>
  </si>
  <si>
    <t>718</t>
  </si>
  <si>
    <t>05:13:35</t>
  </si>
  <si>
    <t>06:22:05</t>
  </si>
  <si>
    <t>Jabalpur</t>
  </si>
  <si>
    <t>719</t>
  </si>
  <si>
    <t>07:44:51</t>
  </si>
  <si>
    <t>01:51:24</t>
  </si>
  <si>
    <t>720</t>
  </si>
  <si>
    <t>14:42:41</t>
  </si>
  <si>
    <t>20-12-2023</t>
  </si>
  <si>
    <t>06:07:08</t>
  </si>
  <si>
    <t>721</t>
  </si>
  <si>
    <t>03:28:21</t>
  </si>
  <si>
    <t>18:28:02</t>
  </si>
  <si>
    <t>Vasai-Virar</t>
  </si>
  <si>
    <t>722</t>
  </si>
  <si>
    <t>17:30:25</t>
  </si>
  <si>
    <t>08:06:58</t>
  </si>
  <si>
    <t>Mathura</t>
  </si>
  <si>
    <t>723</t>
  </si>
  <si>
    <t>18:00:57</t>
  </si>
  <si>
    <t>00:57:28</t>
  </si>
  <si>
    <t>724</t>
  </si>
  <si>
    <t>23:02:18</t>
  </si>
  <si>
    <t>08:00:19</t>
  </si>
  <si>
    <t>725</t>
  </si>
  <si>
    <t>23:23:18</t>
  </si>
  <si>
    <t>20:03:47</t>
  </si>
  <si>
    <t>726</t>
  </si>
  <si>
    <t>19:10:31</t>
  </si>
  <si>
    <t>18:54:28</t>
  </si>
  <si>
    <t>727</t>
  </si>
  <si>
    <t>01:37:03</t>
  </si>
  <si>
    <t>16:22:32</t>
  </si>
  <si>
    <t>728</t>
  </si>
  <si>
    <t>13:45:46</t>
  </si>
  <si>
    <t>16:07:16</t>
  </si>
  <si>
    <t>729</t>
  </si>
  <si>
    <t>18:19:53</t>
  </si>
  <si>
    <t>11:51:19</t>
  </si>
  <si>
    <t>730</t>
  </si>
  <si>
    <t>02:04:03</t>
  </si>
  <si>
    <t>22:39:30</t>
  </si>
  <si>
    <t>731</t>
  </si>
  <si>
    <t>12:01:20</t>
  </si>
  <si>
    <t>11:02:31</t>
  </si>
  <si>
    <t>732</t>
  </si>
  <si>
    <t>16:47:12</t>
  </si>
  <si>
    <t>18:56:15</t>
  </si>
  <si>
    <t>733</t>
  </si>
  <si>
    <t>00:51:37</t>
  </si>
  <si>
    <t>03-04-2023</t>
  </si>
  <si>
    <t>02:26:43</t>
  </si>
  <si>
    <t>734</t>
  </si>
  <si>
    <t>11:44:37</t>
  </si>
  <si>
    <t>09:06:06</t>
  </si>
  <si>
    <t>735</t>
  </si>
  <si>
    <t>07:22:26</t>
  </si>
  <si>
    <t>05:57:58</t>
  </si>
  <si>
    <t>736</t>
  </si>
  <si>
    <t>02-05-2023</t>
  </si>
  <si>
    <t>03:47:04</t>
  </si>
  <si>
    <t>04:38:44</t>
  </si>
  <si>
    <t>737</t>
  </si>
  <si>
    <t>14-09-2023</t>
  </si>
  <si>
    <t>07:35:50</t>
  </si>
  <si>
    <t>13:37:05</t>
  </si>
  <si>
    <t>738</t>
  </si>
  <si>
    <t>16:23:38</t>
  </si>
  <si>
    <t>01:36:32</t>
  </si>
  <si>
    <t>739</t>
  </si>
  <si>
    <t>09:43:50</t>
  </si>
  <si>
    <t>10:33:33</t>
  </si>
  <si>
    <t>740</t>
  </si>
  <si>
    <t>16:11:58</t>
  </si>
  <si>
    <t>10:07:51</t>
  </si>
  <si>
    <t>741</t>
  </si>
  <si>
    <t>12:47:09</t>
  </si>
  <si>
    <t>21:37:19</t>
  </si>
  <si>
    <t>742</t>
  </si>
  <si>
    <t>19:50:07</t>
  </si>
  <si>
    <t>15:58:06</t>
  </si>
  <si>
    <t>743</t>
  </si>
  <si>
    <t>13:28:07</t>
  </si>
  <si>
    <t>01:16:24</t>
  </si>
  <si>
    <t>744</t>
  </si>
  <si>
    <t>17:53:21</t>
  </si>
  <si>
    <t>08:02:05</t>
  </si>
  <si>
    <t>745</t>
  </si>
  <si>
    <t>09:12:26</t>
  </si>
  <si>
    <t>00:30:04</t>
  </si>
  <si>
    <t>746</t>
  </si>
  <si>
    <t>05:23:29</t>
  </si>
  <si>
    <t>06:24:41</t>
  </si>
  <si>
    <t>747</t>
  </si>
  <si>
    <t>03:43:24</t>
  </si>
  <si>
    <t>16:38:35</t>
  </si>
  <si>
    <t>748</t>
  </si>
  <si>
    <t>11:13:52</t>
  </si>
  <si>
    <t>20:26:40</t>
  </si>
  <si>
    <t>749</t>
  </si>
  <si>
    <t>13:13:17</t>
  </si>
  <si>
    <t>03:37:13</t>
  </si>
  <si>
    <t>750</t>
  </si>
  <si>
    <t>09:22:41</t>
  </si>
  <si>
    <t>22:24:42</t>
  </si>
  <si>
    <t>751</t>
  </si>
  <si>
    <t>07:12:34</t>
  </si>
  <si>
    <t>01:52:34</t>
  </si>
  <si>
    <t>752</t>
  </si>
  <si>
    <t>11:38:01</t>
  </si>
  <si>
    <t>10:35:58</t>
  </si>
  <si>
    <t>753</t>
  </si>
  <si>
    <t>06:55:38</t>
  </si>
  <si>
    <t>04:49:01</t>
  </si>
  <si>
    <t>754</t>
  </si>
  <si>
    <t>20:40:33</t>
  </si>
  <si>
    <t>22:13:13</t>
  </si>
  <si>
    <t>755</t>
  </si>
  <si>
    <t>16:33:26</t>
  </si>
  <si>
    <t>02:16:52</t>
  </si>
  <si>
    <t>756</t>
  </si>
  <si>
    <t>29-07-2023</t>
  </si>
  <si>
    <t>18:25:27</t>
  </si>
  <si>
    <t>09:56:02</t>
  </si>
  <si>
    <t>757</t>
  </si>
  <si>
    <t>10:23:53</t>
  </si>
  <si>
    <t>04:40:28</t>
  </si>
  <si>
    <t>758</t>
  </si>
  <si>
    <t>03:46:58</t>
  </si>
  <si>
    <t>759</t>
  </si>
  <si>
    <t>06:12:14</t>
  </si>
  <si>
    <t>06:06:56</t>
  </si>
  <si>
    <t>760</t>
  </si>
  <si>
    <t>02:28:05</t>
  </si>
  <si>
    <t>13:29:38</t>
  </si>
  <si>
    <t>761</t>
  </si>
  <si>
    <t>03:25:13</t>
  </si>
  <si>
    <t>11:53:46</t>
  </si>
  <si>
    <t>762</t>
  </si>
  <si>
    <t>10:11:19</t>
  </si>
  <si>
    <t>03:56:20</t>
  </si>
  <si>
    <t>763</t>
  </si>
  <si>
    <t>15:22:09</t>
  </si>
  <si>
    <t>04:30:07</t>
  </si>
  <si>
    <t>764</t>
  </si>
  <si>
    <t>19:59:36</t>
  </si>
  <si>
    <t>09:24:36</t>
  </si>
  <si>
    <t>765</t>
  </si>
  <si>
    <t>02:37:40</t>
  </si>
  <si>
    <t>03:52:27</t>
  </si>
  <si>
    <t>766</t>
  </si>
  <si>
    <t>16:28:53</t>
  </si>
  <si>
    <t>767</t>
  </si>
  <si>
    <t>02:21:13</t>
  </si>
  <si>
    <t>00:14:53</t>
  </si>
  <si>
    <t>768</t>
  </si>
  <si>
    <t>18:37:41</t>
  </si>
  <si>
    <t>12:19:42</t>
  </si>
  <si>
    <t>769</t>
  </si>
  <si>
    <t>09:37:39</t>
  </si>
  <si>
    <t>20:10:20</t>
  </si>
  <si>
    <t>770</t>
  </si>
  <si>
    <t>00:20:57</t>
  </si>
  <si>
    <t>09:39:12</t>
  </si>
  <si>
    <t>771</t>
  </si>
  <si>
    <t>17:00:07</t>
  </si>
  <si>
    <t>10:54:16</t>
  </si>
  <si>
    <t>772</t>
  </si>
  <si>
    <t>08:20:05</t>
  </si>
  <si>
    <t>773</t>
  </si>
  <si>
    <t>02:11:24</t>
  </si>
  <si>
    <t>23:47:54</t>
  </si>
  <si>
    <t>774</t>
  </si>
  <si>
    <t>17-06-2023</t>
  </si>
  <si>
    <t>21:28:21</t>
  </si>
  <si>
    <t>03:01:20</t>
  </si>
  <si>
    <t>775</t>
  </si>
  <si>
    <t>03:48:10</t>
  </si>
  <si>
    <t>23:31:47</t>
  </si>
  <si>
    <t>776</t>
  </si>
  <si>
    <t>07:28:54</t>
  </si>
  <si>
    <t>21:39:04</t>
  </si>
  <si>
    <t>777</t>
  </si>
  <si>
    <t>15:33:57</t>
  </si>
  <si>
    <t>11:29:39</t>
  </si>
  <si>
    <t>778</t>
  </si>
  <si>
    <t>03:58:40</t>
  </si>
  <si>
    <t>11:57:17</t>
  </si>
  <si>
    <t>779</t>
  </si>
  <si>
    <t>06:26:37</t>
  </si>
  <si>
    <t>02:51:51</t>
  </si>
  <si>
    <t>780</t>
  </si>
  <si>
    <t>11:30:51</t>
  </si>
  <si>
    <t>04:28:25</t>
  </si>
  <si>
    <t>781</t>
  </si>
  <si>
    <t>15:26:58</t>
  </si>
  <si>
    <t>19:39:28</t>
  </si>
  <si>
    <t>782</t>
  </si>
  <si>
    <t>05:41:20</t>
  </si>
  <si>
    <t>19:25:29</t>
  </si>
  <si>
    <t>783</t>
  </si>
  <si>
    <t>04:31:27</t>
  </si>
  <si>
    <t>05:10:51</t>
  </si>
  <si>
    <t>Visakhapatnam</t>
  </si>
  <si>
    <t>784</t>
  </si>
  <si>
    <t>08:25:52</t>
  </si>
  <si>
    <t>06:16:19</t>
  </si>
  <si>
    <t>785</t>
  </si>
  <si>
    <t>17:41:34</t>
  </si>
  <si>
    <t>13:09:23</t>
  </si>
  <si>
    <t>786</t>
  </si>
  <si>
    <t>22:47:05</t>
  </si>
  <si>
    <t>07:16:53</t>
  </si>
  <si>
    <t>787</t>
  </si>
  <si>
    <t>21:42:12</t>
  </si>
  <si>
    <t>14:10:59</t>
  </si>
  <si>
    <t>788</t>
  </si>
  <si>
    <t>04:58:58</t>
  </si>
  <si>
    <t>08:56:52</t>
  </si>
  <si>
    <t>789</t>
  </si>
  <si>
    <t>18:19:36</t>
  </si>
  <si>
    <t>08:00:31</t>
  </si>
  <si>
    <t>790</t>
  </si>
  <si>
    <t>06:03:29</t>
  </si>
  <si>
    <t>04:20:38</t>
  </si>
  <si>
    <t>791</t>
  </si>
  <si>
    <t>02:29:51</t>
  </si>
  <si>
    <t>06:53:48</t>
  </si>
  <si>
    <t>792</t>
  </si>
  <si>
    <t>07:00:56</t>
  </si>
  <si>
    <t>05:14:12</t>
  </si>
  <si>
    <t>793</t>
  </si>
  <si>
    <t>17:37:16</t>
  </si>
  <si>
    <t>01:28:17</t>
  </si>
  <si>
    <t>794</t>
  </si>
  <si>
    <t>17:11:58</t>
  </si>
  <si>
    <t>14:51:06</t>
  </si>
  <si>
    <t>795</t>
  </si>
  <si>
    <t>17:58:36</t>
  </si>
  <si>
    <t>22:17:46</t>
  </si>
  <si>
    <t>796</t>
  </si>
  <si>
    <t>07:53:26</t>
  </si>
  <si>
    <t>08:08:25</t>
  </si>
  <si>
    <t>797</t>
  </si>
  <si>
    <t>20:57:50</t>
  </si>
  <si>
    <t>04:29:03</t>
  </si>
  <si>
    <t>798</t>
  </si>
  <si>
    <t>17:35:18</t>
  </si>
  <si>
    <t>01:52:09</t>
  </si>
  <si>
    <t>799</t>
  </si>
  <si>
    <t>01:50:09</t>
  </si>
  <si>
    <t>20:22:26</t>
  </si>
  <si>
    <t>800</t>
  </si>
  <si>
    <t>21:50:22</t>
  </si>
  <si>
    <t>07:12:59</t>
  </si>
  <si>
    <t>801</t>
  </si>
  <si>
    <t>19:15:48</t>
  </si>
  <si>
    <t>06:35:12</t>
  </si>
  <si>
    <t>Dindigul</t>
  </si>
  <si>
    <t>802</t>
  </si>
  <si>
    <t>12:37:23</t>
  </si>
  <si>
    <t>06:19:00</t>
  </si>
  <si>
    <t>803</t>
  </si>
  <si>
    <t>12:03:48</t>
  </si>
  <si>
    <t>02:50:05</t>
  </si>
  <si>
    <t>804</t>
  </si>
  <si>
    <t>05:37:18</t>
  </si>
  <si>
    <t>01:58:08</t>
  </si>
  <si>
    <t>805</t>
  </si>
  <si>
    <t>14:39:08</t>
  </si>
  <si>
    <t>18:07:19</t>
  </si>
  <si>
    <t>806</t>
  </si>
  <si>
    <t>13:01:22</t>
  </si>
  <si>
    <t>06:38:58</t>
  </si>
  <si>
    <t>807</t>
  </si>
  <si>
    <t>16:20:19</t>
  </si>
  <si>
    <t>03:09:57</t>
  </si>
  <si>
    <t>808</t>
  </si>
  <si>
    <t>15:36:39</t>
  </si>
  <si>
    <t>10:11:21</t>
  </si>
  <si>
    <t>809</t>
  </si>
  <si>
    <t>19:50:47</t>
  </si>
  <si>
    <t>01:51:34</t>
  </si>
  <si>
    <t>810</t>
  </si>
  <si>
    <t>05:57:14</t>
  </si>
  <si>
    <t>12:05:52</t>
  </si>
  <si>
    <t>811</t>
  </si>
  <si>
    <t>18-10-2023</t>
  </si>
  <si>
    <t>12:04:11</t>
  </si>
  <si>
    <t>21:55:52</t>
  </si>
  <si>
    <t>812</t>
  </si>
  <si>
    <t>17:19:49</t>
  </si>
  <si>
    <t>01:28:32</t>
  </si>
  <si>
    <t>813</t>
  </si>
  <si>
    <t>08:53:43</t>
  </si>
  <si>
    <t>22:01:01</t>
  </si>
  <si>
    <t>Bhind</t>
  </si>
  <si>
    <t>814</t>
  </si>
  <si>
    <t>01:59:20</t>
  </si>
  <si>
    <t>04:41:16</t>
  </si>
  <si>
    <t>815</t>
  </si>
  <si>
    <t>07:08:13</t>
  </si>
  <si>
    <t>14:46:18</t>
  </si>
  <si>
    <t>816</t>
  </si>
  <si>
    <t>19:44:25</t>
  </si>
  <si>
    <t>13:41:37</t>
  </si>
  <si>
    <t>817</t>
  </si>
  <si>
    <t>05:37:00</t>
  </si>
  <si>
    <t>22:05:03</t>
  </si>
  <si>
    <t>818</t>
  </si>
  <si>
    <t>07:51:06</t>
  </si>
  <si>
    <t>09:07:41</t>
  </si>
  <si>
    <t>819</t>
  </si>
  <si>
    <t>13:05:23</t>
  </si>
  <si>
    <t>01:32:28</t>
  </si>
  <si>
    <t>820</t>
  </si>
  <si>
    <t>05:51:43</t>
  </si>
  <si>
    <t>04:52:23</t>
  </si>
  <si>
    <t>Hapur</t>
  </si>
  <si>
    <t>821</t>
  </si>
  <si>
    <t>20:15:31</t>
  </si>
  <si>
    <t>22:46:00</t>
  </si>
  <si>
    <t>822</t>
  </si>
  <si>
    <t>03:23:06</t>
  </si>
  <si>
    <t>04:15:17</t>
  </si>
  <si>
    <t>823</t>
  </si>
  <si>
    <t>15:23:25</t>
  </si>
  <si>
    <t>14:52:40</t>
  </si>
  <si>
    <t>824</t>
  </si>
  <si>
    <t>07:56:11</t>
  </si>
  <si>
    <t>15:23:52</t>
  </si>
  <si>
    <t>825</t>
  </si>
  <si>
    <t>10:50:24</t>
  </si>
  <si>
    <t>01-07-2023</t>
  </si>
  <si>
    <t>18:08:04</t>
  </si>
  <si>
    <t>826</t>
  </si>
  <si>
    <t>20:02:07</t>
  </si>
  <si>
    <t>06:16:18</t>
  </si>
  <si>
    <t>827</t>
  </si>
  <si>
    <t>22:10:46</t>
  </si>
  <si>
    <t>00:51:55</t>
  </si>
  <si>
    <t>828</t>
  </si>
  <si>
    <t>16:47:01</t>
  </si>
  <si>
    <t>22:18:58</t>
  </si>
  <si>
    <t>829</t>
  </si>
  <si>
    <t>18:35:41</t>
  </si>
  <si>
    <t>10:18:04</t>
  </si>
  <si>
    <t>830</t>
  </si>
  <si>
    <t>12-01-2023</t>
  </si>
  <si>
    <t>19:18:53</t>
  </si>
  <si>
    <t>05:04:21</t>
  </si>
  <si>
    <t>831</t>
  </si>
  <si>
    <t>18:41:33</t>
  </si>
  <si>
    <t>19:06:17</t>
  </si>
  <si>
    <t>832</t>
  </si>
  <si>
    <t>18:56:24</t>
  </si>
  <si>
    <t>02:19:29</t>
  </si>
  <si>
    <t>833</t>
  </si>
  <si>
    <t>00:40:48</t>
  </si>
  <si>
    <t>01:40:17</t>
  </si>
  <si>
    <t>834</t>
  </si>
  <si>
    <t>18:35:20</t>
  </si>
  <si>
    <t>14:01:49</t>
  </si>
  <si>
    <t>835</t>
  </si>
  <si>
    <t>17:35:53</t>
  </si>
  <si>
    <t>23:34:11</t>
  </si>
  <si>
    <t>836</t>
  </si>
  <si>
    <t>02:36:05</t>
  </si>
  <si>
    <t>03:11:27</t>
  </si>
  <si>
    <t>837</t>
  </si>
  <si>
    <t>12:57:12</t>
  </si>
  <si>
    <t>00:00:36</t>
  </si>
  <si>
    <t>838</t>
  </si>
  <si>
    <t>10:18:01</t>
  </si>
  <si>
    <t>06:09:40</t>
  </si>
  <si>
    <t>839</t>
  </si>
  <si>
    <t>03:51:23</t>
  </si>
  <si>
    <t>01:49:51</t>
  </si>
  <si>
    <t>Udupi</t>
  </si>
  <si>
    <t>840</t>
  </si>
  <si>
    <t>19:19:35</t>
  </si>
  <si>
    <t>11:50:30</t>
  </si>
  <si>
    <t>841</t>
  </si>
  <si>
    <t>06:16:00</t>
  </si>
  <si>
    <t>23:16:39</t>
  </si>
  <si>
    <t>842</t>
  </si>
  <si>
    <t>17:11:33</t>
  </si>
  <si>
    <t>02:27:46</t>
  </si>
  <si>
    <t>843</t>
  </si>
  <si>
    <t>21:46:03</t>
  </si>
  <si>
    <t>19:27:09</t>
  </si>
  <si>
    <t>844</t>
  </si>
  <si>
    <t>19:12:55</t>
  </si>
  <si>
    <t>10-10-2023</t>
  </si>
  <si>
    <t>09:48:27</t>
  </si>
  <si>
    <t>845</t>
  </si>
  <si>
    <t>18:51:16</t>
  </si>
  <si>
    <t>02:55:03</t>
  </si>
  <si>
    <t>846</t>
  </si>
  <si>
    <t>02:47:39</t>
  </si>
  <si>
    <t>06:56:03</t>
  </si>
  <si>
    <t>847</t>
  </si>
  <si>
    <t>18:10:17</t>
  </si>
  <si>
    <t>10:21:36</t>
  </si>
  <si>
    <t>848</t>
  </si>
  <si>
    <t>16:52:57</t>
  </si>
  <si>
    <t>22:26:48</t>
  </si>
  <si>
    <t>849</t>
  </si>
  <si>
    <t>01:16:48</t>
  </si>
  <si>
    <t>00:50:03</t>
  </si>
  <si>
    <t>850</t>
  </si>
  <si>
    <t>23:15:17</t>
  </si>
  <si>
    <t>10:31:01</t>
  </si>
  <si>
    <t>851</t>
  </si>
  <si>
    <t>11:31:57</t>
  </si>
  <si>
    <t>18:17:54</t>
  </si>
  <si>
    <t>852</t>
  </si>
  <si>
    <t>09:41:46</t>
  </si>
  <si>
    <t>14:15:30</t>
  </si>
  <si>
    <t>853</t>
  </si>
  <si>
    <t>21:14:53</t>
  </si>
  <si>
    <t>14:27:28</t>
  </si>
  <si>
    <t>854</t>
  </si>
  <si>
    <t>02:00:33</t>
  </si>
  <si>
    <t>02:51:29</t>
  </si>
  <si>
    <t>855</t>
  </si>
  <si>
    <t>23:50:11</t>
  </si>
  <si>
    <t>17-08-2023</t>
  </si>
  <si>
    <t>20:15:43</t>
  </si>
  <si>
    <t>856</t>
  </si>
  <si>
    <t>17:40:11</t>
  </si>
  <si>
    <t>16:16:50</t>
  </si>
  <si>
    <t>857</t>
  </si>
  <si>
    <t>09:22:18</t>
  </si>
  <si>
    <t>14:00:44</t>
  </si>
  <si>
    <t>858</t>
  </si>
  <si>
    <t>01:51:48</t>
  </si>
  <si>
    <t>16:01:24</t>
  </si>
  <si>
    <t>859</t>
  </si>
  <si>
    <t>07:06:21</t>
  </si>
  <si>
    <t>01:46:27</t>
  </si>
  <si>
    <t>860</t>
  </si>
  <si>
    <t>19:29:59</t>
  </si>
  <si>
    <t>13:30:30</t>
  </si>
  <si>
    <t>861</t>
  </si>
  <si>
    <t>08:19:31</t>
  </si>
  <si>
    <t>02:37:34</t>
  </si>
  <si>
    <t>862</t>
  </si>
  <si>
    <t>05:51:14</t>
  </si>
  <si>
    <t>08:23:47</t>
  </si>
  <si>
    <t>863</t>
  </si>
  <si>
    <t>09:28:04</t>
  </si>
  <si>
    <t>03:13:05</t>
  </si>
  <si>
    <t>864</t>
  </si>
  <si>
    <t>19:34:22</t>
  </si>
  <si>
    <t>08:05:38</t>
  </si>
  <si>
    <t>865</t>
  </si>
  <si>
    <t>18:09:14</t>
  </si>
  <si>
    <t>866</t>
  </si>
  <si>
    <t>20:06:37</t>
  </si>
  <si>
    <t>08:02:41</t>
  </si>
  <si>
    <t>867</t>
  </si>
  <si>
    <t>12:22:06</t>
  </si>
  <si>
    <t>05:08:47</t>
  </si>
  <si>
    <t>868</t>
  </si>
  <si>
    <t>01:01:17</t>
  </si>
  <si>
    <t>10:09:12</t>
  </si>
  <si>
    <t>869</t>
  </si>
  <si>
    <t>10:03:19</t>
  </si>
  <si>
    <t>23:16:28</t>
  </si>
  <si>
    <t>870</t>
  </si>
  <si>
    <t>15:13:46</t>
  </si>
  <si>
    <t>06:49:39</t>
  </si>
  <si>
    <t>871</t>
  </si>
  <si>
    <t>06:05:30</t>
  </si>
  <si>
    <t>20:56:56</t>
  </si>
  <si>
    <t>872</t>
  </si>
  <si>
    <t>20:27:57</t>
  </si>
  <si>
    <t>01:32:23</t>
  </si>
  <si>
    <t>873</t>
  </si>
  <si>
    <t>10:57:00</t>
  </si>
  <si>
    <t>15:45:27</t>
  </si>
  <si>
    <t>874</t>
  </si>
  <si>
    <t>12:42:30</t>
  </si>
  <si>
    <t>17:35:44</t>
  </si>
  <si>
    <t>875</t>
  </si>
  <si>
    <t>21:22:31</t>
  </si>
  <si>
    <t>19:57:46</t>
  </si>
  <si>
    <t>876</t>
  </si>
  <si>
    <t>09:38:36</t>
  </si>
  <si>
    <t>20:47:44</t>
  </si>
  <si>
    <t>877</t>
  </si>
  <si>
    <t>23:16:16</t>
  </si>
  <si>
    <t>12:27:24</t>
  </si>
  <si>
    <t>878</t>
  </si>
  <si>
    <t>16:36:59</t>
  </si>
  <si>
    <t>16:45:34</t>
  </si>
  <si>
    <t>879</t>
  </si>
  <si>
    <t>05:34:34</t>
  </si>
  <si>
    <t>11:27:38</t>
  </si>
  <si>
    <t>880</t>
  </si>
  <si>
    <t>22:14:26</t>
  </si>
  <si>
    <t>04:54:50</t>
  </si>
  <si>
    <t>881</t>
  </si>
  <si>
    <t>15:17:42</t>
  </si>
  <si>
    <t>12:59:45</t>
  </si>
  <si>
    <t>882</t>
  </si>
  <si>
    <t>05:32:40</t>
  </si>
  <si>
    <t>16:14:53</t>
  </si>
  <si>
    <t>883</t>
  </si>
  <si>
    <t>16-07-2023</t>
  </si>
  <si>
    <t>19:44:04</t>
  </si>
  <si>
    <t>21:03:02</t>
  </si>
  <si>
    <t>884</t>
  </si>
  <si>
    <t>22:15:44</t>
  </si>
  <si>
    <t>18:59:55</t>
  </si>
  <si>
    <t>885</t>
  </si>
  <si>
    <t>19:52:58</t>
  </si>
  <si>
    <t>18:46:10</t>
  </si>
  <si>
    <t>886</t>
  </si>
  <si>
    <t>08:23:02</t>
  </si>
  <si>
    <t>19:52:35</t>
  </si>
  <si>
    <t>887</t>
  </si>
  <si>
    <t>17:20:29</t>
  </si>
  <si>
    <t>09:55:50</t>
  </si>
  <si>
    <t>888</t>
  </si>
  <si>
    <t>11:34:43</t>
  </si>
  <si>
    <t>15:14:09</t>
  </si>
  <si>
    <t>889</t>
  </si>
  <si>
    <t>23:06:44</t>
  </si>
  <si>
    <t>10:05:02</t>
  </si>
  <si>
    <t>890</t>
  </si>
  <si>
    <t>23:25:20</t>
  </si>
  <si>
    <t>11:38:15</t>
  </si>
  <si>
    <t>891</t>
  </si>
  <si>
    <t>14:56:43</t>
  </si>
  <si>
    <t>23:54:45</t>
  </si>
  <si>
    <t>892</t>
  </si>
  <si>
    <t>18:33:04</t>
  </si>
  <si>
    <t>01:26:54</t>
  </si>
  <si>
    <t>893</t>
  </si>
  <si>
    <t>14:49:23</t>
  </si>
  <si>
    <t>894</t>
  </si>
  <si>
    <t>14:05:43</t>
  </si>
  <si>
    <t>23:10:21</t>
  </si>
  <si>
    <t>895</t>
  </si>
  <si>
    <t>18:45:56</t>
  </si>
  <si>
    <t>02:53:40</t>
  </si>
  <si>
    <t>896</t>
  </si>
  <si>
    <t>05-04-2023</t>
  </si>
  <si>
    <t>04:13:55</t>
  </si>
  <si>
    <t>12:50:15</t>
  </si>
  <si>
    <t>897</t>
  </si>
  <si>
    <t>07:53:21</t>
  </si>
  <si>
    <t>14:02:50</t>
  </si>
  <si>
    <t>898</t>
  </si>
  <si>
    <t>06:18:52</t>
  </si>
  <si>
    <t>23:13:42</t>
  </si>
  <si>
    <t>Kadapa</t>
  </si>
  <si>
    <t>899</t>
  </si>
  <si>
    <t>21:29:55</t>
  </si>
  <si>
    <t>00:16:41</t>
  </si>
  <si>
    <t>900</t>
  </si>
  <si>
    <t>15:09:00</t>
  </si>
  <si>
    <t>08:30:53</t>
  </si>
  <si>
    <t>901</t>
  </si>
  <si>
    <t>07:55:38</t>
  </si>
  <si>
    <t>01:32:30</t>
  </si>
  <si>
    <t>902</t>
  </si>
  <si>
    <t>13:29:55</t>
  </si>
  <si>
    <t>12:24:01</t>
  </si>
  <si>
    <t>903</t>
  </si>
  <si>
    <t>17:42:23</t>
  </si>
  <si>
    <t>19:28:38</t>
  </si>
  <si>
    <t>904</t>
  </si>
  <si>
    <t>22:05:48</t>
  </si>
  <si>
    <t>01:05:37</t>
  </si>
  <si>
    <t>905</t>
  </si>
  <si>
    <t>19:31:35</t>
  </si>
  <si>
    <t>08:32:14</t>
  </si>
  <si>
    <t>906</t>
  </si>
  <si>
    <t>01:16:20</t>
  </si>
  <si>
    <t>09:14:48</t>
  </si>
  <si>
    <t>907</t>
  </si>
  <si>
    <t>21:36:41</t>
  </si>
  <si>
    <t>11:12:03</t>
  </si>
  <si>
    <t>908</t>
  </si>
  <si>
    <t>15:51:25</t>
  </si>
  <si>
    <t>22:50:08</t>
  </si>
  <si>
    <t>909</t>
  </si>
  <si>
    <t>07:43:51</t>
  </si>
  <si>
    <t>22:25:25</t>
  </si>
  <si>
    <t>910</t>
  </si>
  <si>
    <t>02:03:23</t>
  </si>
  <si>
    <t>17:03:10</t>
  </si>
  <si>
    <t>911</t>
  </si>
  <si>
    <t>05:18:52</t>
  </si>
  <si>
    <t>01:35:19</t>
  </si>
  <si>
    <t>912</t>
  </si>
  <si>
    <t>03:09:59</t>
  </si>
  <si>
    <t>11:36:14</t>
  </si>
  <si>
    <t>913</t>
  </si>
  <si>
    <t>18:39:24</t>
  </si>
  <si>
    <t>05:37:07</t>
  </si>
  <si>
    <t>914</t>
  </si>
  <si>
    <t>14:52:18</t>
  </si>
  <si>
    <t>09:47:20</t>
  </si>
  <si>
    <t>915</t>
  </si>
  <si>
    <t>21:12:40</t>
  </si>
  <si>
    <t>05:32:37</t>
  </si>
  <si>
    <t>916</t>
  </si>
  <si>
    <t>04:23:09</t>
  </si>
  <si>
    <t>21:19:24</t>
  </si>
  <si>
    <t>917</t>
  </si>
  <si>
    <t>24-01-2023</t>
  </si>
  <si>
    <t>05:56:54</t>
  </si>
  <si>
    <t>11:04:23</t>
  </si>
  <si>
    <t>918</t>
  </si>
  <si>
    <t>22:02:06</t>
  </si>
  <si>
    <t>919</t>
  </si>
  <si>
    <t>00:05:29</t>
  </si>
  <si>
    <t>920</t>
  </si>
  <si>
    <t>20:23:05</t>
  </si>
  <si>
    <t>23:41:37</t>
  </si>
  <si>
    <t>921</t>
  </si>
  <si>
    <t>13:52:40</t>
  </si>
  <si>
    <t>922</t>
  </si>
  <si>
    <t>09:16:24</t>
  </si>
  <si>
    <t>18-12-2023</t>
  </si>
  <si>
    <t>08:03:37</t>
  </si>
  <si>
    <t>923</t>
  </si>
  <si>
    <t>14:37:32</t>
  </si>
  <si>
    <t>22:01:37</t>
  </si>
  <si>
    <t>924</t>
  </si>
  <si>
    <t>09:47:09</t>
  </si>
  <si>
    <t>22:56:05</t>
  </si>
  <si>
    <t>925</t>
  </si>
  <si>
    <t>00:55:51</t>
  </si>
  <si>
    <t>06:39:07</t>
  </si>
  <si>
    <t>926</t>
  </si>
  <si>
    <t>23:01:58</t>
  </si>
  <si>
    <t>23:51:25</t>
  </si>
  <si>
    <t>927</t>
  </si>
  <si>
    <t>06:38:15</t>
  </si>
  <si>
    <t>05:00:17</t>
  </si>
  <si>
    <t>928</t>
  </si>
  <si>
    <t>11:06:24</t>
  </si>
  <si>
    <t>10:16:12</t>
  </si>
  <si>
    <t>Bihar Sharif</t>
  </si>
  <si>
    <t>929</t>
  </si>
  <si>
    <t>07:00:52</t>
  </si>
  <si>
    <t>13:02:32</t>
  </si>
  <si>
    <t>930</t>
  </si>
  <si>
    <t>15:52:31</t>
  </si>
  <si>
    <t>19:41:15</t>
  </si>
  <si>
    <t>931</t>
  </si>
  <si>
    <t>19:48:12</t>
  </si>
  <si>
    <t>10:25:35</t>
  </si>
  <si>
    <t>932</t>
  </si>
  <si>
    <t>16:32:30</t>
  </si>
  <si>
    <t>22:17:11</t>
  </si>
  <si>
    <t>933</t>
  </si>
  <si>
    <t>12:17:01</t>
  </si>
  <si>
    <t>02:50:02</t>
  </si>
  <si>
    <t>934</t>
  </si>
  <si>
    <t>00:41:04</t>
  </si>
  <si>
    <t>08:38:52</t>
  </si>
  <si>
    <t>935</t>
  </si>
  <si>
    <t>09:38:15</t>
  </si>
  <si>
    <t>17:18:37</t>
  </si>
  <si>
    <t>936</t>
  </si>
  <si>
    <t>21:26:31</t>
  </si>
  <si>
    <t>937</t>
  </si>
  <si>
    <t>03:57:43</t>
  </si>
  <si>
    <t>19:27:13</t>
  </si>
  <si>
    <t>938</t>
  </si>
  <si>
    <t>18:12:49</t>
  </si>
  <si>
    <t>01:17:33</t>
  </si>
  <si>
    <t>939</t>
  </si>
  <si>
    <t>20:55:05</t>
  </si>
  <si>
    <t>04:36:14</t>
  </si>
  <si>
    <t>940</t>
  </si>
  <si>
    <t>23:38:25</t>
  </si>
  <si>
    <t>04:04:53</t>
  </si>
  <si>
    <t>941</t>
  </si>
  <si>
    <t>09:16:07</t>
  </si>
  <si>
    <t>10:28:01</t>
  </si>
  <si>
    <t>942</t>
  </si>
  <si>
    <t>23-12-2023</t>
  </si>
  <si>
    <t>04:59:43</t>
  </si>
  <si>
    <t>15:56:22</t>
  </si>
  <si>
    <t>943</t>
  </si>
  <si>
    <t>14:27:09</t>
  </si>
  <si>
    <t>19:05:59</t>
  </si>
  <si>
    <t>944</t>
  </si>
  <si>
    <t>20:34:33</t>
  </si>
  <si>
    <t>16:40:40</t>
  </si>
  <si>
    <t>945</t>
  </si>
  <si>
    <t>12:00:02</t>
  </si>
  <si>
    <t>12:44:49</t>
  </si>
  <si>
    <t>946</t>
  </si>
  <si>
    <t>11:07:29</t>
  </si>
  <si>
    <t>17:43:17</t>
  </si>
  <si>
    <t>947</t>
  </si>
  <si>
    <t>19:16:19</t>
  </si>
  <si>
    <t>23:24:47</t>
  </si>
  <si>
    <t>948</t>
  </si>
  <si>
    <t>18:21:51</t>
  </si>
  <si>
    <t>13:11:26</t>
  </si>
  <si>
    <t>949</t>
  </si>
  <si>
    <t>20:55:01</t>
  </si>
  <si>
    <t>09:35:17</t>
  </si>
  <si>
    <t>950</t>
  </si>
  <si>
    <t>19:31:00</t>
  </si>
  <si>
    <t>21:09:20</t>
  </si>
  <si>
    <t>951</t>
  </si>
  <si>
    <t>15:34:09</t>
  </si>
  <si>
    <t>19:03:34</t>
  </si>
  <si>
    <t>952</t>
  </si>
  <si>
    <t>02:48:07</t>
  </si>
  <si>
    <t>09:19:09</t>
  </si>
  <si>
    <t>953</t>
  </si>
  <si>
    <t>00:26:01</t>
  </si>
  <si>
    <t>07:33:50</t>
  </si>
  <si>
    <t>954</t>
  </si>
  <si>
    <t>04:01:43</t>
  </si>
  <si>
    <t>18:21:01</t>
  </si>
  <si>
    <t>955</t>
  </si>
  <si>
    <t>00:30:48</t>
  </si>
  <si>
    <t>09:07:26</t>
  </si>
  <si>
    <t>956</t>
  </si>
  <si>
    <t>04:52:24</t>
  </si>
  <si>
    <t>14:53:28</t>
  </si>
  <si>
    <t>957</t>
  </si>
  <si>
    <t>01:56:38</t>
  </si>
  <si>
    <t>21:07:55</t>
  </si>
  <si>
    <t>958</t>
  </si>
  <si>
    <t>14:02:57</t>
  </si>
  <si>
    <t>22:04:41</t>
  </si>
  <si>
    <t>959</t>
  </si>
  <si>
    <t>01:54:46</t>
  </si>
  <si>
    <t>21:05:45</t>
  </si>
  <si>
    <t>960</t>
  </si>
  <si>
    <t>05:25:49</t>
  </si>
  <si>
    <t>09:56:17</t>
  </si>
  <si>
    <t>961</t>
  </si>
  <si>
    <t>06:49:28</t>
  </si>
  <si>
    <t>20:54:38</t>
  </si>
  <si>
    <t>962</t>
  </si>
  <si>
    <t>11:55:53</t>
  </si>
  <si>
    <t>16:15:08</t>
  </si>
  <si>
    <t>963</t>
  </si>
  <si>
    <t>08:44:19</t>
  </si>
  <si>
    <t>10:36:46</t>
  </si>
  <si>
    <t>964</t>
  </si>
  <si>
    <t>19-10-2023</t>
  </si>
  <si>
    <t>06:39:41</t>
  </si>
  <si>
    <t>22:22:39</t>
  </si>
  <si>
    <t>965</t>
  </si>
  <si>
    <t>03:15:10</t>
  </si>
  <si>
    <t>17:20:22</t>
  </si>
  <si>
    <t>966</t>
  </si>
  <si>
    <t>02:21:06</t>
  </si>
  <si>
    <t>10:22:53</t>
  </si>
  <si>
    <t>967</t>
  </si>
  <si>
    <t>00:21:23</t>
  </si>
  <si>
    <t>18:29:48</t>
  </si>
  <si>
    <t>968</t>
  </si>
  <si>
    <t>23:55:22</t>
  </si>
  <si>
    <t>20:24:11</t>
  </si>
  <si>
    <t>969</t>
  </si>
  <si>
    <t>03:22:59</t>
  </si>
  <si>
    <t>970</t>
  </si>
  <si>
    <t>03:26:33</t>
  </si>
  <si>
    <t>21:37:17</t>
  </si>
  <si>
    <t>971</t>
  </si>
  <si>
    <t>04:02:13</t>
  </si>
  <si>
    <t>19:17:36</t>
  </si>
  <si>
    <t>972</t>
  </si>
  <si>
    <t>01:34:34</t>
  </si>
  <si>
    <t>05:27:14</t>
  </si>
  <si>
    <t>973</t>
  </si>
  <si>
    <t>10:35:55</t>
  </si>
  <si>
    <t>03:46:24</t>
  </si>
  <si>
    <t>974</t>
  </si>
  <si>
    <t>19:16:59</t>
  </si>
  <si>
    <t>16:11:27</t>
  </si>
  <si>
    <t>975</t>
  </si>
  <si>
    <t>00:26:32</t>
  </si>
  <si>
    <t>08:03:42</t>
  </si>
  <si>
    <t>976</t>
  </si>
  <si>
    <t>07:11:09</t>
  </si>
  <si>
    <t>20-05-2023</t>
  </si>
  <si>
    <t>08:38:28</t>
  </si>
  <si>
    <t>977</t>
  </si>
  <si>
    <t>12:33:31</t>
  </si>
  <si>
    <t>23:39:44</t>
  </si>
  <si>
    <t>978</t>
  </si>
  <si>
    <t>08:59:15</t>
  </si>
  <si>
    <t>06:31:07</t>
  </si>
  <si>
    <t>979</t>
  </si>
  <si>
    <t>18:43:04</t>
  </si>
  <si>
    <t>20:12:58</t>
  </si>
  <si>
    <t>980</t>
  </si>
  <si>
    <t>20:35:26</t>
  </si>
  <si>
    <t>00:43:39</t>
  </si>
  <si>
    <t>981</t>
  </si>
  <si>
    <t>20:01:08</t>
  </si>
  <si>
    <t>20:21:37</t>
  </si>
  <si>
    <t>982</t>
  </si>
  <si>
    <t>18:56:23</t>
  </si>
  <si>
    <t>03:11:23</t>
  </si>
  <si>
    <t>983</t>
  </si>
  <si>
    <t>09:39:44</t>
  </si>
  <si>
    <t>984</t>
  </si>
  <si>
    <t>22:31:02</t>
  </si>
  <si>
    <t>16:39:11</t>
  </si>
  <si>
    <t>985</t>
  </si>
  <si>
    <t>11:27:20</t>
  </si>
  <si>
    <t>16:53:35</t>
  </si>
  <si>
    <t>986</t>
  </si>
  <si>
    <t>16:41:54</t>
  </si>
  <si>
    <t>22:43:28</t>
  </si>
  <si>
    <t>987</t>
  </si>
  <si>
    <t>09:13:17</t>
  </si>
  <si>
    <t>04:10:09</t>
  </si>
  <si>
    <t>988</t>
  </si>
  <si>
    <t>09:47:17</t>
  </si>
  <si>
    <t>10:29:19</t>
  </si>
  <si>
    <t>989</t>
  </si>
  <si>
    <t>08:11:27</t>
  </si>
  <si>
    <t>02:00:04</t>
  </si>
  <si>
    <t>990</t>
  </si>
  <si>
    <t>22:20:00</t>
  </si>
  <si>
    <t>23:57:55</t>
  </si>
  <si>
    <t>991</t>
  </si>
  <si>
    <t>15:01:12</t>
  </si>
  <si>
    <t>17:16:56</t>
  </si>
  <si>
    <t>992</t>
  </si>
  <si>
    <t>14:09:04</t>
  </si>
  <si>
    <t>19:32:39</t>
  </si>
  <si>
    <t>993</t>
  </si>
  <si>
    <t>21:34:06</t>
  </si>
  <si>
    <t>15:55:58</t>
  </si>
  <si>
    <t>994</t>
  </si>
  <si>
    <t>22:44:36</t>
  </si>
  <si>
    <t>06:45:30</t>
  </si>
  <si>
    <t>Chandigarh</t>
  </si>
  <si>
    <t>995</t>
  </si>
  <si>
    <t>00:40:38</t>
  </si>
  <si>
    <t>11:42:03</t>
  </si>
  <si>
    <t>996</t>
  </si>
  <si>
    <t>06:55:09</t>
  </si>
  <si>
    <t>997</t>
  </si>
  <si>
    <t>04:28:27</t>
  </si>
  <si>
    <t>11:50:24</t>
  </si>
  <si>
    <t>998</t>
  </si>
  <si>
    <t>16:17:11</t>
  </si>
  <si>
    <t>04:33:25</t>
  </si>
  <si>
    <t>999</t>
  </si>
  <si>
    <t>22:40:49</t>
  </si>
  <si>
    <t>12:29:21</t>
  </si>
  <si>
    <t>1000</t>
  </si>
  <si>
    <t>01:22:43</t>
  </si>
  <si>
    <t>06:57:59</t>
  </si>
  <si>
    <t>Product_Name</t>
  </si>
  <si>
    <t>Category</t>
  </si>
  <si>
    <t>Price (INR)</t>
  </si>
  <si>
    <t>Magnam Set</t>
  </si>
  <si>
    <t>Soft Toys</t>
  </si>
  <si>
    <t>1935</t>
  </si>
  <si>
    <t>Voluptas Box</t>
  </si>
  <si>
    <t>Plants</t>
  </si>
  <si>
    <t>Eius Gift</t>
  </si>
  <si>
    <t>Colors</t>
  </si>
  <si>
    <t>1534</t>
  </si>
  <si>
    <t>Accusantium Set</t>
  </si>
  <si>
    <t>Sweets</t>
  </si>
  <si>
    <t>1199</t>
  </si>
  <si>
    <t>Natus Gift</t>
  </si>
  <si>
    <t>1444</t>
  </si>
  <si>
    <t>Quos Box</t>
  </si>
  <si>
    <t>Cake</t>
  </si>
  <si>
    <t>1112</t>
  </si>
  <si>
    <t>Quos Set</t>
  </si>
  <si>
    <t>Qui Box</t>
  </si>
  <si>
    <t>Aperiam Box</t>
  </si>
  <si>
    <t>1605</t>
  </si>
  <si>
    <t>Accusantium Gift</t>
  </si>
  <si>
    <t>Maxime Set</t>
  </si>
  <si>
    <t>Mugs</t>
  </si>
  <si>
    <t>1096</t>
  </si>
  <si>
    <t>Non Set</t>
  </si>
  <si>
    <t>Et Set</t>
  </si>
  <si>
    <t>1141</t>
  </si>
  <si>
    <t>Deserunt Box</t>
  </si>
  <si>
    <t>1915</t>
  </si>
  <si>
    <t>Repudiandae Box</t>
  </si>
  <si>
    <t>1488</t>
  </si>
  <si>
    <t>Ut Pack</t>
  </si>
  <si>
    <t>1721</t>
  </si>
  <si>
    <t>Delectus Gift</t>
  </si>
  <si>
    <t>1899</t>
  </si>
  <si>
    <t>Nemo Set</t>
  </si>
  <si>
    <t>Iure Gift</t>
  </si>
  <si>
    <t>1234</t>
  </si>
  <si>
    <t>Reiciendis Box</t>
  </si>
  <si>
    <t>Quia Gift</t>
  </si>
  <si>
    <t>1561</t>
  </si>
  <si>
    <t>Exercitationem Pack</t>
  </si>
  <si>
    <t>1639</t>
  </si>
  <si>
    <t>Dignissimos Pack</t>
  </si>
  <si>
    <t>1098</t>
  </si>
  <si>
    <t>Ad Box</t>
  </si>
  <si>
    <t>Qui Gift</t>
  </si>
  <si>
    <t>1202</t>
  </si>
  <si>
    <t>Aliquam Box</t>
  </si>
  <si>
    <t>Architecto Gift</t>
  </si>
  <si>
    <t>Velit Set</t>
  </si>
  <si>
    <t>1778</t>
  </si>
  <si>
    <t>In Set</t>
  </si>
  <si>
    <t>1252</t>
  </si>
  <si>
    <t>Recusandae Pack</t>
  </si>
  <si>
    <t>Nihil Box</t>
  </si>
  <si>
    <t>1804</t>
  </si>
  <si>
    <t>Fuga Set</t>
  </si>
  <si>
    <t>1792</t>
  </si>
  <si>
    <t>Earum Set</t>
  </si>
  <si>
    <t>Placeat Pack</t>
  </si>
  <si>
    <t>1335</t>
  </si>
  <si>
    <t>Nam Gift</t>
  </si>
  <si>
    <t>1865</t>
  </si>
  <si>
    <t>Cum Gift</t>
  </si>
  <si>
    <t>Officiis Pack</t>
  </si>
  <si>
    <t>1428</t>
  </si>
  <si>
    <t>Mollitia Set</t>
  </si>
  <si>
    <t>Voluptate Set</t>
  </si>
  <si>
    <t>Provident Pack</t>
  </si>
  <si>
    <t>1923</t>
  </si>
  <si>
    <t>Aut Box</t>
  </si>
  <si>
    <t>1977</t>
  </si>
  <si>
    <t>Expedita Gift</t>
  </si>
  <si>
    <t>1744</t>
  </si>
  <si>
    <t>Quisquam Pack</t>
  </si>
  <si>
    <t>Dolorum Set</t>
  </si>
  <si>
    <t>Iusto Set</t>
  </si>
  <si>
    <t>Pariatur Set</t>
  </si>
  <si>
    <t>Harum Pack</t>
  </si>
  <si>
    <t>1638</t>
  </si>
  <si>
    <t>Maiores Gift</t>
  </si>
  <si>
    <t>Voluptate Pack</t>
  </si>
  <si>
    <t>Eligendi Set</t>
  </si>
  <si>
    <t>Fugit Set</t>
  </si>
  <si>
    <t>1084</t>
  </si>
  <si>
    <t>Dolorum Box</t>
  </si>
  <si>
    <t>Ipsam Set</t>
  </si>
  <si>
    <t>1672</t>
  </si>
  <si>
    <t>Occaecati Gift</t>
  </si>
  <si>
    <t>1236</t>
  </si>
  <si>
    <t>Dolores Gift</t>
  </si>
  <si>
    <t>1904</t>
  </si>
  <si>
    <t>1272</t>
  </si>
  <si>
    <t>Voluptatem Box</t>
  </si>
  <si>
    <t>1582</t>
  </si>
  <si>
    <t>Sed Pack</t>
  </si>
  <si>
    <t>1492</t>
  </si>
  <si>
    <t>Pariatur Box</t>
  </si>
  <si>
    <t>Ea Set</t>
  </si>
  <si>
    <t>Iusto Box</t>
  </si>
  <si>
    <t>Sed Set</t>
  </si>
  <si>
    <t>1356</t>
  </si>
  <si>
    <t>Adipisci Set</t>
  </si>
  <si>
    <t>1348</t>
  </si>
  <si>
    <t>Nostrum Box</t>
  </si>
  <si>
    <t>1878</t>
  </si>
  <si>
    <t>Error Gift</t>
  </si>
  <si>
    <t>1895</t>
  </si>
  <si>
    <t>Quas Box</t>
  </si>
  <si>
    <t>Maiores Box</t>
  </si>
  <si>
    <t>1374</t>
  </si>
  <si>
    <t>Quas Gift</t>
  </si>
  <si>
    <t>Id Box</t>
  </si>
  <si>
    <t>Customer_Name</t>
  </si>
  <si>
    <t>Phone_Clean</t>
  </si>
  <si>
    <t>Unit_Price</t>
  </si>
  <si>
    <t>Total_Amount</t>
  </si>
  <si>
    <t>Delivery_Days</t>
  </si>
  <si>
    <t>Sales Summary</t>
  </si>
  <si>
    <t>Revenue by Category</t>
  </si>
  <si>
    <t>Revenue by Occasion</t>
  </si>
  <si>
    <t>Total_Revenue</t>
  </si>
  <si>
    <t>Orders</t>
  </si>
  <si>
    <t>Gift Shop Sales — Dashboard</t>
  </si>
  <si>
    <t>Total Orders</t>
  </si>
  <si>
    <t>Total Revenue (INR)</t>
  </si>
  <si>
    <t>Average Order Value (INR)</t>
  </si>
  <si>
    <t>Top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</si>
</sst>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</numFmts>
  <fonts count="28">
    <font>
      <sz val="11"/>
      <color theme="1"/>
      <name val="Calibri"/>
      <charset val="1"/>
    </font>
    <font>
      <b/>
      <sz val="16"/>
      <color rgb="FF1F4E78"/>
      <name val="Arial"/>
      <charset val="1"/>
    </font>
    <font>
      <b/>
      <sz val="10"/>
      <color rgb="FF1F4E78"/>
      <name val="Arial"/>
      <charset val="1"/>
    </font>
    <font>
      <b/>
      <sz val="16"/>
      <color rgb="FF000000"/>
      <name val="Arial"/>
      <charset val="1"/>
    </font>
    <font>
      <b/>
      <sz val="12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F1FB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3" fontId="0" fillId="0" borderId="1" xfId="0" applyNumberFormat="1" applyBorder="1"/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3" fontId="6" fillId="0" borderId="1" xfId="0" applyNumberFormat="1" applyFont="1" applyBorder="1"/>
    <xf numFmtId="176" fontId="6" fillId="0" borderId="1" xfId="0" applyNumberFormat="1" applyFont="1" applyBorder="1"/>
    <xf numFmtId="0" fontId="5" fillId="3" borderId="0" xfId="0" applyFont="1" applyFill="1"/>
    <xf numFmtId="0" fontId="6" fillId="0" borderId="0" xfId="0" applyFont="1"/>
    <xf numFmtId="0" fontId="6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4F81BD"/>
      <rgbColor rgb="00C0C0C0"/>
      <rgbColor rgb="00878787"/>
      <rgbColor rgb="0093A9CE"/>
      <rgbColor rgb="00AB4744"/>
      <rgbColor rgb="00F9F9F9"/>
      <rgbColor rgb="00EAF1FB"/>
      <rgbColor rgb="00660066"/>
      <rgbColor rgb="00DC853E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672A8"/>
      <rgbColor rgb="0033CCCC"/>
      <rgbColor rgb="0099CC00"/>
      <rgbColor rgb="00FFCC00"/>
      <rgbColor rgb="00FF9900"/>
      <rgbColor rgb="00FF6600"/>
      <rgbColor rgb="00725990"/>
      <rgbColor rgb="008AA64F"/>
      <rgbColor rgb="00003366"/>
      <rgbColor rgb="004299B0"/>
      <rgbColor rgb="00003300"/>
      <rgbColor rgb="00333300"/>
      <rgbColor rgb="00993300"/>
      <rgbColor rgb="00993366"/>
      <rgbColor rgb="001F4E78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Revenue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Summary!$C$5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Summary!$B$6:$B$12</c:f>
              <c:strCache>
                <c:ptCount val="7"/>
                <c:pt idx="0">
                  <c:v>Cake</c:v>
                </c:pt>
                <c:pt idx="1">
                  <c:v>Colors</c:v>
                </c:pt>
                <c:pt idx="2">
                  <c:v>Mugs</c:v>
                </c:pt>
                <c:pt idx="3">
                  <c:v>Plants</c:v>
                </c:pt>
                <c:pt idx="4">
                  <c:v>Raksha Bandhan</c:v>
                </c:pt>
                <c:pt idx="5">
                  <c:v>Soft Toys</c:v>
                </c:pt>
                <c:pt idx="6">
                  <c:v>Sweets</c:v>
                </c:pt>
              </c:strCache>
            </c:strRef>
          </c:cat>
          <c:val>
            <c:numRef>
              <c:f>Summary!$C$6:$C$12</c:f>
              <c:numCache>
                <c:formatCode>#,##0</c:formatCode>
                <c:ptCount val="7"/>
                <c:pt idx="0">
                  <c:v>329862</c:v>
                </c:pt>
                <c:pt idx="1">
                  <c:v>1005645</c:v>
                </c:pt>
                <c:pt idx="2">
                  <c:v>201151</c:v>
                </c:pt>
                <c:pt idx="3">
                  <c:v>212281</c:v>
                </c:pt>
                <c:pt idx="4">
                  <c:v>297372</c:v>
                </c:pt>
                <c:pt idx="5">
                  <c:v>740831</c:v>
                </c:pt>
                <c:pt idx="6">
                  <c:v>733842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8482913"/>
        <c:axId val="59862665"/>
      </c:barChart>
      <c:catAx>
        <c:axId val="484829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Category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9862665"/>
        <c:crosses val="autoZero"/>
        <c:auto val="1"/>
        <c:lblAlgn val="ctr"/>
        <c:lblOffset val="100"/>
        <c:noMultiLvlLbl val="0"/>
      </c:catAx>
      <c:valAx>
        <c:axId val="5986266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Revenue (INR)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4829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60f77c1-38a1-4cbb-a416-a911aca006a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Revenue Share by Occasion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Summary!$G$5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Summary!$F$6:$F$12</c:f>
              <c:strCache>
                <c:ptCount val="7"/>
                <c:pt idx="0">
                  <c:v>All Occasions</c:v>
                </c:pt>
                <c:pt idx="1">
                  <c:v>Anniversary</c:v>
                </c:pt>
                <c:pt idx="2">
                  <c:v>Birthday</c:v>
                </c:pt>
                <c:pt idx="3">
                  <c:v>Diwali</c:v>
                </c:pt>
                <c:pt idx="4">
                  <c:v>Holi</c:v>
                </c:pt>
                <c:pt idx="5">
                  <c:v>Raksha Bandhan</c:v>
                </c:pt>
                <c:pt idx="6">
                  <c:v>Valentine's Day</c:v>
                </c:pt>
              </c:strCache>
            </c:strRef>
          </c:cat>
          <c:val>
            <c:numRef>
              <c:f>Summary!$G$6:$G$12</c:f>
              <c:numCache>
                <c:formatCode>#,##0</c:formatCode>
                <c:ptCount val="7"/>
                <c:pt idx="0">
                  <c:v>586176</c:v>
                </c:pt>
                <c:pt idx="1">
                  <c:v>674634</c:v>
                </c:pt>
                <c:pt idx="2">
                  <c:v>408194</c:v>
                </c:pt>
                <c:pt idx="3">
                  <c:v>313783</c:v>
                </c:pt>
                <c:pt idx="4">
                  <c:v>574682</c:v>
                </c:pt>
                <c:pt idx="5">
                  <c:v>631585</c:v>
                </c:pt>
                <c:pt idx="6">
                  <c:v>331930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69123f-f56d-4bfe-bfdb-61fcf4bab2d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130680</xdr:rowOff>
    </xdr:from>
    <xdr:to>
      <xdr:col>9</xdr:col>
      <xdr:colOff>511200</xdr:colOff>
      <xdr:row>24</xdr:row>
      <xdr:rowOff>131760</xdr:rowOff>
    </xdr:to>
    <xdr:graphicFrame>
      <xdr:nvGraphicFramePr>
        <xdr:cNvPr id="2" name="Chart 1"/>
        <xdr:cNvGraphicFramePr/>
      </xdr:nvGraphicFramePr>
      <xdr:xfrm>
        <a:off x="209550" y="1489075"/>
        <a:ext cx="6426200" cy="313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130680</xdr:rowOff>
    </xdr:from>
    <xdr:to>
      <xdr:col>20</xdr:col>
      <xdr:colOff>364680</xdr:colOff>
      <xdr:row>24</xdr:row>
      <xdr:rowOff>131760</xdr:rowOff>
    </xdr:to>
    <xdr:graphicFrame>
      <xdr:nvGraphicFramePr>
        <xdr:cNvPr id="3" name="Chart 2"/>
        <xdr:cNvGraphicFramePr/>
      </xdr:nvGraphicFramePr>
      <xdr:xfrm>
        <a:off x="6731000" y="1489075"/>
        <a:ext cx="6428740" cy="313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P1001" totalsRowShown="0">
  <autoFilter xmlns:etc="http://www.wps.cn/officeDocument/2017/etCustomData" ref="A1:P1001" etc:filterBottomFollowUsedRange="0"/>
  <tableColumns count="16">
    <tableColumn id="1" name="Order_ID"/>
    <tableColumn id="2" name="Customer_ID"/>
    <tableColumn id="3" name="Customer_Name"/>
    <tableColumn id="4" name="City"/>
    <tableColumn id="5" name="Phone_Clean"/>
    <tableColumn id="6" name="Product_ID"/>
    <tableColumn id="7" name="Product_Name"/>
    <tableColumn id="8" name="Category"/>
    <tableColumn id="9" name="Quantity"/>
    <tableColumn id="10" name="Unit_Price"/>
    <tableColumn id="11" name="Total_Amount"/>
    <tableColumn id="12" name="Order_Date"/>
    <tableColumn id="13" name="Delivery_Date"/>
    <tableColumn id="14" name="Delivery_Days"/>
    <tableColumn id="15" name="Occasion"/>
    <tableColumn id="16" name="Loc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pane ySplit="1" topLeftCell="A6" activePane="bottomLeft" state="frozen"/>
      <selection/>
      <selection pane="bottomLeft" activeCell="A1" sqref="A1"/>
    </sheetView>
  </sheetViews>
  <sheetFormatPr defaultColWidth="8.68181818181818" defaultRowHeight="14.5" outlineLevelCol="6"/>
  <cols>
    <col min="1" max="1" width="10" customWidth="1"/>
    <col min="2" max="2" width="18" customWidth="1"/>
    <col min="3" max="3" width="14" customWidth="1"/>
    <col min="4" max="4" width="16" customWidth="1"/>
    <col min="5" max="5" width="24" customWidth="1"/>
    <col min="6" max="6" width="8" customWidth="1"/>
    <col min="7" max="7" width="40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ht="25" spans="1:7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15" t="s">
        <v>13</v>
      </c>
    </row>
    <row r="3" ht="37.5" spans="1:7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12</v>
      </c>
      <c r="G3" s="15" t="s">
        <v>19</v>
      </c>
    </row>
    <row r="4" spans="1:7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</row>
    <row r="5" ht="25" spans="1:7">
      <c r="A5" s="7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25</v>
      </c>
      <c r="G5" s="15" t="s">
        <v>32</v>
      </c>
    </row>
    <row r="6" ht="37.5" spans="1:7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25</v>
      </c>
      <c r="G6" s="15" t="s">
        <v>38</v>
      </c>
    </row>
    <row r="7" spans="1:7">
      <c r="A7" s="7" t="s">
        <v>39</v>
      </c>
      <c r="B7" s="7" t="s">
        <v>40</v>
      </c>
      <c r="C7" s="7" t="s">
        <v>41</v>
      </c>
      <c r="D7" s="7" t="s">
        <v>42</v>
      </c>
      <c r="E7" s="7" t="s">
        <v>43</v>
      </c>
      <c r="F7" s="7" t="s">
        <v>12</v>
      </c>
      <c r="G7" s="7" t="s">
        <v>44</v>
      </c>
    </row>
    <row r="8" ht="25" spans="1:7">
      <c r="A8" s="7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25</v>
      </c>
      <c r="G8" s="15" t="s">
        <v>50</v>
      </c>
    </row>
    <row r="9" spans="1:7">
      <c r="A9" s="7" t="s">
        <v>51</v>
      </c>
      <c r="B9" s="7" t="s">
        <v>52</v>
      </c>
      <c r="C9" s="7" t="s">
        <v>53</v>
      </c>
      <c r="D9" s="7" t="s">
        <v>54</v>
      </c>
      <c r="E9" s="7" t="s">
        <v>55</v>
      </c>
      <c r="F9" s="7" t="s">
        <v>12</v>
      </c>
      <c r="G9" s="7" t="s">
        <v>56</v>
      </c>
    </row>
    <row r="10" ht="25" spans="1:7">
      <c r="A10" s="7" t="s">
        <v>57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12</v>
      </c>
      <c r="G10" s="15" t="s">
        <v>62</v>
      </c>
    </row>
    <row r="11" ht="37.5" spans="1:7">
      <c r="A11" s="7" t="s">
        <v>63</v>
      </c>
      <c r="B11" s="7" t="s">
        <v>64</v>
      </c>
      <c r="C11" s="7" t="s">
        <v>65</v>
      </c>
      <c r="D11" s="7" t="s">
        <v>66</v>
      </c>
      <c r="E11" s="7" t="s">
        <v>67</v>
      </c>
      <c r="F11" s="7" t="s">
        <v>25</v>
      </c>
      <c r="G11" s="15" t="s">
        <v>68</v>
      </c>
    </row>
    <row r="12" spans="1:7">
      <c r="A12" s="7" t="s">
        <v>69</v>
      </c>
      <c r="B12" s="7" t="s">
        <v>70</v>
      </c>
      <c r="C12" s="7" t="s">
        <v>71</v>
      </c>
      <c r="D12" s="7" t="s">
        <v>72</v>
      </c>
      <c r="E12" s="7" t="s">
        <v>73</v>
      </c>
      <c r="F12" s="7" t="s">
        <v>12</v>
      </c>
      <c r="G12" s="7" t="s">
        <v>74</v>
      </c>
    </row>
    <row r="13" ht="25" spans="1:7">
      <c r="A13" s="7" t="s">
        <v>75</v>
      </c>
      <c r="B13" s="7" t="s">
        <v>76</v>
      </c>
      <c r="C13" s="7" t="s">
        <v>22</v>
      </c>
      <c r="D13" s="7" t="s">
        <v>77</v>
      </c>
      <c r="E13" s="7" t="s">
        <v>78</v>
      </c>
      <c r="F13" s="7" t="s">
        <v>25</v>
      </c>
      <c r="G13" s="15" t="s">
        <v>79</v>
      </c>
    </row>
    <row r="14" ht="25" spans="1:7">
      <c r="A14" s="7" t="s">
        <v>80</v>
      </c>
      <c r="B14" s="7" t="s">
        <v>81</v>
      </c>
      <c r="C14" s="7" t="s">
        <v>82</v>
      </c>
      <c r="D14" s="7" t="s">
        <v>83</v>
      </c>
      <c r="E14" s="7" t="s">
        <v>84</v>
      </c>
      <c r="F14" s="7" t="s">
        <v>12</v>
      </c>
      <c r="G14" s="15" t="s">
        <v>85</v>
      </c>
    </row>
    <row r="15" ht="25" spans="1:7">
      <c r="A15" s="7" t="s">
        <v>86</v>
      </c>
      <c r="B15" s="7" t="s">
        <v>87</v>
      </c>
      <c r="C15" s="7" t="s">
        <v>88</v>
      </c>
      <c r="D15" s="7" t="s">
        <v>89</v>
      </c>
      <c r="E15" s="7" t="s">
        <v>90</v>
      </c>
      <c r="F15" s="7" t="s">
        <v>12</v>
      </c>
      <c r="G15" s="15" t="s">
        <v>91</v>
      </c>
    </row>
    <row r="16" ht="25" spans="1:7">
      <c r="A16" s="7" t="s">
        <v>92</v>
      </c>
      <c r="B16" s="7" t="s">
        <v>93</v>
      </c>
      <c r="C16" s="7" t="s">
        <v>94</v>
      </c>
      <c r="D16" s="7" t="s">
        <v>95</v>
      </c>
      <c r="E16" s="7" t="s">
        <v>96</v>
      </c>
      <c r="F16" s="7" t="s">
        <v>12</v>
      </c>
      <c r="G16" s="15" t="s">
        <v>97</v>
      </c>
    </row>
    <row r="17" ht="37.5" spans="1:7">
      <c r="A17" s="7" t="s">
        <v>98</v>
      </c>
      <c r="B17" s="7" t="s">
        <v>99</v>
      </c>
      <c r="C17" s="7" t="s">
        <v>100</v>
      </c>
      <c r="D17" s="7" t="s">
        <v>101</v>
      </c>
      <c r="E17" s="7" t="s">
        <v>102</v>
      </c>
      <c r="F17" s="7" t="s">
        <v>25</v>
      </c>
      <c r="G17" s="15" t="s">
        <v>103</v>
      </c>
    </row>
    <row r="18" spans="1:7">
      <c r="A18" s="7" t="s">
        <v>104</v>
      </c>
      <c r="B18" s="7" t="s">
        <v>105</v>
      </c>
      <c r="C18" s="7" t="s">
        <v>106</v>
      </c>
      <c r="D18" s="7" t="s">
        <v>107</v>
      </c>
      <c r="E18" s="7" t="s">
        <v>108</v>
      </c>
      <c r="F18" s="7" t="s">
        <v>25</v>
      </c>
      <c r="G18" s="7" t="s">
        <v>109</v>
      </c>
    </row>
    <row r="19" ht="25" spans="1:7">
      <c r="A19" s="7" t="s">
        <v>110</v>
      </c>
      <c r="B19" s="7" t="s">
        <v>111</v>
      </c>
      <c r="C19" s="7" t="s">
        <v>112</v>
      </c>
      <c r="D19" s="7" t="s">
        <v>113</v>
      </c>
      <c r="E19" s="7" t="s">
        <v>114</v>
      </c>
      <c r="F19" s="7" t="s">
        <v>25</v>
      </c>
      <c r="G19" s="15" t="s">
        <v>115</v>
      </c>
    </row>
    <row r="20" ht="37.5" spans="1:7">
      <c r="A20" s="7" t="s">
        <v>116</v>
      </c>
      <c r="B20" s="7" t="s">
        <v>117</v>
      </c>
      <c r="C20" s="7" t="s">
        <v>118</v>
      </c>
      <c r="D20" s="7" t="s">
        <v>119</v>
      </c>
      <c r="E20" s="7" t="s">
        <v>120</v>
      </c>
      <c r="F20" s="7" t="s">
        <v>25</v>
      </c>
      <c r="G20" s="15" t="s">
        <v>121</v>
      </c>
    </row>
    <row r="21" ht="25" spans="1:7">
      <c r="A21" s="7" t="s">
        <v>122</v>
      </c>
      <c r="B21" s="7" t="s">
        <v>123</v>
      </c>
      <c r="C21" s="7" t="s">
        <v>124</v>
      </c>
      <c r="D21" s="7" t="s">
        <v>125</v>
      </c>
      <c r="E21" s="7" t="s">
        <v>126</v>
      </c>
      <c r="F21" s="7" t="s">
        <v>25</v>
      </c>
      <c r="G21" s="15" t="s">
        <v>127</v>
      </c>
    </row>
    <row r="22" spans="1:7">
      <c r="A22" s="7" t="s">
        <v>128</v>
      </c>
      <c r="B22" s="7" t="s">
        <v>129</v>
      </c>
      <c r="C22" s="7" t="s">
        <v>130</v>
      </c>
      <c r="D22" s="7" t="s">
        <v>131</v>
      </c>
      <c r="E22" s="7" t="s">
        <v>132</v>
      </c>
      <c r="F22" s="7" t="s">
        <v>25</v>
      </c>
      <c r="G22" s="7" t="s">
        <v>133</v>
      </c>
    </row>
    <row r="23" ht="25" spans="1:7">
      <c r="A23" s="7" t="s">
        <v>134</v>
      </c>
      <c r="B23" s="7" t="s">
        <v>135</v>
      </c>
      <c r="C23" s="7" t="s">
        <v>136</v>
      </c>
      <c r="D23" s="7" t="s">
        <v>137</v>
      </c>
      <c r="E23" s="7" t="s">
        <v>138</v>
      </c>
      <c r="F23" s="7" t="s">
        <v>25</v>
      </c>
      <c r="G23" s="15" t="s">
        <v>139</v>
      </c>
    </row>
    <row r="24" ht="37.5" spans="1:7">
      <c r="A24" s="7" t="s">
        <v>140</v>
      </c>
      <c r="B24" s="7" t="s">
        <v>141</v>
      </c>
      <c r="C24" s="7" t="s">
        <v>142</v>
      </c>
      <c r="D24" s="7" t="s">
        <v>143</v>
      </c>
      <c r="E24" s="7" t="s">
        <v>144</v>
      </c>
      <c r="F24" s="7" t="s">
        <v>25</v>
      </c>
      <c r="G24" s="15" t="s">
        <v>145</v>
      </c>
    </row>
    <row r="25" spans="1:7">
      <c r="A25" s="7" t="s">
        <v>146</v>
      </c>
      <c r="B25" s="7" t="s">
        <v>147</v>
      </c>
      <c r="C25" s="7" t="s">
        <v>148</v>
      </c>
      <c r="D25" s="7" t="s">
        <v>149</v>
      </c>
      <c r="E25" s="7" t="s">
        <v>150</v>
      </c>
      <c r="F25" s="7" t="s">
        <v>12</v>
      </c>
      <c r="G25" s="7" t="s">
        <v>151</v>
      </c>
    </row>
    <row r="26" spans="1:7">
      <c r="A26" s="7" t="s">
        <v>152</v>
      </c>
      <c r="B26" s="7" t="s">
        <v>153</v>
      </c>
      <c r="C26" s="7" t="s">
        <v>154</v>
      </c>
      <c r="D26" s="7" t="s">
        <v>155</v>
      </c>
      <c r="E26" s="7" t="s">
        <v>156</v>
      </c>
      <c r="F26" s="7" t="s">
        <v>12</v>
      </c>
      <c r="G26" s="7" t="s">
        <v>157</v>
      </c>
    </row>
    <row r="27" spans="1:7">
      <c r="A27" s="7" t="s">
        <v>158</v>
      </c>
      <c r="B27" s="7" t="s">
        <v>159</v>
      </c>
      <c r="C27" s="7" t="s">
        <v>160</v>
      </c>
      <c r="D27" s="7" t="s">
        <v>161</v>
      </c>
      <c r="E27" s="7" t="s">
        <v>162</v>
      </c>
      <c r="F27" s="7" t="s">
        <v>12</v>
      </c>
      <c r="G27" s="7" t="s">
        <v>163</v>
      </c>
    </row>
    <row r="28" ht="25" spans="1:7">
      <c r="A28" s="7" t="s">
        <v>164</v>
      </c>
      <c r="B28" s="7" t="s">
        <v>165</v>
      </c>
      <c r="C28" s="7" t="s">
        <v>166</v>
      </c>
      <c r="D28" s="7" t="s">
        <v>167</v>
      </c>
      <c r="E28" s="7" t="s">
        <v>168</v>
      </c>
      <c r="F28" s="7" t="s">
        <v>12</v>
      </c>
      <c r="G28" s="15" t="s">
        <v>169</v>
      </c>
    </row>
    <row r="29" spans="1:7">
      <c r="A29" s="7" t="s">
        <v>170</v>
      </c>
      <c r="B29" s="7" t="s">
        <v>171</v>
      </c>
      <c r="C29" s="7" t="s">
        <v>172</v>
      </c>
      <c r="D29" s="7" t="s">
        <v>173</v>
      </c>
      <c r="E29" s="7" t="s">
        <v>174</v>
      </c>
      <c r="F29" s="7" t="s">
        <v>12</v>
      </c>
      <c r="G29" s="7" t="s">
        <v>175</v>
      </c>
    </row>
    <row r="30" spans="1:7">
      <c r="A30" s="7" t="s">
        <v>176</v>
      </c>
      <c r="B30" s="7" t="s">
        <v>177</v>
      </c>
      <c r="C30" s="7" t="s">
        <v>178</v>
      </c>
      <c r="D30" s="7" t="s">
        <v>179</v>
      </c>
      <c r="E30" s="7" t="s">
        <v>180</v>
      </c>
      <c r="F30" s="7" t="s">
        <v>12</v>
      </c>
      <c r="G30" s="7" t="s">
        <v>181</v>
      </c>
    </row>
    <row r="31" ht="37.5" spans="1:7">
      <c r="A31" s="7" t="s">
        <v>182</v>
      </c>
      <c r="B31" s="7" t="s">
        <v>183</v>
      </c>
      <c r="C31" s="7" t="s">
        <v>184</v>
      </c>
      <c r="D31" s="7" t="s">
        <v>185</v>
      </c>
      <c r="E31" s="7" t="s">
        <v>186</v>
      </c>
      <c r="F31" s="7" t="s">
        <v>25</v>
      </c>
      <c r="G31" s="15" t="s">
        <v>187</v>
      </c>
    </row>
    <row r="32" ht="37.5" spans="1:7">
      <c r="A32" s="7" t="s">
        <v>188</v>
      </c>
      <c r="B32" s="7" t="s">
        <v>189</v>
      </c>
      <c r="C32" s="7" t="s">
        <v>190</v>
      </c>
      <c r="D32" s="7" t="s">
        <v>191</v>
      </c>
      <c r="E32" s="7" t="s">
        <v>192</v>
      </c>
      <c r="F32" s="7" t="s">
        <v>12</v>
      </c>
      <c r="G32" s="15" t="s">
        <v>193</v>
      </c>
    </row>
    <row r="33" spans="1:7">
      <c r="A33" s="7" t="s">
        <v>194</v>
      </c>
      <c r="B33" s="7" t="s">
        <v>195</v>
      </c>
      <c r="C33" s="7" t="s">
        <v>196</v>
      </c>
      <c r="D33" s="7" t="s">
        <v>197</v>
      </c>
      <c r="E33" s="7" t="s">
        <v>198</v>
      </c>
      <c r="F33" s="7" t="s">
        <v>25</v>
      </c>
      <c r="G33" s="7" t="s">
        <v>199</v>
      </c>
    </row>
    <row r="34" ht="25" spans="1:7">
      <c r="A34" s="7" t="s">
        <v>200</v>
      </c>
      <c r="B34" s="7" t="s">
        <v>201</v>
      </c>
      <c r="C34" s="7" t="s">
        <v>202</v>
      </c>
      <c r="D34" s="7" t="s">
        <v>203</v>
      </c>
      <c r="E34" s="7" t="s">
        <v>204</v>
      </c>
      <c r="F34" s="7" t="s">
        <v>12</v>
      </c>
      <c r="G34" s="15" t="s">
        <v>205</v>
      </c>
    </row>
    <row r="35" ht="25" spans="1:7">
      <c r="A35" s="7" t="s">
        <v>206</v>
      </c>
      <c r="B35" s="7" t="s">
        <v>207</v>
      </c>
      <c r="C35" s="7" t="s">
        <v>208</v>
      </c>
      <c r="D35" s="7" t="s">
        <v>209</v>
      </c>
      <c r="E35" s="7" t="s">
        <v>210</v>
      </c>
      <c r="F35" s="7" t="s">
        <v>25</v>
      </c>
      <c r="G35" s="15" t="s">
        <v>211</v>
      </c>
    </row>
    <row r="36" ht="25" spans="1:7">
      <c r="A36" s="7" t="s">
        <v>212</v>
      </c>
      <c r="B36" s="7" t="s">
        <v>213</v>
      </c>
      <c r="C36" s="7" t="s">
        <v>214</v>
      </c>
      <c r="D36" s="7" t="s">
        <v>215</v>
      </c>
      <c r="E36" s="7" t="s">
        <v>216</v>
      </c>
      <c r="F36" s="7" t="s">
        <v>25</v>
      </c>
      <c r="G36" s="15" t="s">
        <v>217</v>
      </c>
    </row>
    <row r="37" ht="25" spans="1:7">
      <c r="A37" s="7" t="s">
        <v>218</v>
      </c>
      <c r="B37" s="7" t="s">
        <v>219</v>
      </c>
      <c r="C37" s="7" t="s">
        <v>220</v>
      </c>
      <c r="D37" s="7" t="s">
        <v>221</v>
      </c>
      <c r="E37" s="7" t="s">
        <v>222</v>
      </c>
      <c r="F37" s="7" t="s">
        <v>12</v>
      </c>
      <c r="G37" s="15" t="s">
        <v>223</v>
      </c>
    </row>
    <row r="38" ht="25" spans="1:7">
      <c r="A38" s="7" t="s">
        <v>224</v>
      </c>
      <c r="B38" s="7" t="s">
        <v>225</v>
      </c>
      <c r="C38" s="7" t="s">
        <v>226</v>
      </c>
      <c r="D38" s="7" t="s">
        <v>227</v>
      </c>
      <c r="E38" s="7" t="s">
        <v>228</v>
      </c>
      <c r="F38" s="7" t="s">
        <v>25</v>
      </c>
      <c r="G38" s="15" t="s">
        <v>229</v>
      </c>
    </row>
    <row r="39" ht="25" spans="1:7">
      <c r="A39" s="7" t="s">
        <v>230</v>
      </c>
      <c r="B39" s="7" t="s">
        <v>231</v>
      </c>
      <c r="C39" s="7" t="s">
        <v>232</v>
      </c>
      <c r="D39" s="7" t="s">
        <v>233</v>
      </c>
      <c r="E39" s="7" t="s">
        <v>234</v>
      </c>
      <c r="F39" s="7" t="s">
        <v>12</v>
      </c>
      <c r="G39" s="15" t="s">
        <v>235</v>
      </c>
    </row>
    <row r="40" ht="25" spans="1:7">
      <c r="A40" s="7" t="s">
        <v>236</v>
      </c>
      <c r="B40" s="7" t="s">
        <v>237</v>
      </c>
      <c r="C40" s="7" t="s">
        <v>238</v>
      </c>
      <c r="D40" s="7" t="s">
        <v>239</v>
      </c>
      <c r="E40" s="7" t="s">
        <v>240</v>
      </c>
      <c r="F40" s="7" t="s">
        <v>25</v>
      </c>
      <c r="G40" s="15" t="s">
        <v>241</v>
      </c>
    </row>
    <row r="41" ht="25" spans="1:7">
      <c r="A41" s="7" t="s">
        <v>242</v>
      </c>
      <c r="B41" s="7" t="s">
        <v>243</v>
      </c>
      <c r="C41" s="7" t="s">
        <v>244</v>
      </c>
      <c r="D41" s="7" t="s">
        <v>245</v>
      </c>
      <c r="E41" s="7" t="s">
        <v>246</v>
      </c>
      <c r="F41" s="7" t="s">
        <v>12</v>
      </c>
      <c r="G41" s="15" t="s">
        <v>247</v>
      </c>
    </row>
    <row r="42" ht="25" spans="1:7">
      <c r="A42" s="7" t="s">
        <v>248</v>
      </c>
      <c r="B42" s="7" t="s">
        <v>249</v>
      </c>
      <c r="C42" s="7" t="s">
        <v>250</v>
      </c>
      <c r="D42" s="7" t="s">
        <v>251</v>
      </c>
      <c r="E42" s="7" t="s">
        <v>252</v>
      </c>
      <c r="F42" s="7" t="s">
        <v>25</v>
      </c>
      <c r="G42" s="15" t="s">
        <v>253</v>
      </c>
    </row>
    <row r="43" ht="25" spans="1:7">
      <c r="A43" s="7" t="s">
        <v>254</v>
      </c>
      <c r="B43" s="7" t="s">
        <v>255</v>
      </c>
      <c r="C43" s="7" t="s">
        <v>256</v>
      </c>
      <c r="D43" s="7" t="s">
        <v>257</v>
      </c>
      <c r="E43" s="7" t="s">
        <v>258</v>
      </c>
      <c r="F43" s="7" t="s">
        <v>25</v>
      </c>
      <c r="G43" s="15" t="s">
        <v>259</v>
      </c>
    </row>
    <row r="44" ht="25" spans="1:7">
      <c r="A44" s="7" t="s">
        <v>260</v>
      </c>
      <c r="B44" s="7" t="s">
        <v>261</v>
      </c>
      <c r="C44" s="7" t="s">
        <v>214</v>
      </c>
      <c r="D44" s="7" t="s">
        <v>262</v>
      </c>
      <c r="E44" s="7" t="s">
        <v>263</v>
      </c>
      <c r="F44" s="7" t="s">
        <v>12</v>
      </c>
      <c r="G44" s="15" t="s">
        <v>264</v>
      </c>
    </row>
    <row r="45" ht="25" spans="1:7">
      <c r="A45" s="7" t="s">
        <v>265</v>
      </c>
      <c r="B45" s="7" t="s">
        <v>266</v>
      </c>
      <c r="C45" s="7" t="s">
        <v>267</v>
      </c>
      <c r="D45" s="7" t="s">
        <v>268</v>
      </c>
      <c r="E45" s="7" t="s">
        <v>269</v>
      </c>
      <c r="F45" s="7" t="s">
        <v>25</v>
      </c>
      <c r="G45" s="15" t="s">
        <v>270</v>
      </c>
    </row>
    <row r="46" spans="1:7">
      <c r="A46" s="7" t="s">
        <v>271</v>
      </c>
      <c r="B46" s="7" t="s">
        <v>272</v>
      </c>
      <c r="C46" s="7" t="s">
        <v>273</v>
      </c>
      <c r="D46" s="7" t="s">
        <v>274</v>
      </c>
      <c r="E46" s="7" t="s">
        <v>275</v>
      </c>
      <c r="F46" s="7" t="s">
        <v>12</v>
      </c>
      <c r="G46" s="7" t="s">
        <v>276</v>
      </c>
    </row>
    <row r="47" ht="25" spans="1:7">
      <c r="A47" s="7" t="s">
        <v>277</v>
      </c>
      <c r="B47" s="7" t="s">
        <v>278</v>
      </c>
      <c r="C47" s="7" t="s">
        <v>279</v>
      </c>
      <c r="D47" s="7" t="s">
        <v>280</v>
      </c>
      <c r="E47" s="7" t="s">
        <v>281</v>
      </c>
      <c r="F47" s="7" t="s">
        <v>25</v>
      </c>
      <c r="G47" s="15" t="s">
        <v>282</v>
      </c>
    </row>
    <row r="48" spans="1:7">
      <c r="A48" s="7" t="s">
        <v>283</v>
      </c>
      <c r="B48" s="7" t="s">
        <v>284</v>
      </c>
      <c r="C48" s="7" t="s">
        <v>285</v>
      </c>
      <c r="D48" s="7" t="s">
        <v>286</v>
      </c>
      <c r="E48" s="7" t="s">
        <v>287</v>
      </c>
      <c r="F48" s="7" t="s">
        <v>25</v>
      </c>
      <c r="G48" s="7" t="s">
        <v>288</v>
      </c>
    </row>
    <row r="49" ht="25" spans="1:7">
      <c r="A49" s="7" t="s">
        <v>289</v>
      </c>
      <c r="B49" s="7" t="s">
        <v>290</v>
      </c>
      <c r="C49" s="7" t="s">
        <v>291</v>
      </c>
      <c r="D49" s="7" t="s">
        <v>292</v>
      </c>
      <c r="E49" s="7" t="s">
        <v>293</v>
      </c>
      <c r="F49" s="7" t="s">
        <v>25</v>
      </c>
      <c r="G49" s="15" t="s">
        <v>294</v>
      </c>
    </row>
    <row r="50" spans="1:7">
      <c r="A50" s="7" t="s">
        <v>295</v>
      </c>
      <c r="B50" s="7" t="s">
        <v>296</v>
      </c>
      <c r="C50" s="7" t="s">
        <v>297</v>
      </c>
      <c r="D50" s="7" t="s">
        <v>298</v>
      </c>
      <c r="E50" s="7" t="s">
        <v>299</v>
      </c>
      <c r="F50" s="7" t="s">
        <v>12</v>
      </c>
      <c r="G50" s="7" t="s">
        <v>300</v>
      </c>
    </row>
    <row r="51" ht="37.5" spans="1:7">
      <c r="A51" s="7" t="s">
        <v>301</v>
      </c>
      <c r="B51" s="7" t="s">
        <v>302</v>
      </c>
      <c r="C51" s="7" t="s">
        <v>297</v>
      </c>
      <c r="D51" s="7" t="s">
        <v>303</v>
      </c>
      <c r="E51" s="7" t="s">
        <v>304</v>
      </c>
      <c r="F51" s="7" t="s">
        <v>12</v>
      </c>
      <c r="G51" s="15" t="s">
        <v>305</v>
      </c>
    </row>
    <row r="52" ht="25" spans="1:7">
      <c r="A52" s="7" t="s">
        <v>306</v>
      </c>
      <c r="B52" s="7" t="s">
        <v>307</v>
      </c>
      <c r="C52" s="7" t="s">
        <v>308</v>
      </c>
      <c r="D52" s="7" t="s">
        <v>309</v>
      </c>
      <c r="E52" s="7" t="s">
        <v>310</v>
      </c>
      <c r="F52" s="7" t="s">
        <v>12</v>
      </c>
      <c r="G52" s="15" t="s">
        <v>311</v>
      </c>
    </row>
    <row r="53" ht="25" spans="1:7">
      <c r="A53" s="7" t="s">
        <v>312</v>
      </c>
      <c r="B53" s="7" t="s">
        <v>313</v>
      </c>
      <c r="C53" s="7" t="s">
        <v>314</v>
      </c>
      <c r="D53" s="7" t="s">
        <v>315</v>
      </c>
      <c r="E53" s="7" t="s">
        <v>316</v>
      </c>
      <c r="F53" s="7" t="s">
        <v>25</v>
      </c>
      <c r="G53" s="15" t="s">
        <v>317</v>
      </c>
    </row>
    <row r="54" ht="25" spans="1:7">
      <c r="A54" s="7" t="s">
        <v>318</v>
      </c>
      <c r="B54" s="7" t="s">
        <v>319</v>
      </c>
      <c r="C54" s="7" t="s">
        <v>320</v>
      </c>
      <c r="D54" s="7" t="s">
        <v>321</v>
      </c>
      <c r="E54" s="7" t="s">
        <v>322</v>
      </c>
      <c r="F54" s="7" t="s">
        <v>12</v>
      </c>
      <c r="G54" s="15" t="s">
        <v>323</v>
      </c>
    </row>
    <row r="55" ht="37.5" spans="1:7">
      <c r="A55" s="7" t="s">
        <v>324</v>
      </c>
      <c r="B55" s="7" t="s">
        <v>325</v>
      </c>
      <c r="C55" s="7" t="s">
        <v>142</v>
      </c>
      <c r="D55" s="7" t="s">
        <v>326</v>
      </c>
      <c r="E55" s="7" t="s">
        <v>327</v>
      </c>
      <c r="F55" s="7" t="s">
        <v>12</v>
      </c>
      <c r="G55" s="15" t="s">
        <v>328</v>
      </c>
    </row>
    <row r="56" ht="25" spans="1:7">
      <c r="A56" s="7" t="s">
        <v>329</v>
      </c>
      <c r="B56" s="7" t="s">
        <v>330</v>
      </c>
      <c r="C56" s="7" t="s">
        <v>297</v>
      </c>
      <c r="D56" s="7" t="s">
        <v>331</v>
      </c>
      <c r="E56" s="7" t="s">
        <v>332</v>
      </c>
      <c r="F56" s="7" t="s">
        <v>25</v>
      </c>
      <c r="G56" s="15" t="s">
        <v>333</v>
      </c>
    </row>
    <row r="57" ht="25" spans="1:7">
      <c r="A57" s="7" t="s">
        <v>334</v>
      </c>
      <c r="B57" s="7" t="s">
        <v>335</v>
      </c>
      <c r="C57" s="7" t="s">
        <v>178</v>
      </c>
      <c r="D57" s="7" t="s">
        <v>336</v>
      </c>
      <c r="E57" s="7" t="s">
        <v>337</v>
      </c>
      <c r="F57" s="7" t="s">
        <v>25</v>
      </c>
      <c r="G57" s="15" t="s">
        <v>338</v>
      </c>
    </row>
    <row r="58" ht="37.5" spans="1:7">
      <c r="A58" s="7" t="s">
        <v>339</v>
      </c>
      <c r="B58" s="7" t="s">
        <v>340</v>
      </c>
      <c r="C58" s="7" t="s">
        <v>341</v>
      </c>
      <c r="D58" s="7" t="s">
        <v>342</v>
      </c>
      <c r="E58" s="7" t="s">
        <v>343</v>
      </c>
      <c r="F58" s="7" t="s">
        <v>12</v>
      </c>
      <c r="G58" s="15" t="s">
        <v>344</v>
      </c>
    </row>
    <row r="59" ht="25" spans="1:7">
      <c r="A59" s="7" t="s">
        <v>345</v>
      </c>
      <c r="B59" s="7" t="s">
        <v>346</v>
      </c>
      <c r="C59" s="7" t="s">
        <v>291</v>
      </c>
      <c r="D59" s="7" t="s">
        <v>347</v>
      </c>
      <c r="E59" s="7" t="s">
        <v>348</v>
      </c>
      <c r="F59" s="7" t="s">
        <v>25</v>
      </c>
      <c r="G59" s="15" t="s">
        <v>349</v>
      </c>
    </row>
    <row r="60" ht="25" spans="1:7">
      <c r="A60" s="7" t="s">
        <v>350</v>
      </c>
      <c r="B60" s="7" t="s">
        <v>351</v>
      </c>
      <c r="C60" s="7" t="s">
        <v>352</v>
      </c>
      <c r="D60" s="7" t="s">
        <v>353</v>
      </c>
      <c r="E60" s="7" t="s">
        <v>354</v>
      </c>
      <c r="F60" s="7" t="s">
        <v>25</v>
      </c>
      <c r="G60" s="15" t="s">
        <v>355</v>
      </c>
    </row>
    <row r="61" ht="37.5" spans="1:7">
      <c r="A61" s="7" t="s">
        <v>356</v>
      </c>
      <c r="B61" s="7" t="s">
        <v>357</v>
      </c>
      <c r="C61" s="7" t="s">
        <v>358</v>
      </c>
      <c r="D61" s="7" t="s">
        <v>359</v>
      </c>
      <c r="E61" s="7" t="s">
        <v>360</v>
      </c>
      <c r="F61" s="7" t="s">
        <v>25</v>
      </c>
      <c r="G61" s="15" t="s">
        <v>361</v>
      </c>
    </row>
    <row r="62" spans="1:7">
      <c r="A62" s="7" t="s">
        <v>362</v>
      </c>
      <c r="B62" s="7" t="s">
        <v>363</v>
      </c>
      <c r="C62" s="7" t="s">
        <v>148</v>
      </c>
      <c r="D62" s="7" t="s">
        <v>364</v>
      </c>
      <c r="E62" s="7" t="s">
        <v>365</v>
      </c>
      <c r="F62" s="7" t="s">
        <v>12</v>
      </c>
      <c r="G62" s="7" t="s">
        <v>366</v>
      </c>
    </row>
    <row r="63" ht="37.5" spans="1:7">
      <c r="A63" s="7" t="s">
        <v>367</v>
      </c>
      <c r="B63" s="7" t="s">
        <v>368</v>
      </c>
      <c r="C63" s="7" t="s">
        <v>369</v>
      </c>
      <c r="D63" s="7" t="s">
        <v>370</v>
      </c>
      <c r="E63" s="7" t="s">
        <v>371</v>
      </c>
      <c r="F63" s="7" t="s">
        <v>25</v>
      </c>
      <c r="G63" s="15" t="s">
        <v>372</v>
      </c>
    </row>
    <row r="64" ht="25" spans="1:7">
      <c r="A64" s="7" t="s">
        <v>373</v>
      </c>
      <c r="B64" s="7" t="s">
        <v>374</v>
      </c>
      <c r="C64" s="7" t="s">
        <v>375</v>
      </c>
      <c r="D64" s="7" t="s">
        <v>376</v>
      </c>
      <c r="E64" s="7" t="s">
        <v>377</v>
      </c>
      <c r="F64" s="7" t="s">
        <v>25</v>
      </c>
      <c r="G64" s="15" t="s">
        <v>378</v>
      </c>
    </row>
    <row r="65" ht="25" spans="1:7">
      <c r="A65" s="7" t="s">
        <v>379</v>
      </c>
      <c r="B65" s="7" t="s">
        <v>380</v>
      </c>
      <c r="C65" s="7" t="s">
        <v>381</v>
      </c>
      <c r="D65" s="7" t="s">
        <v>382</v>
      </c>
      <c r="E65" s="7" t="s">
        <v>383</v>
      </c>
      <c r="F65" s="7" t="s">
        <v>25</v>
      </c>
      <c r="G65" s="15" t="s">
        <v>384</v>
      </c>
    </row>
    <row r="66" ht="25" spans="1:7">
      <c r="A66" s="7" t="s">
        <v>385</v>
      </c>
      <c r="B66" s="7" t="s">
        <v>386</v>
      </c>
      <c r="C66" s="7" t="s">
        <v>387</v>
      </c>
      <c r="D66" s="7" t="s">
        <v>388</v>
      </c>
      <c r="E66" s="7" t="s">
        <v>389</v>
      </c>
      <c r="F66" s="7" t="s">
        <v>25</v>
      </c>
      <c r="G66" s="15" t="s">
        <v>390</v>
      </c>
    </row>
    <row r="67" ht="25" spans="1:7">
      <c r="A67" s="7" t="s">
        <v>391</v>
      </c>
      <c r="B67" s="7" t="s">
        <v>392</v>
      </c>
      <c r="C67" s="7" t="s">
        <v>393</v>
      </c>
      <c r="D67" s="7" t="s">
        <v>394</v>
      </c>
      <c r="E67" s="7" t="s">
        <v>395</v>
      </c>
      <c r="F67" s="7" t="s">
        <v>12</v>
      </c>
      <c r="G67" s="15" t="s">
        <v>396</v>
      </c>
    </row>
    <row r="68" ht="25" spans="1:7">
      <c r="A68" s="7" t="s">
        <v>397</v>
      </c>
      <c r="B68" s="7" t="s">
        <v>398</v>
      </c>
      <c r="C68" s="7" t="s">
        <v>399</v>
      </c>
      <c r="D68" s="7" t="s">
        <v>400</v>
      </c>
      <c r="E68" s="7" t="s">
        <v>401</v>
      </c>
      <c r="F68" s="7" t="s">
        <v>25</v>
      </c>
      <c r="G68" s="15" t="s">
        <v>402</v>
      </c>
    </row>
    <row r="69" spans="1:7">
      <c r="A69" s="7" t="s">
        <v>403</v>
      </c>
      <c r="B69" s="7" t="s">
        <v>404</v>
      </c>
      <c r="C69" s="7" t="s">
        <v>352</v>
      </c>
      <c r="D69" s="7" t="s">
        <v>405</v>
      </c>
      <c r="E69" s="7" t="s">
        <v>406</v>
      </c>
      <c r="F69" s="7" t="s">
        <v>25</v>
      </c>
      <c r="G69" s="7" t="s">
        <v>407</v>
      </c>
    </row>
    <row r="70" ht="25" spans="1:7">
      <c r="A70" s="7" t="s">
        <v>408</v>
      </c>
      <c r="B70" s="7" t="s">
        <v>409</v>
      </c>
      <c r="C70" s="7" t="s">
        <v>410</v>
      </c>
      <c r="D70" s="7" t="s">
        <v>411</v>
      </c>
      <c r="E70" s="7" t="s">
        <v>412</v>
      </c>
      <c r="F70" s="7" t="s">
        <v>12</v>
      </c>
      <c r="G70" s="15" t="s">
        <v>413</v>
      </c>
    </row>
    <row r="71" ht="25" spans="1:7">
      <c r="A71" s="7" t="s">
        <v>414</v>
      </c>
      <c r="B71" s="7" t="s">
        <v>415</v>
      </c>
      <c r="C71" s="7" t="s">
        <v>208</v>
      </c>
      <c r="D71" s="7" t="s">
        <v>416</v>
      </c>
      <c r="E71" s="7" t="s">
        <v>417</v>
      </c>
      <c r="F71" s="7" t="s">
        <v>25</v>
      </c>
      <c r="G71" s="15" t="s">
        <v>418</v>
      </c>
    </row>
    <row r="72" ht="25" spans="1:7">
      <c r="A72" s="7" t="s">
        <v>419</v>
      </c>
      <c r="B72" s="7" t="s">
        <v>420</v>
      </c>
      <c r="C72" s="7" t="s">
        <v>421</v>
      </c>
      <c r="D72" s="7" t="s">
        <v>422</v>
      </c>
      <c r="E72" s="7" t="s">
        <v>423</v>
      </c>
      <c r="F72" s="7" t="s">
        <v>25</v>
      </c>
      <c r="G72" s="15" t="s">
        <v>424</v>
      </c>
    </row>
    <row r="73" ht="25" spans="1:7">
      <c r="A73" s="7" t="s">
        <v>425</v>
      </c>
      <c r="B73" s="7" t="s">
        <v>426</v>
      </c>
      <c r="C73" s="7" t="s">
        <v>427</v>
      </c>
      <c r="D73" s="7" t="s">
        <v>428</v>
      </c>
      <c r="E73" s="7" t="s">
        <v>429</v>
      </c>
      <c r="F73" s="7" t="s">
        <v>25</v>
      </c>
      <c r="G73" s="15" t="s">
        <v>430</v>
      </c>
    </row>
    <row r="74" ht="25" spans="1:7">
      <c r="A74" s="7" t="s">
        <v>431</v>
      </c>
      <c r="B74" s="7" t="s">
        <v>432</v>
      </c>
      <c r="C74" s="7" t="s">
        <v>433</v>
      </c>
      <c r="D74" s="7" t="s">
        <v>434</v>
      </c>
      <c r="E74" s="7" t="s">
        <v>435</v>
      </c>
      <c r="F74" s="7" t="s">
        <v>25</v>
      </c>
      <c r="G74" s="15" t="s">
        <v>436</v>
      </c>
    </row>
    <row r="75" spans="1:7">
      <c r="A75" s="7" t="s">
        <v>437</v>
      </c>
      <c r="B75" s="7" t="s">
        <v>438</v>
      </c>
      <c r="C75" s="7" t="s">
        <v>439</v>
      </c>
      <c r="D75" s="7" t="s">
        <v>440</v>
      </c>
      <c r="E75" s="7" t="s">
        <v>441</v>
      </c>
      <c r="F75" s="7" t="s">
        <v>12</v>
      </c>
      <c r="G75" s="7" t="s">
        <v>442</v>
      </c>
    </row>
    <row r="76" ht="25" spans="1:7">
      <c r="A76" s="7" t="s">
        <v>443</v>
      </c>
      <c r="B76" s="7" t="s">
        <v>444</v>
      </c>
      <c r="C76" s="7" t="s">
        <v>445</v>
      </c>
      <c r="D76" s="7" t="s">
        <v>446</v>
      </c>
      <c r="E76" s="7" t="s">
        <v>447</v>
      </c>
      <c r="F76" s="7" t="s">
        <v>12</v>
      </c>
      <c r="G76" s="15" t="s">
        <v>448</v>
      </c>
    </row>
    <row r="77" ht="37.5" spans="1:7">
      <c r="A77" s="7" t="s">
        <v>449</v>
      </c>
      <c r="B77" s="7" t="s">
        <v>450</v>
      </c>
      <c r="C77" s="7" t="s">
        <v>451</v>
      </c>
      <c r="D77" s="7" t="s">
        <v>452</v>
      </c>
      <c r="E77" s="7" t="s">
        <v>453</v>
      </c>
      <c r="F77" s="7" t="s">
        <v>12</v>
      </c>
      <c r="G77" s="15" t="s">
        <v>454</v>
      </c>
    </row>
    <row r="78" spans="1:7">
      <c r="A78" s="7" t="s">
        <v>455</v>
      </c>
      <c r="B78" s="7" t="s">
        <v>456</v>
      </c>
      <c r="C78" s="7" t="s">
        <v>9</v>
      </c>
      <c r="D78" s="7" t="s">
        <v>457</v>
      </c>
      <c r="E78" s="7" t="s">
        <v>458</v>
      </c>
      <c r="F78" s="7" t="s">
        <v>12</v>
      </c>
      <c r="G78" s="7" t="s">
        <v>459</v>
      </c>
    </row>
    <row r="79" ht="37.5" spans="1:7">
      <c r="A79" s="7" t="s">
        <v>460</v>
      </c>
      <c r="B79" s="7" t="s">
        <v>461</v>
      </c>
      <c r="C79" s="7" t="s">
        <v>462</v>
      </c>
      <c r="D79" s="7" t="s">
        <v>463</v>
      </c>
      <c r="E79" s="7" t="s">
        <v>464</v>
      </c>
      <c r="F79" s="7" t="s">
        <v>12</v>
      </c>
      <c r="G79" s="15" t="s">
        <v>465</v>
      </c>
    </row>
    <row r="80" ht="37.5" spans="1:7">
      <c r="A80" s="7" t="s">
        <v>466</v>
      </c>
      <c r="B80" s="7" t="s">
        <v>467</v>
      </c>
      <c r="C80" s="7" t="s">
        <v>468</v>
      </c>
      <c r="D80" s="7" t="s">
        <v>469</v>
      </c>
      <c r="E80" s="7" t="s">
        <v>470</v>
      </c>
      <c r="F80" s="7" t="s">
        <v>12</v>
      </c>
      <c r="G80" s="15" t="s">
        <v>471</v>
      </c>
    </row>
    <row r="81" ht="37.5" spans="1:7">
      <c r="A81" s="7" t="s">
        <v>472</v>
      </c>
      <c r="B81" s="7" t="s">
        <v>473</v>
      </c>
      <c r="C81" s="7" t="s">
        <v>474</v>
      </c>
      <c r="D81" s="7" t="s">
        <v>475</v>
      </c>
      <c r="E81" s="7" t="s">
        <v>476</v>
      </c>
      <c r="F81" s="7" t="s">
        <v>25</v>
      </c>
      <c r="G81" s="15" t="s">
        <v>477</v>
      </c>
    </row>
    <row r="82" ht="37.5" spans="1:7">
      <c r="A82" s="7" t="s">
        <v>478</v>
      </c>
      <c r="B82" s="7" t="s">
        <v>479</v>
      </c>
      <c r="C82" s="7" t="s">
        <v>480</v>
      </c>
      <c r="D82" s="7" t="s">
        <v>481</v>
      </c>
      <c r="E82" s="7" t="s">
        <v>482</v>
      </c>
      <c r="F82" s="7" t="s">
        <v>25</v>
      </c>
      <c r="G82" s="15" t="s">
        <v>483</v>
      </c>
    </row>
    <row r="83" spans="1:7">
      <c r="A83" s="7" t="s">
        <v>484</v>
      </c>
      <c r="B83" s="7" t="s">
        <v>485</v>
      </c>
      <c r="C83" s="7" t="s">
        <v>486</v>
      </c>
      <c r="D83" s="7" t="s">
        <v>487</v>
      </c>
      <c r="E83" s="7" t="s">
        <v>488</v>
      </c>
      <c r="F83" s="7" t="s">
        <v>12</v>
      </c>
      <c r="G83" s="7" t="s">
        <v>489</v>
      </c>
    </row>
    <row r="84" ht="25" spans="1:7">
      <c r="A84" s="7" t="s">
        <v>490</v>
      </c>
      <c r="B84" s="7" t="s">
        <v>491</v>
      </c>
      <c r="C84" s="7" t="s">
        <v>492</v>
      </c>
      <c r="D84" s="7" t="s">
        <v>493</v>
      </c>
      <c r="E84" s="7" t="s">
        <v>494</v>
      </c>
      <c r="F84" s="7" t="s">
        <v>25</v>
      </c>
      <c r="G84" s="15" t="s">
        <v>495</v>
      </c>
    </row>
    <row r="85" ht="37.5" spans="1:7">
      <c r="A85" s="7" t="s">
        <v>496</v>
      </c>
      <c r="B85" s="7" t="s">
        <v>497</v>
      </c>
      <c r="C85" s="7" t="s">
        <v>498</v>
      </c>
      <c r="D85" s="7" t="s">
        <v>499</v>
      </c>
      <c r="E85" s="7" t="s">
        <v>500</v>
      </c>
      <c r="F85" s="7" t="s">
        <v>25</v>
      </c>
      <c r="G85" s="15" t="s">
        <v>501</v>
      </c>
    </row>
    <row r="86" ht="25" spans="1:7">
      <c r="A86" s="7" t="s">
        <v>502</v>
      </c>
      <c r="B86" s="7" t="s">
        <v>503</v>
      </c>
      <c r="C86" s="7" t="s">
        <v>504</v>
      </c>
      <c r="D86" s="7" t="s">
        <v>505</v>
      </c>
      <c r="E86" s="7" t="s">
        <v>506</v>
      </c>
      <c r="F86" s="7" t="s">
        <v>25</v>
      </c>
      <c r="G86" s="15" t="s">
        <v>507</v>
      </c>
    </row>
    <row r="87" ht="25" spans="1:7">
      <c r="A87" s="7" t="s">
        <v>508</v>
      </c>
      <c r="B87" s="7" t="s">
        <v>509</v>
      </c>
      <c r="C87" s="7" t="s">
        <v>510</v>
      </c>
      <c r="D87" s="7" t="s">
        <v>511</v>
      </c>
      <c r="E87" s="7" t="s">
        <v>512</v>
      </c>
      <c r="F87" s="7" t="s">
        <v>12</v>
      </c>
      <c r="G87" s="15" t="s">
        <v>513</v>
      </c>
    </row>
    <row r="88" ht="37.5" spans="1:7">
      <c r="A88" s="7" t="s">
        <v>514</v>
      </c>
      <c r="B88" s="7" t="s">
        <v>515</v>
      </c>
      <c r="C88" s="7" t="s">
        <v>387</v>
      </c>
      <c r="D88" s="7" t="s">
        <v>516</v>
      </c>
      <c r="E88" s="7" t="s">
        <v>517</v>
      </c>
      <c r="F88" s="7" t="s">
        <v>12</v>
      </c>
      <c r="G88" s="15" t="s">
        <v>518</v>
      </c>
    </row>
    <row r="89" spans="1:7">
      <c r="A89" s="7" t="s">
        <v>519</v>
      </c>
      <c r="B89" s="7" t="s">
        <v>520</v>
      </c>
      <c r="C89" s="7" t="s">
        <v>521</v>
      </c>
      <c r="D89" s="7" t="s">
        <v>522</v>
      </c>
      <c r="E89" s="7" t="s">
        <v>523</v>
      </c>
      <c r="F89" s="7" t="s">
        <v>12</v>
      </c>
      <c r="G89" s="7" t="s">
        <v>524</v>
      </c>
    </row>
    <row r="90" ht="25" spans="1:7">
      <c r="A90" s="7" t="s">
        <v>525</v>
      </c>
      <c r="B90" s="7" t="s">
        <v>526</v>
      </c>
      <c r="C90" s="7" t="s">
        <v>527</v>
      </c>
      <c r="D90" s="7" t="s">
        <v>528</v>
      </c>
      <c r="E90" s="7" t="s">
        <v>529</v>
      </c>
      <c r="F90" s="7" t="s">
        <v>12</v>
      </c>
      <c r="G90" s="15" t="s">
        <v>530</v>
      </c>
    </row>
    <row r="91" ht="25" spans="1:7">
      <c r="A91" s="7" t="s">
        <v>531</v>
      </c>
      <c r="B91" s="7" t="s">
        <v>532</v>
      </c>
      <c r="C91" s="7" t="s">
        <v>533</v>
      </c>
      <c r="D91" s="7" t="s">
        <v>534</v>
      </c>
      <c r="E91" s="7" t="s">
        <v>535</v>
      </c>
      <c r="F91" s="7" t="s">
        <v>12</v>
      </c>
      <c r="G91" s="15" t="s">
        <v>536</v>
      </c>
    </row>
    <row r="92" ht="37.5" spans="1:7">
      <c r="A92" s="7" t="s">
        <v>537</v>
      </c>
      <c r="B92" s="7" t="s">
        <v>538</v>
      </c>
      <c r="C92" s="7" t="s">
        <v>539</v>
      </c>
      <c r="D92" s="7" t="s">
        <v>540</v>
      </c>
      <c r="E92" s="7" t="s">
        <v>541</v>
      </c>
      <c r="F92" s="7" t="s">
        <v>12</v>
      </c>
      <c r="G92" s="15" t="s">
        <v>542</v>
      </c>
    </row>
    <row r="93" ht="25" spans="1:7">
      <c r="A93" s="7" t="s">
        <v>543</v>
      </c>
      <c r="B93" s="7" t="s">
        <v>544</v>
      </c>
      <c r="C93" s="7" t="s">
        <v>220</v>
      </c>
      <c r="D93" s="7" t="s">
        <v>545</v>
      </c>
      <c r="E93" s="7" t="s">
        <v>546</v>
      </c>
      <c r="F93" s="7" t="s">
        <v>25</v>
      </c>
      <c r="G93" s="15" t="s">
        <v>547</v>
      </c>
    </row>
    <row r="94" ht="37.5" spans="1:7">
      <c r="A94" s="7" t="s">
        <v>548</v>
      </c>
      <c r="B94" s="7" t="s">
        <v>549</v>
      </c>
      <c r="C94" s="7" t="s">
        <v>550</v>
      </c>
      <c r="D94" s="7" t="s">
        <v>551</v>
      </c>
      <c r="E94" s="7" t="s">
        <v>552</v>
      </c>
      <c r="F94" s="7" t="s">
        <v>25</v>
      </c>
      <c r="G94" s="15" t="s">
        <v>553</v>
      </c>
    </row>
    <row r="95" ht="37.5" spans="1:7">
      <c r="A95" s="7" t="s">
        <v>554</v>
      </c>
      <c r="B95" s="7" t="s">
        <v>555</v>
      </c>
      <c r="C95" s="7" t="s">
        <v>556</v>
      </c>
      <c r="D95" s="7" t="s">
        <v>557</v>
      </c>
      <c r="E95" s="7" t="s">
        <v>558</v>
      </c>
      <c r="F95" s="7" t="s">
        <v>12</v>
      </c>
      <c r="G95" s="15" t="s">
        <v>559</v>
      </c>
    </row>
    <row r="96" ht="37.5" spans="1:7">
      <c r="A96" s="7" t="s">
        <v>560</v>
      </c>
      <c r="B96" s="7" t="s">
        <v>561</v>
      </c>
      <c r="C96" s="7" t="s">
        <v>562</v>
      </c>
      <c r="D96" s="7" t="s">
        <v>563</v>
      </c>
      <c r="E96" s="7" t="s">
        <v>564</v>
      </c>
      <c r="F96" s="7" t="s">
        <v>12</v>
      </c>
      <c r="G96" s="15" t="s">
        <v>565</v>
      </c>
    </row>
    <row r="97" ht="25" spans="1:7">
      <c r="A97" s="7" t="s">
        <v>566</v>
      </c>
      <c r="B97" s="7" t="s">
        <v>567</v>
      </c>
      <c r="C97" s="7" t="s">
        <v>568</v>
      </c>
      <c r="D97" s="7" t="s">
        <v>569</v>
      </c>
      <c r="E97" s="7" t="s">
        <v>570</v>
      </c>
      <c r="F97" s="7" t="s">
        <v>25</v>
      </c>
      <c r="G97" s="15" t="s">
        <v>571</v>
      </c>
    </row>
    <row r="98" ht="25" spans="1:7">
      <c r="A98" s="7" t="s">
        <v>572</v>
      </c>
      <c r="B98" s="7" t="s">
        <v>573</v>
      </c>
      <c r="C98" s="7" t="s">
        <v>574</v>
      </c>
      <c r="D98" s="7" t="s">
        <v>575</v>
      </c>
      <c r="E98" s="7" t="s">
        <v>576</v>
      </c>
      <c r="F98" s="7" t="s">
        <v>12</v>
      </c>
      <c r="G98" s="15" t="s">
        <v>577</v>
      </c>
    </row>
    <row r="99" ht="25" spans="1:7">
      <c r="A99" s="7" t="s">
        <v>578</v>
      </c>
      <c r="B99" s="7" t="s">
        <v>579</v>
      </c>
      <c r="C99" s="7" t="s">
        <v>580</v>
      </c>
      <c r="D99" s="7" t="s">
        <v>581</v>
      </c>
      <c r="E99" s="7" t="s">
        <v>582</v>
      </c>
      <c r="F99" s="7" t="s">
        <v>25</v>
      </c>
      <c r="G99" s="15" t="s">
        <v>583</v>
      </c>
    </row>
    <row r="100" ht="37.5" spans="1:7">
      <c r="A100" s="7" t="s">
        <v>584</v>
      </c>
      <c r="B100" s="7" t="s">
        <v>585</v>
      </c>
      <c r="C100" s="7" t="s">
        <v>314</v>
      </c>
      <c r="D100" s="7" t="s">
        <v>586</v>
      </c>
      <c r="E100" s="7" t="s">
        <v>587</v>
      </c>
      <c r="F100" s="7" t="s">
        <v>12</v>
      </c>
      <c r="G100" s="15" t="s">
        <v>588</v>
      </c>
    </row>
    <row r="101" ht="25" spans="1:7">
      <c r="A101" s="7" t="s">
        <v>589</v>
      </c>
      <c r="B101" s="7" t="s">
        <v>590</v>
      </c>
      <c r="C101" s="7" t="s">
        <v>591</v>
      </c>
      <c r="D101" s="7" t="s">
        <v>592</v>
      </c>
      <c r="E101" s="7" t="s">
        <v>593</v>
      </c>
      <c r="F101" s="7" t="s">
        <v>12</v>
      </c>
      <c r="G101" s="15" t="s">
        <v>594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workbookViewId="0">
      <pane ySplit="1" topLeftCell="A5" activePane="bottomLeft" state="frozen"/>
      <selection/>
      <selection pane="bottomLeft" activeCell="A1" sqref="A1"/>
    </sheetView>
  </sheetViews>
  <sheetFormatPr defaultColWidth="8.68181818181818" defaultRowHeight="14.5"/>
  <cols>
    <col min="1" max="1" width="9" customWidth="1"/>
    <col min="2" max="2" width="12" customWidth="1"/>
    <col min="3" max="3" width="11" customWidth="1"/>
    <col min="4" max="4" width="9" customWidth="1"/>
    <col min="5" max="5" width="12" customWidth="1"/>
    <col min="6" max="6" width="10" customWidth="1"/>
    <col min="7" max="7" width="13" customWidth="1"/>
    <col min="8" max="8" width="10" customWidth="1"/>
    <col min="9" max="10" width="14" customWidth="1"/>
    <col min="11" max="11" width="16" customWidth="1"/>
  </cols>
  <sheetData>
    <row r="1" spans="1:11">
      <c r="A1" s="10" t="s">
        <v>595</v>
      </c>
      <c r="B1" s="10" t="s">
        <v>0</v>
      </c>
      <c r="C1" s="10" t="s">
        <v>596</v>
      </c>
      <c r="D1" s="10" t="s">
        <v>597</v>
      </c>
      <c r="E1" s="10" t="s">
        <v>598</v>
      </c>
      <c r="F1" s="10" t="s">
        <v>599</v>
      </c>
      <c r="G1" s="10" t="s">
        <v>600</v>
      </c>
      <c r="H1" s="10" t="s">
        <v>601</v>
      </c>
      <c r="I1" s="10" t="s">
        <v>602</v>
      </c>
      <c r="J1" s="10" t="s">
        <v>603</v>
      </c>
      <c r="K1" s="13" t="s">
        <v>604</v>
      </c>
    </row>
    <row r="2" spans="1:11">
      <c r="A2" s="7" t="s">
        <v>605</v>
      </c>
      <c r="B2" s="7" t="s">
        <v>224</v>
      </c>
      <c r="C2" s="7" t="s">
        <v>606</v>
      </c>
      <c r="D2" s="7" t="s">
        <v>607</v>
      </c>
      <c r="E2" s="7" t="s">
        <v>608</v>
      </c>
      <c r="F2" s="7" t="s">
        <v>609</v>
      </c>
      <c r="G2" s="7" t="s">
        <v>610</v>
      </c>
      <c r="H2" s="7" t="s">
        <v>611</v>
      </c>
      <c r="I2" s="7" t="s">
        <v>612</v>
      </c>
      <c r="J2" s="7" t="s">
        <v>613</v>
      </c>
      <c r="K2" s="14" t="str">
        <f>IF(COUNTIF(A2:A1001,A2)&gt;1,"Duplicate","Unique")</f>
        <v>Unique</v>
      </c>
    </row>
    <row r="3" spans="1:11">
      <c r="A3" s="7" t="s">
        <v>614</v>
      </c>
      <c r="B3" s="7" t="s">
        <v>116</v>
      </c>
      <c r="C3" s="7" t="s">
        <v>615</v>
      </c>
      <c r="D3" s="7" t="s">
        <v>614</v>
      </c>
      <c r="E3" s="7" t="s">
        <v>616</v>
      </c>
      <c r="F3" s="7" t="s">
        <v>617</v>
      </c>
      <c r="G3" s="7" t="s">
        <v>618</v>
      </c>
      <c r="H3" s="7" t="s">
        <v>619</v>
      </c>
      <c r="I3" s="7" t="s">
        <v>620</v>
      </c>
      <c r="J3" s="7" t="s">
        <v>621</v>
      </c>
    </row>
    <row r="4" spans="1:11">
      <c r="A4" s="7" t="s">
        <v>622</v>
      </c>
      <c r="B4" s="7" t="s">
        <v>176</v>
      </c>
      <c r="C4" s="7" t="s">
        <v>606</v>
      </c>
      <c r="D4" s="7" t="s">
        <v>607</v>
      </c>
      <c r="E4" s="7" t="s">
        <v>623</v>
      </c>
      <c r="F4" s="7" t="s">
        <v>624</v>
      </c>
      <c r="G4" s="7" t="s">
        <v>625</v>
      </c>
      <c r="H4" s="7" t="s">
        <v>626</v>
      </c>
      <c r="I4" s="7" t="s">
        <v>22</v>
      </c>
      <c r="J4" s="7" t="s">
        <v>613</v>
      </c>
    </row>
    <row r="5" spans="1:11">
      <c r="A5" s="7" t="s">
        <v>627</v>
      </c>
      <c r="B5" s="7" t="s">
        <v>75</v>
      </c>
      <c r="C5" s="7" t="s">
        <v>628</v>
      </c>
      <c r="D5" s="7" t="s">
        <v>607</v>
      </c>
      <c r="E5" s="7" t="s">
        <v>629</v>
      </c>
      <c r="F5" s="7" t="s">
        <v>630</v>
      </c>
      <c r="G5" s="7" t="s">
        <v>625</v>
      </c>
      <c r="H5" s="7" t="s">
        <v>631</v>
      </c>
      <c r="I5" s="7" t="s">
        <v>632</v>
      </c>
      <c r="J5" s="7" t="s">
        <v>633</v>
      </c>
    </row>
    <row r="6" spans="1:11">
      <c r="A6" s="7" t="s">
        <v>607</v>
      </c>
      <c r="B6" s="7" t="s">
        <v>460</v>
      </c>
      <c r="C6" s="7" t="s">
        <v>634</v>
      </c>
      <c r="D6" s="7" t="s">
        <v>614</v>
      </c>
      <c r="E6" s="7" t="s">
        <v>635</v>
      </c>
      <c r="F6" s="7" t="s">
        <v>636</v>
      </c>
      <c r="G6" s="7" t="s">
        <v>637</v>
      </c>
      <c r="H6" s="7" t="s">
        <v>638</v>
      </c>
      <c r="I6" s="7" t="s">
        <v>639</v>
      </c>
      <c r="J6" s="7" t="s">
        <v>640</v>
      </c>
    </row>
    <row r="7" spans="1:11">
      <c r="A7" s="7" t="s">
        <v>641</v>
      </c>
      <c r="B7" s="7" t="s">
        <v>242</v>
      </c>
      <c r="C7" s="7" t="s">
        <v>642</v>
      </c>
      <c r="D7" s="7" t="s">
        <v>627</v>
      </c>
      <c r="E7" s="7" t="s">
        <v>643</v>
      </c>
      <c r="F7" s="7" t="s">
        <v>644</v>
      </c>
      <c r="G7" s="7" t="s">
        <v>645</v>
      </c>
      <c r="H7" s="7" t="s">
        <v>646</v>
      </c>
      <c r="I7" s="7" t="s">
        <v>647</v>
      </c>
      <c r="J7" s="7" t="s">
        <v>648</v>
      </c>
    </row>
    <row r="8" spans="1:11">
      <c r="A8" s="7" t="s">
        <v>649</v>
      </c>
      <c r="B8" s="7" t="s">
        <v>57</v>
      </c>
      <c r="C8" s="7" t="s">
        <v>650</v>
      </c>
      <c r="D8" s="7" t="s">
        <v>614</v>
      </c>
      <c r="E8" s="7" t="s">
        <v>651</v>
      </c>
      <c r="F8" s="7" t="s">
        <v>652</v>
      </c>
      <c r="G8" s="7" t="s">
        <v>653</v>
      </c>
      <c r="H8" s="7" t="s">
        <v>654</v>
      </c>
      <c r="I8" s="7" t="s">
        <v>655</v>
      </c>
      <c r="J8" s="7" t="s">
        <v>633</v>
      </c>
    </row>
    <row r="9" spans="1:11">
      <c r="A9" s="7" t="s">
        <v>656</v>
      </c>
      <c r="B9" s="7" t="s">
        <v>572</v>
      </c>
      <c r="C9" s="7" t="s">
        <v>657</v>
      </c>
      <c r="D9" s="7" t="s">
        <v>622</v>
      </c>
      <c r="E9" s="7" t="s">
        <v>658</v>
      </c>
      <c r="F9" s="7" t="s">
        <v>659</v>
      </c>
      <c r="G9" s="7" t="s">
        <v>660</v>
      </c>
      <c r="H9" s="7" t="s">
        <v>661</v>
      </c>
      <c r="I9" s="7" t="s">
        <v>662</v>
      </c>
      <c r="J9" s="7" t="s">
        <v>621</v>
      </c>
    </row>
    <row r="10" spans="1:11">
      <c r="A10" s="7" t="s">
        <v>663</v>
      </c>
      <c r="B10" s="7" t="s">
        <v>265</v>
      </c>
      <c r="C10" s="7" t="s">
        <v>664</v>
      </c>
      <c r="D10" s="7" t="s">
        <v>627</v>
      </c>
      <c r="E10" s="7" t="s">
        <v>643</v>
      </c>
      <c r="F10" s="7" t="s">
        <v>665</v>
      </c>
      <c r="G10" s="7" t="s">
        <v>666</v>
      </c>
      <c r="H10" s="7" t="s">
        <v>667</v>
      </c>
      <c r="I10" s="7" t="s">
        <v>639</v>
      </c>
      <c r="J10" s="7" t="s">
        <v>648</v>
      </c>
    </row>
    <row r="11" spans="1:11">
      <c r="A11" s="7" t="s">
        <v>668</v>
      </c>
      <c r="B11" s="7" t="s">
        <v>584</v>
      </c>
      <c r="C11" s="7" t="s">
        <v>669</v>
      </c>
      <c r="D11" s="7" t="s">
        <v>622</v>
      </c>
      <c r="E11" s="7" t="s">
        <v>670</v>
      </c>
      <c r="F11" s="7" t="s">
        <v>671</v>
      </c>
      <c r="G11" s="7" t="s">
        <v>672</v>
      </c>
      <c r="H11" s="7" t="s">
        <v>673</v>
      </c>
      <c r="I11" s="7" t="s">
        <v>674</v>
      </c>
      <c r="J11" s="7" t="s">
        <v>613</v>
      </c>
    </row>
    <row r="12" spans="1:11">
      <c r="A12" s="7" t="s">
        <v>675</v>
      </c>
      <c r="B12" s="7" t="s">
        <v>385</v>
      </c>
      <c r="C12" s="7" t="s">
        <v>676</v>
      </c>
      <c r="D12" s="7" t="s">
        <v>627</v>
      </c>
      <c r="E12" s="7" t="s">
        <v>677</v>
      </c>
      <c r="F12" s="7" t="s">
        <v>678</v>
      </c>
      <c r="G12" s="7" t="s">
        <v>679</v>
      </c>
      <c r="H12" s="7" t="s">
        <v>680</v>
      </c>
      <c r="I12" s="7" t="s">
        <v>681</v>
      </c>
      <c r="J12" s="7" t="s">
        <v>682</v>
      </c>
    </row>
    <row r="13" spans="1:11">
      <c r="A13" s="7" t="s">
        <v>683</v>
      </c>
      <c r="B13" s="7" t="s">
        <v>572</v>
      </c>
      <c r="C13" s="7" t="s">
        <v>684</v>
      </c>
      <c r="D13" s="7" t="s">
        <v>622</v>
      </c>
      <c r="E13" s="7" t="s">
        <v>685</v>
      </c>
      <c r="F13" s="7" t="s">
        <v>686</v>
      </c>
      <c r="G13" s="7" t="s">
        <v>687</v>
      </c>
      <c r="H13" s="7" t="s">
        <v>688</v>
      </c>
      <c r="I13" s="7" t="s">
        <v>689</v>
      </c>
      <c r="J13" s="7" t="s">
        <v>633</v>
      </c>
    </row>
    <row r="14" spans="1:11">
      <c r="A14" s="7" t="s">
        <v>690</v>
      </c>
      <c r="B14" s="7" t="s">
        <v>146</v>
      </c>
      <c r="C14" s="7" t="s">
        <v>691</v>
      </c>
      <c r="D14" s="7" t="s">
        <v>622</v>
      </c>
      <c r="E14" s="7" t="s">
        <v>608</v>
      </c>
      <c r="F14" s="7" t="s">
        <v>692</v>
      </c>
      <c r="G14" s="7" t="s">
        <v>693</v>
      </c>
      <c r="H14" s="7" t="s">
        <v>694</v>
      </c>
      <c r="I14" s="7" t="s">
        <v>695</v>
      </c>
      <c r="J14" s="7" t="s">
        <v>613</v>
      </c>
    </row>
    <row r="15" spans="1:11">
      <c r="A15" s="7" t="s">
        <v>628</v>
      </c>
      <c r="B15" s="7" t="s">
        <v>254</v>
      </c>
      <c r="C15" s="7" t="s">
        <v>696</v>
      </c>
      <c r="D15" s="7" t="s">
        <v>605</v>
      </c>
      <c r="E15" s="7" t="s">
        <v>658</v>
      </c>
      <c r="F15" s="7" t="s">
        <v>697</v>
      </c>
      <c r="G15" s="7" t="s">
        <v>698</v>
      </c>
      <c r="H15" s="7" t="s">
        <v>699</v>
      </c>
      <c r="I15" s="7" t="s">
        <v>22</v>
      </c>
      <c r="J15" s="7" t="s">
        <v>621</v>
      </c>
    </row>
    <row r="16" spans="1:11">
      <c r="A16" s="7" t="s">
        <v>700</v>
      </c>
      <c r="B16" s="7" t="s">
        <v>408</v>
      </c>
      <c r="C16" s="7" t="s">
        <v>701</v>
      </c>
      <c r="D16" s="7" t="s">
        <v>607</v>
      </c>
      <c r="E16" s="7" t="s">
        <v>645</v>
      </c>
      <c r="F16" s="7" t="s">
        <v>702</v>
      </c>
      <c r="G16" s="7" t="s">
        <v>703</v>
      </c>
      <c r="H16" s="7" t="s">
        <v>704</v>
      </c>
      <c r="I16" s="7" t="s">
        <v>705</v>
      </c>
      <c r="J16" s="7" t="s">
        <v>648</v>
      </c>
    </row>
    <row r="17" spans="1:10">
      <c r="A17" s="7" t="s">
        <v>676</v>
      </c>
      <c r="B17" s="7" t="s">
        <v>80</v>
      </c>
      <c r="C17" s="7" t="s">
        <v>691</v>
      </c>
      <c r="D17" s="7" t="s">
        <v>622</v>
      </c>
      <c r="E17" s="7" t="s">
        <v>706</v>
      </c>
      <c r="F17" s="7" t="s">
        <v>707</v>
      </c>
      <c r="G17" s="7" t="s">
        <v>708</v>
      </c>
      <c r="H17" s="7" t="s">
        <v>709</v>
      </c>
      <c r="I17" s="7" t="s">
        <v>710</v>
      </c>
      <c r="J17" s="7" t="s">
        <v>613</v>
      </c>
    </row>
    <row r="18" spans="1:10">
      <c r="A18" s="7" t="s">
        <v>711</v>
      </c>
      <c r="B18" s="7" t="s">
        <v>334</v>
      </c>
      <c r="C18" s="7" t="s">
        <v>696</v>
      </c>
      <c r="D18" s="7" t="s">
        <v>614</v>
      </c>
      <c r="E18" s="7" t="s">
        <v>712</v>
      </c>
      <c r="F18" s="7" t="s">
        <v>713</v>
      </c>
      <c r="G18" s="7" t="s">
        <v>618</v>
      </c>
      <c r="H18" s="7" t="s">
        <v>714</v>
      </c>
      <c r="I18" s="7" t="s">
        <v>308</v>
      </c>
      <c r="J18" s="7" t="s">
        <v>621</v>
      </c>
    </row>
    <row r="19" spans="1:10">
      <c r="A19" s="7" t="s">
        <v>715</v>
      </c>
      <c r="B19" s="7" t="s">
        <v>425</v>
      </c>
      <c r="C19" s="7" t="s">
        <v>716</v>
      </c>
      <c r="D19" s="7" t="s">
        <v>627</v>
      </c>
      <c r="E19" s="7" t="s">
        <v>717</v>
      </c>
      <c r="F19" s="7" t="s">
        <v>718</v>
      </c>
      <c r="G19" s="7" t="s">
        <v>719</v>
      </c>
      <c r="H19" s="7" t="s">
        <v>720</v>
      </c>
      <c r="I19" s="7" t="s">
        <v>721</v>
      </c>
      <c r="J19" s="7" t="s">
        <v>613</v>
      </c>
    </row>
    <row r="20" spans="1:10">
      <c r="A20" s="7" t="s">
        <v>722</v>
      </c>
      <c r="B20" s="7" t="s">
        <v>425</v>
      </c>
      <c r="C20" s="7" t="s">
        <v>723</v>
      </c>
      <c r="D20" s="7" t="s">
        <v>627</v>
      </c>
      <c r="E20" s="7" t="s">
        <v>724</v>
      </c>
      <c r="F20" s="7" t="s">
        <v>725</v>
      </c>
      <c r="G20" s="7" t="s">
        <v>672</v>
      </c>
      <c r="H20" s="7" t="s">
        <v>726</v>
      </c>
      <c r="I20" s="7" t="s">
        <v>727</v>
      </c>
      <c r="J20" s="7" t="s">
        <v>682</v>
      </c>
    </row>
    <row r="21" spans="1:10">
      <c r="A21" s="7" t="s">
        <v>691</v>
      </c>
      <c r="B21" s="7" t="s">
        <v>69</v>
      </c>
      <c r="C21" s="7" t="s">
        <v>728</v>
      </c>
      <c r="D21" s="7" t="s">
        <v>605</v>
      </c>
      <c r="E21" s="7" t="s">
        <v>635</v>
      </c>
      <c r="F21" s="7" t="s">
        <v>729</v>
      </c>
      <c r="G21" s="7" t="s">
        <v>730</v>
      </c>
      <c r="H21" s="7" t="s">
        <v>731</v>
      </c>
      <c r="I21" s="7" t="s">
        <v>59</v>
      </c>
      <c r="J21" s="7" t="s">
        <v>640</v>
      </c>
    </row>
    <row r="22" spans="1:10">
      <c r="A22" s="7" t="s">
        <v>701</v>
      </c>
      <c r="B22" s="7" t="s">
        <v>531</v>
      </c>
      <c r="C22" s="7" t="s">
        <v>732</v>
      </c>
      <c r="D22" s="7" t="s">
        <v>605</v>
      </c>
      <c r="E22" s="7" t="s">
        <v>733</v>
      </c>
      <c r="F22" s="7" t="s">
        <v>734</v>
      </c>
      <c r="G22" s="7" t="s">
        <v>735</v>
      </c>
      <c r="H22" s="7" t="s">
        <v>736</v>
      </c>
      <c r="I22" s="7" t="s">
        <v>737</v>
      </c>
      <c r="J22" s="7" t="s">
        <v>633</v>
      </c>
    </row>
    <row r="23" spans="1:10">
      <c r="A23" s="7" t="s">
        <v>738</v>
      </c>
      <c r="B23" s="7" t="s">
        <v>324</v>
      </c>
      <c r="C23" s="7" t="s">
        <v>657</v>
      </c>
      <c r="D23" s="7" t="s">
        <v>605</v>
      </c>
      <c r="E23" s="7" t="s">
        <v>739</v>
      </c>
      <c r="F23" s="7" t="s">
        <v>740</v>
      </c>
      <c r="G23" s="7" t="s">
        <v>660</v>
      </c>
      <c r="H23" s="7" t="s">
        <v>741</v>
      </c>
      <c r="I23" s="7" t="s">
        <v>100</v>
      </c>
      <c r="J23" s="7" t="s">
        <v>621</v>
      </c>
    </row>
    <row r="24" spans="1:10">
      <c r="A24" s="7" t="s">
        <v>716</v>
      </c>
      <c r="B24" s="7" t="s">
        <v>248</v>
      </c>
      <c r="C24" s="7" t="s">
        <v>683</v>
      </c>
      <c r="D24" s="7" t="s">
        <v>622</v>
      </c>
      <c r="E24" s="7" t="s">
        <v>742</v>
      </c>
      <c r="F24" s="7" t="s">
        <v>743</v>
      </c>
      <c r="G24" s="7" t="s">
        <v>744</v>
      </c>
      <c r="H24" s="7" t="s">
        <v>745</v>
      </c>
      <c r="I24" s="7" t="s">
        <v>746</v>
      </c>
      <c r="J24" s="7" t="s">
        <v>613</v>
      </c>
    </row>
    <row r="25" spans="1:10">
      <c r="A25" s="7" t="s">
        <v>747</v>
      </c>
      <c r="B25" s="7" t="s">
        <v>110</v>
      </c>
      <c r="C25" s="7" t="s">
        <v>748</v>
      </c>
      <c r="D25" s="7" t="s">
        <v>622</v>
      </c>
      <c r="E25" s="7" t="s">
        <v>749</v>
      </c>
      <c r="F25" s="7" t="s">
        <v>750</v>
      </c>
      <c r="G25" s="7" t="s">
        <v>751</v>
      </c>
      <c r="H25" s="7" t="s">
        <v>752</v>
      </c>
      <c r="I25" s="7" t="s">
        <v>753</v>
      </c>
      <c r="J25" s="7" t="s">
        <v>754</v>
      </c>
    </row>
    <row r="26" spans="1:10">
      <c r="A26" s="7" t="s">
        <v>755</v>
      </c>
      <c r="B26" s="7" t="s">
        <v>537</v>
      </c>
      <c r="C26" s="7" t="s">
        <v>756</v>
      </c>
      <c r="D26" s="7" t="s">
        <v>622</v>
      </c>
      <c r="E26" s="7" t="s">
        <v>757</v>
      </c>
      <c r="F26" s="7" t="s">
        <v>758</v>
      </c>
      <c r="G26" s="7" t="s">
        <v>759</v>
      </c>
      <c r="H26" s="7" t="s">
        <v>760</v>
      </c>
      <c r="I26" s="7" t="s">
        <v>761</v>
      </c>
      <c r="J26" s="7" t="s">
        <v>613</v>
      </c>
    </row>
    <row r="27" spans="1:10">
      <c r="A27" s="7" t="s">
        <v>762</v>
      </c>
      <c r="B27" s="7" t="s">
        <v>242</v>
      </c>
      <c r="C27" s="7" t="s">
        <v>641</v>
      </c>
      <c r="D27" s="7" t="s">
        <v>622</v>
      </c>
      <c r="E27" s="7" t="s">
        <v>763</v>
      </c>
      <c r="F27" s="7" t="s">
        <v>764</v>
      </c>
      <c r="G27" s="7" t="s">
        <v>765</v>
      </c>
      <c r="H27" s="7" t="s">
        <v>766</v>
      </c>
      <c r="I27" s="7" t="s">
        <v>767</v>
      </c>
      <c r="J27" s="7" t="s">
        <v>682</v>
      </c>
    </row>
    <row r="28" spans="1:10">
      <c r="A28" s="7" t="s">
        <v>664</v>
      </c>
      <c r="B28" s="7" t="s">
        <v>373</v>
      </c>
      <c r="C28" s="7" t="s">
        <v>663</v>
      </c>
      <c r="D28" s="7" t="s">
        <v>614</v>
      </c>
      <c r="E28" s="7" t="s">
        <v>768</v>
      </c>
      <c r="F28" s="7" t="s">
        <v>769</v>
      </c>
      <c r="G28" s="7" t="s">
        <v>703</v>
      </c>
      <c r="H28" s="7" t="s">
        <v>770</v>
      </c>
      <c r="I28" s="7" t="s">
        <v>504</v>
      </c>
      <c r="J28" s="7" t="s">
        <v>648</v>
      </c>
    </row>
    <row r="29" spans="1:10">
      <c r="A29" s="7" t="s">
        <v>642</v>
      </c>
      <c r="B29" s="7" t="s">
        <v>519</v>
      </c>
      <c r="C29" s="7" t="s">
        <v>748</v>
      </c>
      <c r="D29" s="7" t="s">
        <v>622</v>
      </c>
      <c r="E29" s="7" t="s">
        <v>742</v>
      </c>
      <c r="F29" s="7" t="s">
        <v>771</v>
      </c>
      <c r="G29" s="7" t="s">
        <v>772</v>
      </c>
      <c r="H29" s="7" t="s">
        <v>773</v>
      </c>
      <c r="I29" s="7" t="s">
        <v>632</v>
      </c>
      <c r="J29" s="7" t="s">
        <v>754</v>
      </c>
    </row>
    <row r="30" spans="1:10">
      <c r="A30" s="7" t="s">
        <v>774</v>
      </c>
      <c r="B30" s="7" t="s">
        <v>379</v>
      </c>
      <c r="C30" s="7" t="s">
        <v>668</v>
      </c>
      <c r="D30" s="7" t="s">
        <v>607</v>
      </c>
      <c r="E30" s="7" t="s">
        <v>775</v>
      </c>
      <c r="F30" s="7" t="s">
        <v>776</v>
      </c>
      <c r="G30" s="7" t="s">
        <v>777</v>
      </c>
      <c r="H30" s="7" t="s">
        <v>778</v>
      </c>
      <c r="I30" s="7" t="s">
        <v>779</v>
      </c>
      <c r="J30" s="7" t="s">
        <v>633</v>
      </c>
    </row>
    <row r="31" spans="1:10">
      <c r="A31" s="7" t="s">
        <v>756</v>
      </c>
      <c r="B31" s="7" t="s">
        <v>265</v>
      </c>
      <c r="C31" s="7" t="s">
        <v>716</v>
      </c>
      <c r="D31" s="7" t="s">
        <v>627</v>
      </c>
      <c r="E31" s="7" t="s">
        <v>780</v>
      </c>
      <c r="F31" s="7" t="s">
        <v>781</v>
      </c>
      <c r="G31" s="7" t="s">
        <v>782</v>
      </c>
      <c r="H31" s="7" t="s">
        <v>783</v>
      </c>
      <c r="I31" s="7" t="s">
        <v>16</v>
      </c>
      <c r="J31" s="7" t="s">
        <v>613</v>
      </c>
    </row>
    <row r="32" spans="1:10">
      <c r="A32" s="7" t="s">
        <v>784</v>
      </c>
      <c r="B32" s="7" t="s">
        <v>176</v>
      </c>
      <c r="C32" s="7" t="s">
        <v>649</v>
      </c>
      <c r="D32" s="7" t="s">
        <v>607</v>
      </c>
      <c r="E32" s="7" t="s">
        <v>785</v>
      </c>
      <c r="F32" s="7" t="s">
        <v>786</v>
      </c>
      <c r="G32" s="7" t="s">
        <v>679</v>
      </c>
      <c r="H32" s="7" t="s">
        <v>787</v>
      </c>
      <c r="I32" s="7" t="s">
        <v>788</v>
      </c>
      <c r="J32" s="7" t="s">
        <v>682</v>
      </c>
    </row>
    <row r="33" spans="1:10">
      <c r="A33" s="7" t="s">
        <v>732</v>
      </c>
      <c r="B33" s="7" t="s">
        <v>385</v>
      </c>
      <c r="C33" s="7" t="s">
        <v>649</v>
      </c>
      <c r="D33" s="7" t="s">
        <v>607</v>
      </c>
      <c r="E33" s="7" t="s">
        <v>693</v>
      </c>
      <c r="F33" s="7" t="s">
        <v>789</v>
      </c>
      <c r="G33" s="7" t="s">
        <v>610</v>
      </c>
      <c r="H33" s="7" t="s">
        <v>790</v>
      </c>
      <c r="I33" s="7" t="s">
        <v>791</v>
      </c>
      <c r="J33" s="7" t="s">
        <v>682</v>
      </c>
    </row>
    <row r="34" spans="1:10">
      <c r="A34" s="7" t="s">
        <v>792</v>
      </c>
      <c r="B34" s="7" t="s">
        <v>283</v>
      </c>
      <c r="C34" s="7" t="s">
        <v>656</v>
      </c>
      <c r="D34" s="7" t="s">
        <v>622</v>
      </c>
      <c r="E34" s="7" t="s">
        <v>793</v>
      </c>
      <c r="F34" s="7" t="s">
        <v>794</v>
      </c>
      <c r="G34" s="7" t="s">
        <v>795</v>
      </c>
      <c r="H34" s="7" t="s">
        <v>796</v>
      </c>
      <c r="I34" s="7" t="s">
        <v>767</v>
      </c>
      <c r="J34" s="7" t="s">
        <v>613</v>
      </c>
    </row>
    <row r="35" spans="1:10">
      <c r="A35" s="7" t="s">
        <v>797</v>
      </c>
      <c r="B35" s="7" t="s">
        <v>419</v>
      </c>
      <c r="C35" s="7" t="s">
        <v>711</v>
      </c>
      <c r="D35" s="7" t="s">
        <v>614</v>
      </c>
      <c r="E35" s="7" t="s">
        <v>777</v>
      </c>
      <c r="F35" s="7" t="s">
        <v>798</v>
      </c>
      <c r="G35" s="7" t="s">
        <v>799</v>
      </c>
      <c r="H35" s="7" t="s">
        <v>800</v>
      </c>
      <c r="I35" s="7" t="s">
        <v>801</v>
      </c>
      <c r="J35" s="7" t="s">
        <v>613</v>
      </c>
    </row>
    <row r="36" spans="1:10">
      <c r="A36" s="7" t="s">
        <v>802</v>
      </c>
      <c r="B36" s="7" t="s">
        <v>329</v>
      </c>
      <c r="C36" s="7" t="s">
        <v>649</v>
      </c>
      <c r="D36" s="7" t="s">
        <v>607</v>
      </c>
      <c r="E36" s="7" t="s">
        <v>677</v>
      </c>
      <c r="F36" s="7" t="s">
        <v>803</v>
      </c>
      <c r="G36" s="7" t="s">
        <v>610</v>
      </c>
      <c r="H36" s="7" t="s">
        <v>804</v>
      </c>
      <c r="I36" s="7" t="s">
        <v>805</v>
      </c>
      <c r="J36" s="7" t="s">
        <v>682</v>
      </c>
    </row>
    <row r="37" spans="1:10">
      <c r="A37" s="7" t="s">
        <v>806</v>
      </c>
      <c r="B37" s="7" t="s">
        <v>176</v>
      </c>
      <c r="C37" s="7" t="s">
        <v>807</v>
      </c>
      <c r="D37" s="7" t="s">
        <v>605</v>
      </c>
      <c r="E37" s="7" t="s">
        <v>693</v>
      </c>
      <c r="F37" s="7" t="s">
        <v>808</v>
      </c>
      <c r="G37" s="7" t="s">
        <v>809</v>
      </c>
      <c r="H37" s="7" t="s">
        <v>810</v>
      </c>
      <c r="I37" s="7" t="s">
        <v>539</v>
      </c>
      <c r="J37" s="7" t="s">
        <v>682</v>
      </c>
    </row>
    <row r="38" spans="1:10">
      <c r="A38" s="7" t="s">
        <v>811</v>
      </c>
      <c r="B38" s="7" t="s">
        <v>566</v>
      </c>
      <c r="C38" s="7" t="s">
        <v>722</v>
      </c>
      <c r="D38" s="7" t="s">
        <v>607</v>
      </c>
      <c r="E38" s="7" t="s">
        <v>812</v>
      </c>
      <c r="F38" s="7" t="s">
        <v>813</v>
      </c>
      <c r="G38" s="7" t="s">
        <v>814</v>
      </c>
      <c r="H38" s="7" t="s">
        <v>815</v>
      </c>
      <c r="I38" s="7" t="s">
        <v>816</v>
      </c>
      <c r="J38" s="7" t="s">
        <v>640</v>
      </c>
    </row>
    <row r="39" spans="1:10">
      <c r="A39" s="7" t="s">
        <v>684</v>
      </c>
      <c r="B39" s="7" t="s">
        <v>397</v>
      </c>
      <c r="C39" s="7" t="s">
        <v>811</v>
      </c>
      <c r="D39" s="7" t="s">
        <v>622</v>
      </c>
      <c r="E39" s="7" t="s">
        <v>817</v>
      </c>
      <c r="F39" s="7" t="s">
        <v>818</v>
      </c>
      <c r="G39" s="7" t="s">
        <v>660</v>
      </c>
      <c r="H39" s="7" t="s">
        <v>819</v>
      </c>
      <c r="I39" s="7" t="s">
        <v>202</v>
      </c>
      <c r="J39" s="7" t="s">
        <v>621</v>
      </c>
    </row>
    <row r="40" spans="1:10">
      <c r="A40" s="7" t="s">
        <v>820</v>
      </c>
      <c r="B40" s="7" t="s">
        <v>324</v>
      </c>
      <c r="C40" s="7" t="s">
        <v>657</v>
      </c>
      <c r="D40" s="7" t="s">
        <v>614</v>
      </c>
      <c r="E40" s="7" t="s">
        <v>821</v>
      </c>
      <c r="F40" s="7" t="s">
        <v>822</v>
      </c>
      <c r="G40" s="7" t="s">
        <v>712</v>
      </c>
      <c r="H40" s="7" t="s">
        <v>823</v>
      </c>
      <c r="I40" s="7" t="s">
        <v>214</v>
      </c>
      <c r="J40" s="7" t="s">
        <v>621</v>
      </c>
    </row>
    <row r="41" spans="1:10">
      <c r="A41" s="7" t="s">
        <v>824</v>
      </c>
      <c r="B41" s="7" t="s">
        <v>391</v>
      </c>
      <c r="C41" s="7" t="s">
        <v>825</v>
      </c>
      <c r="D41" s="7" t="s">
        <v>627</v>
      </c>
      <c r="E41" s="7" t="s">
        <v>821</v>
      </c>
      <c r="F41" s="7" t="s">
        <v>826</v>
      </c>
      <c r="G41" s="7" t="s">
        <v>827</v>
      </c>
      <c r="H41" s="7" t="s">
        <v>828</v>
      </c>
      <c r="I41" s="7" t="s">
        <v>829</v>
      </c>
      <c r="J41" s="7" t="s">
        <v>621</v>
      </c>
    </row>
    <row r="42" spans="1:10">
      <c r="A42" s="7" t="s">
        <v>615</v>
      </c>
      <c r="B42" s="7" t="s">
        <v>283</v>
      </c>
      <c r="C42" s="7" t="s">
        <v>830</v>
      </c>
      <c r="D42" s="7" t="s">
        <v>627</v>
      </c>
      <c r="E42" s="7" t="s">
        <v>831</v>
      </c>
      <c r="F42" s="7" t="s">
        <v>832</v>
      </c>
      <c r="G42" s="7" t="s">
        <v>833</v>
      </c>
      <c r="H42" s="7" t="s">
        <v>834</v>
      </c>
      <c r="I42" s="7" t="s">
        <v>835</v>
      </c>
      <c r="J42" s="7" t="s">
        <v>613</v>
      </c>
    </row>
    <row r="43" spans="1:10">
      <c r="A43" s="7" t="s">
        <v>748</v>
      </c>
      <c r="B43" s="7" t="s">
        <v>472</v>
      </c>
      <c r="C43" s="7" t="s">
        <v>802</v>
      </c>
      <c r="D43" s="7" t="s">
        <v>605</v>
      </c>
      <c r="E43" s="7" t="s">
        <v>670</v>
      </c>
      <c r="F43" s="7" t="s">
        <v>836</v>
      </c>
      <c r="G43" s="7" t="s">
        <v>724</v>
      </c>
      <c r="H43" s="7" t="s">
        <v>837</v>
      </c>
      <c r="I43" s="7" t="s">
        <v>838</v>
      </c>
      <c r="J43" s="7" t="s">
        <v>682</v>
      </c>
    </row>
    <row r="44" spans="1:10">
      <c r="A44" s="7" t="s">
        <v>657</v>
      </c>
      <c r="B44" s="7" t="s">
        <v>277</v>
      </c>
      <c r="C44" s="7" t="s">
        <v>839</v>
      </c>
      <c r="D44" s="7" t="s">
        <v>622</v>
      </c>
      <c r="E44" s="7" t="s">
        <v>735</v>
      </c>
      <c r="F44" s="7" t="s">
        <v>840</v>
      </c>
      <c r="G44" s="7" t="s">
        <v>706</v>
      </c>
      <c r="H44" s="7" t="s">
        <v>841</v>
      </c>
      <c r="I44" s="7" t="s">
        <v>842</v>
      </c>
      <c r="J44" s="7" t="s">
        <v>640</v>
      </c>
    </row>
    <row r="45" spans="1:10">
      <c r="A45" s="7" t="s">
        <v>843</v>
      </c>
      <c r="B45" s="7" t="s">
        <v>39</v>
      </c>
      <c r="C45" s="7" t="s">
        <v>628</v>
      </c>
      <c r="D45" s="7" t="s">
        <v>605</v>
      </c>
      <c r="E45" s="7" t="s">
        <v>844</v>
      </c>
      <c r="F45" s="7" t="s">
        <v>845</v>
      </c>
      <c r="G45" s="7" t="s">
        <v>846</v>
      </c>
      <c r="H45" s="7" t="s">
        <v>847</v>
      </c>
      <c r="I45" s="7" t="s">
        <v>848</v>
      </c>
      <c r="J45" s="7" t="s">
        <v>633</v>
      </c>
    </row>
    <row r="46" spans="1:10">
      <c r="A46" s="7" t="s">
        <v>650</v>
      </c>
      <c r="B46" s="7" t="s">
        <v>572</v>
      </c>
      <c r="C46" s="7" t="s">
        <v>849</v>
      </c>
      <c r="D46" s="7" t="s">
        <v>607</v>
      </c>
      <c r="E46" s="7" t="s">
        <v>850</v>
      </c>
      <c r="F46" s="7" t="s">
        <v>851</v>
      </c>
      <c r="G46" s="7" t="s">
        <v>852</v>
      </c>
      <c r="H46" s="7" t="s">
        <v>853</v>
      </c>
      <c r="I46" s="7" t="s">
        <v>854</v>
      </c>
      <c r="J46" s="7" t="s">
        <v>613</v>
      </c>
    </row>
    <row r="47" spans="1:10">
      <c r="A47" s="7" t="s">
        <v>855</v>
      </c>
      <c r="B47" s="7" t="s">
        <v>350</v>
      </c>
      <c r="C47" s="7" t="s">
        <v>738</v>
      </c>
      <c r="D47" s="7" t="s">
        <v>627</v>
      </c>
      <c r="E47" s="7" t="s">
        <v>856</v>
      </c>
      <c r="F47" s="7" t="s">
        <v>857</v>
      </c>
      <c r="G47" s="7" t="s">
        <v>858</v>
      </c>
      <c r="H47" s="7" t="s">
        <v>859</v>
      </c>
      <c r="I47" s="7" t="s">
        <v>279</v>
      </c>
      <c r="J47" s="7" t="s">
        <v>754</v>
      </c>
    </row>
    <row r="48" spans="1:10">
      <c r="A48" s="7" t="s">
        <v>860</v>
      </c>
      <c r="B48" s="7" t="s">
        <v>80</v>
      </c>
      <c r="C48" s="7" t="s">
        <v>649</v>
      </c>
      <c r="D48" s="7" t="s">
        <v>607</v>
      </c>
      <c r="E48" s="7" t="s">
        <v>670</v>
      </c>
      <c r="F48" s="7" t="s">
        <v>861</v>
      </c>
      <c r="G48" s="7" t="s">
        <v>785</v>
      </c>
      <c r="H48" s="7" t="s">
        <v>862</v>
      </c>
      <c r="I48" s="7" t="s">
        <v>620</v>
      </c>
      <c r="J48" s="7" t="s">
        <v>682</v>
      </c>
    </row>
    <row r="49" spans="1:10">
      <c r="A49" s="7" t="s">
        <v>825</v>
      </c>
      <c r="B49" s="7" t="s">
        <v>188</v>
      </c>
      <c r="C49" s="7" t="s">
        <v>863</v>
      </c>
      <c r="D49" s="7" t="s">
        <v>627</v>
      </c>
      <c r="E49" s="7" t="s">
        <v>864</v>
      </c>
      <c r="F49" s="7" t="s">
        <v>865</v>
      </c>
      <c r="G49" s="7" t="s">
        <v>866</v>
      </c>
      <c r="H49" s="7" t="s">
        <v>867</v>
      </c>
      <c r="I49" s="7" t="s">
        <v>341</v>
      </c>
      <c r="J49" s="7" t="s">
        <v>754</v>
      </c>
    </row>
    <row r="50" spans="1:10">
      <c r="A50" s="7" t="s">
        <v>839</v>
      </c>
      <c r="B50" s="7" t="s">
        <v>122</v>
      </c>
      <c r="C50" s="7" t="s">
        <v>657</v>
      </c>
      <c r="D50" s="7" t="s">
        <v>605</v>
      </c>
      <c r="E50" s="7" t="s">
        <v>817</v>
      </c>
      <c r="F50" s="7" t="s">
        <v>868</v>
      </c>
      <c r="G50" s="7" t="s">
        <v>869</v>
      </c>
      <c r="H50" s="7" t="s">
        <v>870</v>
      </c>
      <c r="I50" s="7" t="s">
        <v>871</v>
      </c>
      <c r="J50" s="7" t="s">
        <v>621</v>
      </c>
    </row>
    <row r="51" spans="1:10">
      <c r="A51" s="7" t="s">
        <v>872</v>
      </c>
      <c r="B51" s="7" t="s">
        <v>86</v>
      </c>
      <c r="C51" s="7" t="s">
        <v>615</v>
      </c>
      <c r="D51" s="7" t="s">
        <v>627</v>
      </c>
      <c r="E51" s="7" t="s">
        <v>739</v>
      </c>
      <c r="F51" s="7" t="s">
        <v>873</v>
      </c>
      <c r="G51" s="7" t="s">
        <v>866</v>
      </c>
      <c r="H51" s="7" t="s">
        <v>874</v>
      </c>
      <c r="I51" s="7" t="s">
        <v>875</v>
      </c>
      <c r="J51" s="7" t="s">
        <v>621</v>
      </c>
    </row>
    <row r="52" spans="1:10">
      <c r="A52" s="7" t="s">
        <v>876</v>
      </c>
      <c r="B52" s="7" t="s">
        <v>218</v>
      </c>
      <c r="C52" s="7" t="s">
        <v>668</v>
      </c>
      <c r="D52" s="7" t="s">
        <v>605</v>
      </c>
      <c r="E52" s="7" t="s">
        <v>877</v>
      </c>
      <c r="F52" s="7" t="s">
        <v>878</v>
      </c>
      <c r="G52" s="7" t="s">
        <v>879</v>
      </c>
      <c r="H52" s="7" t="s">
        <v>880</v>
      </c>
      <c r="I52" s="7" t="s">
        <v>881</v>
      </c>
      <c r="J52" s="7" t="s">
        <v>633</v>
      </c>
    </row>
    <row r="53" spans="1:10">
      <c r="A53" s="7" t="s">
        <v>728</v>
      </c>
      <c r="B53" s="7" t="s">
        <v>140</v>
      </c>
      <c r="C53" s="7" t="s">
        <v>663</v>
      </c>
      <c r="D53" s="7" t="s">
        <v>605</v>
      </c>
      <c r="E53" s="7" t="s">
        <v>666</v>
      </c>
      <c r="F53" s="7" t="s">
        <v>882</v>
      </c>
      <c r="G53" s="7" t="s">
        <v>883</v>
      </c>
      <c r="H53" s="7" t="s">
        <v>884</v>
      </c>
      <c r="I53" s="7" t="s">
        <v>885</v>
      </c>
      <c r="J53" s="7" t="s">
        <v>648</v>
      </c>
    </row>
    <row r="54" spans="1:10">
      <c r="A54" s="7" t="s">
        <v>886</v>
      </c>
      <c r="B54" s="7" t="s">
        <v>271</v>
      </c>
      <c r="C54" s="7" t="s">
        <v>663</v>
      </c>
      <c r="D54" s="7" t="s">
        <v>607</v>
      </c>
      <c r="E54" s="7" t="s">
        <v>643</v>
      </c>
      <c r="F54" s="7" t="s">
        <v>887</v>
      </c>
      <c r="G54" s="7" t="s">
        <v>888</v>
      </c>
      <c r="H54" s="7" t="s">
        <v>889</v>
      </c>
      <c r="I54" s="7" t="s">
        <v>890</v>
      </c>
      <c r="J54" s="7" t="s">
        <v>648</v>
      </c>
    </row>
    <row r="55" spans="1:10">
      <c r="A55" s="7" t="s">
        <v>830</v>
      </c>
      <c r="B55" s="7" t="s">
        <v>350</v>
      </c>
      <c r="C55" s="7" t="s">
        <v>756</v>
      </c>
      <c r="D55" s="7" t="s">
        <v>605</v>
      </c>
      <c r="E55" s="7" t="s">
        <v>891</v>
      </c>
      <c r="F55" s="7" t="s">
        <v>892</v>
      </c>
      <c r="G55" s="7" t="s">
        <v>858</v>
      </c>
      <c r="H55" s="7" t="s">
        <v>893</v>
      </c>
      <c r="I55" s="7" t="s">
        <v>480</v>
      </c>
      <c r="J55" s="7" t="s">
        <v>613</v>
      </c>
    </row>
    <row r="56" spans="1:10">
      <c r="A56" s="7" t="s">
        <v>894</v>
      </c>
      <c r="B56" s="7" t="s">
        <v>242</v>
      </c>
      <c r="C56" s="7" t="s">
        <v>607</v>
      </c>
      <c r="D56" s="7" t="s">
        <v>605</v>
      </c>
      <c r="E56" s="7" t="s">
        <v>895</v>
      </c>
      <c r="F56" s="7" t="s">
        <v>896</v>
      </c>
      <c r="G56" s="7" t="s">
        <v>897</v>
      </c>
      <c r="H56" s="7" t="s">
        <v>898</v>
      </c>
      <c r="I56" s="7" t="s">
        <v>35</v>
      </c>
      <c r="J56" s="7" t="s">
        <v>754</v>
      </c>
    </row>
    <row r="57" spans="1:10">
      <c r="A57" s="7" t="s">
        <v>669</v>
      </c>
      <c r="B57" s="7" t="s">
        <v>560</v>
      </c>
      <c r="C57" s="7" t="s">
        <v>634</v>
      </c>
      <c r="D57" s="7" t="s">
        <v>607</v>
      </c>
      <c r="E57" s="7" t="s">
        <v>895</v>
      </c>
      <c r="F57" s="7" t="s">
        <v>899</v>
      </c>
      <c r="G57" s="7" t="s">
        <v>897</v>
      </c>
      <c r="H57" s="7" t="s">
        <v>900</v>
      </c>
      <c r="I57" s="7" t="s">
        <v>118</v>
      </c>
      <c r="J57" s="7" t="s">
        <v>640</v>
      </c>
    </row>
    <row r="58" spans="1:10">
      <c r="A58" s="7" t="s">
        <v>901</v>
      </c>
      <c r="B58" s="7" t="s">
        <v>531</v>
      </c>
      <c r="C58" s="7" t="s">
        <v>802</v>
      </c>
      <c r="D58" s="7" t="s">
        <v>607</v>
      </c>
      <c r="E58" s="7" t="s">
        <v>670</v>
      </c>
      <c r="F58" s="7" t="s">
        <v>902</v>
      </c>
      <c r="G58" s="7" t="s">
        <v>763</v>
      </c>
      <c r="H58" s="7" t="s">
        <v>903</v>
      </c>
      <c r="I58" s="7" t="s">
        <v>904</v>
      </c>
      <c r="J58" s="7" t="s">
        <v>682</v>
      </c>
    </row>
    <row r="59" spans="1:10">
      <c r="A59" s="7" t="s">
        <v>634</v>
      </c>
      <c r="B59" s="7" t="s">
        <v>455</v>
      </c>
      <c r="C59" s="7" t="s">
        <v>806</v>
      </c>
      <c r="D59" s="7" t="s">
        <v>605</v>
      </c>
      <c r="E59" s="7" t="s">
        <v>905</v>
      </c>
      <c r="F59" s="7" t="s">
        <v>906</v>
      </c>
      <c r="G59" s="7" t="s">
        <v>782</v>
      </c>
      <c r="H59" s="7" t="s">
        <v>907</v>
      </c>
      <c r="I59" s="7" t="s">
        <v>908</v>
      </c>
      <c r="J59" s="7" t="s">
        <v>633</v>
      </c>
    </row>
    <row r="60" spans="1:10">
      <c r="A60" s="7" t="s">
        <v>909</v>
      </c>
      <c r="B60" s="7" t="s">
        <v>248</v>
      </c>
      <c r="C60" s="7" t="s">
        <v>876</v>
      </c>
      <c r="D60" s="7" t="s">
        <v>607</v>
      </c>
      <c r="E60" s="7" t="s">
        <v>910</v>
      </c>
      <c r="F60" s="7" t="s">
        <v>911</v>
      </c>
      <c r="G60" s="7" t="s">
        <v>912</v>
      </c>
      <c r="H60" s="7" t="s">
        <v>913</v>
      </c>
      <c r="I60" s="7" t="s">
        <v>914</v>
      </c>
      <c r="J60" s="7" t="s">
        <v>754</v>
      </c>
    </row>
    <row r="61" spans="1:10">
      <c r="A61" s="7" t="s">
        <v>696</v>
      </c>
      <c r="B61" s="7" t="s">
        <v>140</v>
      </c>
      <c r="C61" s="7" t="s">
        <v>607</v>
      </c>
      <c r="D61" s="7" t="s">
        <v>614</v>
      </c>
      <c r="E61" s="7" t="s">
        <v>915</v>
      </c>
      <c r="F61" s="7" t="s">
        <v>916</v>
      </c>
      <c r="G61" s="7" t="s">
        <v>917</v>
      </c>
      <c r="H61" s="7" t="s">
        <v>918</v>
      </c>
      <c r="I61" s="7" t="s">
        <v>919</v>
      </c>
      <c r="J61" s="7" t="s">
        <v>754</v>
      </c>
    </row>
    <row r="62" spans="1:10">
      <c r="A62" s="7" t="s">
        <v>849</v>
      </c>
      <c r="B62" s="7" t="s">
        <v>345</v>
      </c>
      <c r="C62" s="7" t="s">
        <v>843</v>
      </c>
      <c r="D62" s="7" t="s">
        <v>614</v>
      </c>
      <c r="E62" s="7" t="s">
        <v>658</v>
      </c>
      <c r="F62" s="7" t="s">
        <v>920</v>
      </c>
      <c r="G62" s="7" t="s">
        <v>921</v>
      </c>
      <c r="H62" s="7" t="s">
        <v>922</v>
      </c>
      <c r="I62" s="7" t="s">
        <v>923</v>
      </c>
      <c r="J62" s="7" t="s">
        <v>621</v>
      </c>
    </row>
    <row r="63" spans="1:10">
      <c r="A63" s="7" t="s">
        <v>723</v>
      </c>
      <c r="B63" s="7" t="s">
        <v>437</v>
      </c>
      <c r="C63" s="7" t="s">
        <v>641</v>
      </c>
      <c r="D63" s="7" t="s">
        <v>627</v>
      </c>
      <c r="E63" s="7" t="s">
        <v>677</v>
      </c>
      <c r="F63" s="7" t="s">
        <v>924</v>
      </c>
      <c r="G63" s="7" t="s">
        <v>763</v>
      </c>
      <c r="H63" s="7" t="s">
        <v>925</v>
      </c>
      <c r="I63" s="7" t="s">
        <v>285</v>
      </c>
      <c r="J63" s="7" t="s">
        <v>682</v>
      </c>
    </row>
    <row r="64" spans="1:10">
      <c r="A64" s="7" t="s">
        <v>926</v>
      </c>
      <c r="B64" s="7" t="s">
        <v>334</v>
      </c>
      <c r="C64" s="7" t="s">
        <v>748</v>
      </c>
      <c r="D64" s="7" t="s">
        <v>622</v>
      </c>
      <c r="E64" s="7" t="s">
        <v>927</v>
      </c>
      <c r="F64" s="7" t="s">
        <v>928</v>
      </c>
      <c r="G64" s="7" t="s">
        <v>910</v>
      </c>
      <c r="H64" s="7" t="s">
        <v>929</v>
      </c>
      <c r="I64" s="7" t="s">
        <v>930</v>
      </c>
      <c r="J64" s="7" t="s">
        <v>754</v>
      </c>
    </row>
    <row r="65" spans="1:10">
      <c r="A65" s="7" t="s">
        <v>931</v>
      </c>
      <c r="B65" s="7" t="s">
        <v>92</v>
      </c>
      <c r="C65" s="7" t="s">
        <v>755</v>
      </c>
      <c r="D65" s="7" t="s">
        <v>605</v>
      </c>
      <c r="E65" s="7" t="s">
        <v>932</v>
      </c>
      <c r="F65" s="7" t="s">
        <v>933</v>
      </c>
      <c r="G65" s="7" t="s">
        <v>934</v>
      </c>
      <c r="H65" s="7" t="s">
        <v>935</v>
      </c>
      <c r="I65" s="7" t="s">
        <v>936</v>
      </c>
      <c r="J65" s="7" t="s">
        <v>613</v>
      </c>
    </row>
    <row r="66" spans="1:10">
      <c r="A66" s="7" t="s">
        <v>863</v>
      </c>
      <c r="B66" s="7" t="s">
        <v>200</v>
      </c>
      <c r="C66" s="7" t="s">
        <v>830</v>
      </c>
      <c r="D66" s="7" t="s">
        <v>614</v>
      </c>
      <c r="E66" s="7" t="s">
        <v>937</v>
      </c>
      <c r="F66" s="7" t="s">
        <v>938</v>
      </c>
      <c r="G66" s="7" t="s">
        <v>939</v>
      </c>
      <c r="H66" s="7" t="s">
        <v>940</v>
      </c>
      <c r="I66" s="7" t="s">
        <v>941</v>
      </c>
      <c r="J66" s="7" t="s">
        <v>613</v>
      </c>
    </row>
    <row r="67" spans="1:10">
      <c r="A67" s="7" t="s">
        <v>807</v>
      </c>
      <c r="B67" s="7" t="s">
        <v>104</v>
      </c>
      <c r="C67" s="7" t="s">
        <v>802</v>
      </c>
      <c r="D67" s="7" t="s">
        <v>607</v>
      </c>
      <c r="E67" s="7" t="s">
        <v>670</v>
      </c>
      <c r="F67" s="7" t="s">
        <v>942</v>
      </c>
      <c r="G67" s="7" t="s">
        <v>943</v>
      </c>
      <c r="H67" s="7" t="s">
        <v>944</v>
      </c>
      <c r="I67" s="7" t="s">
        <v>930</v>
      </c>
      <c r="J67" s="7" t="s">
        <v>682</v>
      </c>
    </row>
    <row r="68" spans="1:10">
      <c r="A68" s="7" t="s">
        <v>606</v>
      </c>
      <c r="B68" s="7" t="s">
        <v>283</v>
      </c>
      <c r="C68" s="7" t="s">
        <v>668</v>
      </c>
      <c r="D68" s="7" t="s">
        <v>614</v>
      </c>
      <c r="E68" s="7" t="s">
        <v>945</v>
      </c>
      <c r="F68" s="7" t="s">
        <v>946</v>
      </c>
      <c r="G68" s="7" t="s">
        <v>623</v>
      </c>
      <c r="H68" s="7" t="s">
        <v>947</v>
      </c>
      <c r="I68" s="7" t="s">
        <v>948</v>
      </c>
      <c r="J68" s="7" t="s">
        <v>633</v>
      </c>
    </row>
    <row r="69" spans="1:10">
      <c r="A69" s="7" t="s">
        <v>949</v>
      </c>
      <c r="B69" s="7" t="s">
        <v>301</v>
      </c>
      <c r="C69" s="7" t="s">
        <v>797</v>
      </c>
      <c r="D69" s="7" t="s">
        <v>627</v>
      </c>
      <c r="E69" s="7" t="s">
        <v>950</v>
      </c>
      <c r="F69" s="7" t="s">
        <v>951</v>
      </c>
      <c r="G69" s="7" t="s">
        <v>952</v>
      </c>
      <c r="H69" s="7" t="s">
        <v>953</v>
      </c>
      <c r="I69" s="7" t="s">
        <v>904</v>
      </c>
      <c r="J69" s="7" t="s">
        <v>648</v>
      </c>
    </row>
    <row r="70" spans="1:10">
      <c r="A70" s="7" t="s">
        <v>954</v>
      </c>
      <c r="B70" s="7" t="s">
        <v>537</v>
      </c>
      <c r="C70" s="7" t="s">
        <v>683</v>
      </c>
      <c r="D70" s="7" t="s">
        <v>627</v>
      </c>
      <c r="E70" s="7" t="s">
        <v>955</v>
      </c>
      <c r="F70" s="7" t="s">
        <v>956</v>
      </c>
      <c r="G70" s="7" t="s">
        <v>957</v>
      </c>
      <c r="H70" s="7" t="s">
        <v>958</v>
      </c>
      <c r="I70" s="7" t="s">
        <v>427</v>
      </c>
      <c r="J70" s="7" t="s">
        <v>613</v>
      </c>
    </row>
    <row r="71" spans="1:10">
      <c r="A71" s="7" t="s">
        <v>959</v>
      </c>
      <c r="B71" s="7" t="s">
        <v>224</v>
      </c>
      <c r="C71" s="7" t="s">
        <v>711</v>
      </c>
      <c r="D71" s="7" t="s">
        <v>605</v>
      </c>
      <c r="E71" s="7" t="s">
        <v>960</v>
      </c>
      <c r="F71" s="7" t="s">
        <v>961</v>
      </c>
      <c r="G71" s="7" t="s">
        <v>962</v>
      </c>
      <c r="H71" s="7" t="s">
        <v>963</v>
      </c>
      <c r="I71" s="7" t="s">
        <v>727</v>
      </c>
      <c r="J71" s="7" t="s">
        <v>613</v>
      </c>
    </row>
    <row r="72" spans="1:10">
      <c r="A72" s="7" t="s">
        <v>964</v>
      </c>
      <c r="B72" s="7" t="s">
        <v>80</v>
      </c>
      <c r="C72" s="7" t="s">
        <v>663</v>
      </c>
      <c r="D72" s="7" t="s">
        <v>607</v>
      </c>
      <c r="E72" s="7" t="s">
        <v>643</v>
      </c>
      <c r="F72" s="7" t="s">
        <v>965</v>
      </c>
      <c r="G72" s="7" t="s">
        <v>966</v>
      </c>
      <c r="H72" s="7" t="s">
        <v>967</v>
      </c>
      <c r="I72" s="7" t="s">
        <v>689</v>
      </c>
      <c r="J72" s="7" t="s">
        <v>648</v>
      </c>
    </row>
    <row r="73" spans="1:10">
      <c r="A73" s="7" t="s">
        <v>968</v>
      </c>
      <c r="B73" s="7" t="s">
        <v>345</v>
      </c>
      <c r="C73" s="7" t="s">
        <v>762</v>
      </c>
      <c r="D73" s="7" t="s">
        <v>622</v>
      </c>
      <c r="E73" s="7" t="s">
        <v>679</v>
      </c>
      <c r="F73" s="7" t="s">
        <v>969</v>
      </c>
      <c r="G73" s="7" t="s">
        <v>765</v>
      </c>
      <c r="H73" s="7" t="s">
        <v>970</v>
      </c>
      <c r="I73" s="7" t="s">
        <v>971</v>
      </c>
      <c r="J73" s="7" t="s">
        <v>682</v>
      </c>
    </row>
    <row r="74" spans="1:10">
      <c r="A74" s="7" t="s">
        <v>972</v>
      </c>
      <c r="B74" s="7" t="s">
        <v>339</v>
      </c>
      <c r="C74" s="7" t="s">
        <v>762</v>
      </c>
      <c r="D74" s="7" t="s">
        <v>605</v>
      </c>
      <c r="E74" s="7" t="s">
        <v>679</v>
      </c>
      <c r="F74" s="7" t="s">
        <v>973</v>
      </c>
      <c r="G74" s="7" t="s">
        <v>974</v>
      </c>
      <c r="H74" s="7" t="s">
        <v>975</v>
      </c>
      <c r="I74" s="7" t="s">
        <v>160</v>
      </c>
      <c r="J74" s="7" t="s">
        <v>682</v>
      </c>
    </row>
    <row r="75" spans="1:10">
      <c r="A75" s="7" t="s">
        <v>976</v>
      </c>
      <c r="B75" s="7" t="s">
        <v>146</v>
      </c>
      <c r="C75" s="7" t="s">
        <v>784</v>
      </c>
      <c r="D75" s="7" t="s">
        <v>622</v>
      </c>
      <c r="E75" s="7" t="s">
        <v>977</v>
      </c>
      <c r="F75" s="7" t="s">
        <v>978</v>
      </c>
      <c r="G75" s="7" t="s">
        <v>979</v>
      </c>
      <c r="H75" s="7" t="s">
        <v>980</v>
      </c>
      <c r="I75" s="7" t="s">
        <v>981</v>
      </c>
      <c r="J75" s="7" t="s">
        <v>754</v>
      </c>
    </row>
    <row r="76" spans="1:10">
      <c r="A76" s="7" t="s">
        <v>982</v>
      </c>
      <c r="B76" s="7" t="s">
        <v>57</v>
      </c>
      <c r="C76" s="7" t="s">
        <v>863</v>
      </c>
      <c r="D76" s="7" t="s">
        <v>614</v>
      </c>
      <c r="E76" s="7" t="s">
        <v>983</v>
      </c>
      <c r="F76" s="7" t="s">
        <v>984</v>
      </c>
      <c r="G76" s="7" t="s">
        <v>985</v>
      </c>
      <c r="H76" s="7" t="s">
        <v>986</v>
      </c>
      <c r="I76" s="7" t="s">
        <v>971</v>
      </c>
      <c r="J76" s="7" t="s">
        <v>754</v>
      </c>
    </row>
    <row r="77" spans="1:10">
      <c r="A77" s="7" t="s">
        <v>987</v>
      </c>
      <c r="B77" s="7" t="s">
        <v>324</v>
      </c>
      <c r="C77" s="7" t="s">
        <v>627</v>
      </c>
      <c r="D77" s="7" t="s">
        <v>605</v>
      </c>
      <c r="E77" s="7" t="s">
        <v>739</v>
      </c>
      <c r="F77" s="7" t="s">
        <v>988</v>
      </c>
      <c r="G77" s="7" t="s">
        <v>864</v>
      </c>
      <c r="H77" s="7" t="s">
        <v>989</v>
      </c>
      <c r="I77" s="7" t="s">
        <v>399</v>
      </c>
      <c r="J77" s="7" t="s">
        <v>621</v>
      </c>
    </row>
    <row r="78" spans="1:10">
      <c r="A78" s="7" t="s">
        <v>990</v>
      </c>
      <c r="B78" s="7" t="s">
        <v>170</v>
      </c>
      <c r="C78" s="7" t="s">
        <v>748</v>
      </c>
      <c r="D78" s="7" t="s">
        <v>622</v>
      </c>
      <c r="E78" s="7" t="s">
        <v>991</v>
      </c>
      <c r="F78" s="7" t="s">
        <v>992</v>
      </c>
      <c r="G78" s="7" t="s">
        <v>993</v>
      </c>
      <c r="H78" s="7" t="s">
        <v>994</v>
      </c>
      <c r="I78" s="7" t="s">
        <v>65</v>
      </c>
      <c r="J78" s="7" t="s">
        <v>754</v>
      </c>
    </row>
    <row r="79" spans="1:10">
      <c r="A79" s="7" t="s">
        <v>995</v>
      </c>
      <c r="B79" s="7" t="s">
        <v>367</v>
      </c>
      <c r="C79" s="7" t="s">
        <v>675</v>
      </c>
      <c r="D79" s="7" t="s">
        <v>614</v>
      </c>
      <c r="E79" s="7" t="s">
        <v>996</v>
      </c>
      <c r="F79" s="7" t="s">
        <v>997</v>
      </c>
      <c r="G79" s="7" t="s">
        <v>895</v>
      </c>
      <c r="H79" s="7" t="s">
        <v>998</v>
      </c>
      <c r="I79" s="7" t="s">
        <v>244</v>
      </c>
      <c r="J79" s="7" t="s">
        <v>640</v>
      </c>
    </row>
    <row r="80" spans="1:10">
      <c r="A80" s="7" t="s">
        <v>999</v>
      </c>
      <c r="B80" s="7" t="s">
        <v>63</v>
      </c>
      <c r="C80" s="7" t="s">
        <v>824</v>
      </c>
      <c r="D80" s="7" t="s">
        <v>614</v>
      </c>
      <c r="E80" s="7" t="s">
        <v>1000</v>
      </c>
      <c r="F80" s="7" t="s">
        <v>1001</v>
      </c>
      <c r="G80" s="7" t="s">
        <v>1002</v>
      </c>
      <c r="H80" s="7" t="s">
        <v>1003</v>
      </c>
      <c r="I80" s="7" t="s">
        <v>1004</v>
      </c>
      <c r="J80" s="7" t="s">
        <v>613</v>
      </c>
    </row>
    <row r="81" spans="1:10">
      <c r="A81" s="7" t="s">
        <v>1005</v>
      </c>
      <c r="B81" s="7" t="s">
        <v>51</v>
      </c>
      <c r="C81" s="7" t="s">
        <v>820</v>
      </c>
      <c r="D81" s="7" t="s">
        <v>627</v>
      </c>
      <c r="E81" s="7" t="s">
        <v>1006</v>
      </c>
      <c r="F81" s="7" t="s">
        <v>1007</v>
      </c>
      <c r="G81" s="7" t="s">
        <v>1008</v>
      </c>
      <c r="H81" s="7" t="s">
        <v>1009</v>
      </c>
      <c r="I81" s="7" t="s">
        <v>1010</v>
      </c>
      <c r="J81" s="7" t="s">
        <v>754</v>
      </c>
    </row>
    <row r="82" spans="1:10">
      <c r="A82" s="7" t="s">
        <v>1011</v>
      </c>
      <c r="B82" s="7" t="s">
        <v>318</v>
      </c>
      <c r="C82" s="7" t="s">
        <v>605</v>
      </c>
      <c r="D82" s="7" t="s">
        <v>607</v>
      </c>
      <c r="E82" s="7" t="s">
        <v>1012</v>
      </c>
      <c r="F82" s="7" t="s">
        <v>1013</v>
      </c>
      <c r="G82" s="7" t="s">
        <v>679</v>
      </c>
      <c r="H82" s="7" t="s">
        <v>1014</v>
      </c>
      <c r="I82" s="7" t="s">
        <v>352</v>
      </c>
      <c r="J82" s="7" t="s">
        <v>754</v>
      </c>
    </row>
    <row r="83" spans="1:10">
      <c r="A83" s="7" t="s">
        <v>1015</v>
      </c>
      <c r="B83" s="7" t="s">
        <v>230</v>
      </c>
      <c r="C83" s="7" t="s">
        <v>959</v>
      </c>
      <c r="D83" s="7" t="s">
        <v>622</v>
      </c>
      <c r="E83" s="7" t="s">
        <v>1016</v>
      </c>
      <c r="F83" s="7" t="s">
        <v>1017</v>
      </c>
      <c r="G83" s="7" t="s">
        <v>991</v>
      </c>
      <c r="H83" s="7" t="s">
        <v>1018</v>
      </c>
      <c r="I83" s="7" t="s">
        <v>1019</v>
      </c>
      <c r="J83" s="7" t="s">
        <v>633</v>
      </c>
    </row>
    <row r="84" spans="1:10">
      <c r="A84" s="7" t="s">
        <v>1020</v>
      </c>
      <c r="B84" s="7" t="s">
        <v>218</v>
      </c>
      <c r="C84" s="7" t="s">
        <v>664</v>
      </c>
      <c r="D84" s="7" t="s">
        <v>627</v>
      </c>
      <c r="E84" s="7" t="s">
        <v>1021</v>
      </c>
      <c r="F84" s="7" t="s">
        <v>1022</v>
      </c>
      <c r="G84" s="7" t="s">
        <v>955</v>
      </c>
      <c r="H84" s="7" t="s">
        <v>1023</v>
      </c>
      <c r="I84" s="7" t="s">
        <v>805</v>
      </c>
      <c r="J84" s="7" t="s">
        <v>648</v>
      </c>
    </row>
    <row r="85" spans="1:10">
      <c r="A85" s="7" t="s">
        <v>1024</v>
      </c>
      <c r="B85" s="7" t="s">
        <v>194</v>
      </c>
      <c r="C85" s="7" t="s">
        <v>860</v>
      </c>
      <c r="D85" s="7" t="s">
        <v>605</v>
      </c>
      <c r="E85" s="7" t="s">
        <v>693</v>
      </c>
      <c r="F85" s="7" t="s">
        <v>1025</v>
      </c>
      <c r="G85" s="7" t="s">
        <v>763</v>
      </c>
      <c r="H85" s="7" t="s">
        <v>1026</v>
      </c>
      <c r="I85" s="7" t="s">
        <v>801</v>
      </c>
      <c r="J85" s="7" t="s">
        <v>682</v>
      </c>
    </row>
    <row r="86" spans="1:10">
      <c r="A86" s="7" t="s">
        <v>1027</v>
      </c>
      <c r="B86" s="7" t="s">
        <v>248</v>
      </c>
      <c r="C86" s="7" t="s">
        <v>762</v>
      </c>
      <c r="D86" s="7" t="s">
        <v>614</v>
      </c>
      <c r="E86" s="7" t="s">
        <v>693</v>
      </c>
      <c r="F86" s="7" t="s">
        <v>1028</v>
      </c>
      <c r="G86" s="7" t="s">
        <v>809</v>
      </c>
      <c r="H86" s="7" t="s">
        <v>1029</v>
      </c>
      <c r="I86" s="7" t="s">
        <v>267</v>
      </c>
      <c r="J86" s="7" t="s">
        <v>682</v>
      </c>
    </row>
    <row r="87" spans="1:10">
      <c r="A87" s="7" t="s">
        <v>1030</v>
      </c>
      <c r="B87" s="7" t="s">
        <v>277</v>
      </c>
      <c r="C87" s="7" t="s">
        <v>820</v>
      </c>
      <c r="D87" s="7" t="s">
        <v>627</v>
      </c>
      <c r="E87" s="7" t="s">
        <v>1031</v>
      </c>
      <c r="F87" s="7" t="s">
        <v>1032</v>
      </c>
      <c r="G87" s="7" t="s">
        <v>775</v>
      </c>
      <c r="H87" s="7" t="s">
        <v>1033</v>
      </c>
      <c r="I87" s="7" t="s">
        <v>647</v>
      </c>
      <c r="J87" s="7" t="s">
        <v>754</v>
      </c>
    </row>
    <row r="88" spans="1:10">
      <c r="A88" s="7" t="s">
        <v>1034</v>
      </c>
      <c r="B88" s="7" t="s">
        <v>329</v>
      </c>
      <c r="C88" s="7" t="s">
        <v>614</v>
      </c>
      <c r="D88" s="7" t="s">
        <v>607</v>
      </c>
      <c r="E88" s="7" t="s">
        <v>996</v>
      </c>
      <c r="F88" s="7" t="s">
        <v>1035</v>
      </c>
      <c r="G88" s="7" t="s">
        <v>635</v>
      </c>
      <c r="H88" s="7" t="s">
        <v>1036</v>
      </c>
      <c r="I88" s="7" t="s">
        <v>1037</v>
      </c>
      <c r="J88" s="7" t="s">
        <v>640</v>
      </c>
    </row>
    <row r="89" spans="1:10">
      <c r="A89" s="7" t="s">
        <v>1038</v>
      </c>
      <c r="B89" s="7" t="s">
        <v>51</v>
      </c>
      <c r="C89" s="7" t="s">
        <v>700</v>
      </c>
      <c r="D89" s="7" t="s">
        <v>627</v>
      </c>
      <c r="E89" s="7" t="s">
        <v>1039</v>
      </c>
      <c r="F89" s="7" t="s">
        <v>1040</v>
      </c>
      <c r="G89" s="7" t="s">
        <v>1041</v>
      </c>
      <c r="H89" s="7" t="s">
        <v>1042</v>
      </c>
      <c r="I89" s="7" t="s">
        <v>1043</v>
      </c>
      <c r="J89" s="7" t="s">
        <v>613</v>
      </c>
    </row>
    <row r="90" spans="1:10">
      <c r="A90" s="7" t="s">
        <v>1044</v>
      </c>
      <c r="B90" s="7" t="s">
        <v>356</v>
      </c>
      <c r="C90" s="7" t="s">
        <v>622</v>
      </c>
      <c r="D90" s="7" t="s">
        <v>607</v>
      </c>
      <c r="E90" s="7" t="s">
        <v>735</v>
      </c>
      <c r="F90" s="7" t="s">
        <v>1045</v>
      </c>
      <c r="G90" s="7" t="s">
        <v>897</v>
      </c>
      <c r="H90" s="7" t="s">
        <v>1046</v>
      </c>
      <c r="I90" s="7" t="s">
        <v>1047</v>
      </c>
      <c r="J90" s="7" t="s">
        <v>640</v>
      </c>
    </row>
    <row r="91" spans="1:10">
      <c r="A91" s="7" t="s">
        <v>1048</v>
      </c>
      <c r="B91" s="7" t="s">
        <v>519</v>
      </c>
      <c r="C91" s="7" t="s">
        <v>615</v>
      </c>
      <c r="D91" s="7" t="s">
        <v>622</v>
      </c>
      <c r="E91" s="7" t="s">
        <v>739</v>
      </c>
      <c r="F91" s="7" t="s">
        <v>1049</v>
      </c>
      <c r="G91" s="7" t="s">
        <v>869</v>
      </c>
      <c r="H91" s="7" t="s">
        <v>1050</v>
      </c>
      <c r="I91" s="7" t="s">
        <v>1051</v>
      </c>
      <c r="J91" s="7" t="s">
        <v>621</v>
      </c>
    </row>
    <row r="92" spans="1:10">
      <c r="A92" s="7" t="s">
        <v>1052</v>
      </c>
      <c r="B92" s="7" t="s">
        <v>362</v>
      </c>
      <c r="C92" s="7" t="s">
        <v>641</v>
      </c>
      <c r="D92" s="7" t="s">
        <v>614</v>
      </c>
      <c r="E92" s="7" t="s">
        <v>943</v>
      </c>
      <c r="F92" s="7" t="s">
        <v>1053</v>
      </c>
      <c r="G92" s="7" t="s">
        <v>610</v>
      </c>
      <c r="H92" s="7" t="s">
        <v>1054</v>
      </c>
      <c r="I92" s="7" t="s">
        <v>1055</v>
      </c>
      <c r="J92" s="7" t="s">
        <v>682</v>
      </c>
    </row>
    <row r="93" spans="1:10">
      <c r="A93" s="7" t="s">
        <v>1056</v>
      </c>
      <c r="B93" s="7" t="s">
        <v>589</v>
      </c>
      <c r="C93" s="7" t="s">
        <v>715</v>
      </c>
      <c r="D93" s="7" t="s">
        <v>607</v>
      </c>
      <c r="E93" s="7" t="s">
        <v>1057</v>
      </c>
      <c r="F93" s="7" t="s">
        <v>1058</v>
      </c>
      <c r="G93" s="7" t="s">
        <v>1059</v>
      </c>
      <c r="H93" s="7" t="s">
        <v>1060</v>
      </c>
      <c r="I93" s="7" t="s">
        <v>1061</v>
      </c>
      <c r="J93" s="7" t="s">
        <v>633</v>
      </c>
    </row>
    <row r="94" spans="1:10">
      <c r="A94" s="7" t="s">
        <v>1062</v>
      </c>
      <c r="B94" s="7" t="s">
        <v>283</v>
      </c>
      <c r="C94" s="7" t="s">
        <v>747</v>
      </c>
      <c r="D94" s="7" t="s">
        <v>627</v>
      </c>
      <c r="E94" s="7" t="s">
        <v>1063</v>
      </c>
      <c r="F94" s="7" t="s">
        <v>1064</v>
      </c>
      <c r="G94" s="7" t="s">
        <v>1065</v>
      </c>
      <c r="H94" s="7" t="s">
        <v>1066</v>
      </c>
      <c r="I94" s="7" t="s">
        <v>562</v>
      </c>
      <c r="J94" s="7" t="s">
        <v>633</v>
      </c>
    </row>
    <row r="95" spans="1:10">
      <c r="A95" s="7" t="s">
        <v>1067</v>
      </c>
      <c r="B95" s="7" t="s">
        <v>584</v>
      </c>
      <c r="C95" s="7" t="s">
        <v>954</v>
      </c>
      <c r="D95" s="7" t="s">
        <v>607</v>
      </c>
      <c r="E95" s="7" t="s">
        <v>677</v>
      </c>
      <c r="F95" s="7" t="s">
        <v>1068</v>
      </c>
      <c r="G95" s="7" t="s">
        <v>974</v>
      </c>
      <c r="H95" s="7" t="s">
        <v>810</v>
      </c>
      <c r="I95" s="7" t="s">
        <v>510</v>
      </c>
      <c r="J95" s="7" t="s">
        <v>682</v>
      </c>
    </row>
    <row r="96" spans="1:10">
      <c r="A96" s="7" t="s">
        <v>1069</v>
      </c>
      <c r="B96" s="7" t="s">
        <v>236</v>
      </c>
      <c r="C96" s="7" t="s">
        <v>959</v>
      </c>
      <c r="D96" s="7" t="s">
        <v>627</v>
      </c>
      <c r="E96" s="7" t="s">
        <v>1070</v>
      </c>
      <c r="F96" s="7" t="s">
        <v>1071</v>
      </c>
      <c r="G96" s="7" t="s">
        <v>1072</v>
      </c>
      <c r="H96" s="7" t="s">
        <v>1073</v>
      </c>
      <c r="I96" s="7" t="s">
        <v>1074</v>
      </c>
      <c r="J96" s="7" t="s">
        <v>633</v>
      </c>
    </row>
    <row r="97" spans="1:10">
      <c r="A97" s="7" t="s">
        <v>1075</v>
      </c>
      <c r="B97" s="7" t="s">
        <v>584</v>
      </c>
      <c r="C97" s="7" t="s">
        <v>755</v>
      </c>
      <c r="D97" s="7" t="s">
        <v>622</v>
      </c>
      <c r="E97" s="7" t="s">
        <v>809</v>
      </c>
      <c r="F97" s="7" t="s">
        <v>1076</v>
      </c>
      <c r="G97" s="7" t="s">
        <v>1077</v>
      </c>
      <c r="H97" s="7" t="s">
        <v>1078</v>
      </c>
      <c r="I97" s="7" t="s">
        <v>1079</v>
      </c>
      <c r="J97" s="7" t="s">
        <v>613</v>
      </c>
    </row>
    <row r="98" spans="1:10">
      <c r="A98" s="7" t="s">
        <v>1080</v>
      </c>
      <c r="B98" s="7" t="s">
        <v>248</v>
      </c>
      <c r="C98" s="7" t="s">
        <v>615</v>
      </c>
      <c r="D98" s="7" t="s">
        <v>605</v>
      </c>
      <c r="E98" s="7" t="s">
        <v>1081</v>
      </c>
      <c r="F98" s="7" t="s">
        <v>1082</v>
      </c>
      <c r="G98" s="7" t="s">
        <v>658</v>
      </c>
      <c r="H98" s="7" t="s">
        <v>1083</v>
      </c>
      <c r="I98" s="7" t="s">
        <v>848</v>
      </c>
      <c r="J98" s="7" t="s">
        <v>621</v>
      </c>
    </row>
    <row r="99" spans="1:10">
      <c r="A99" s="7" t="s">
        <v>1084</v>
      </c>
      <c r="B99" s="7" t="s">
        <v>188</v>
      </c>
      <c r="C99" s="7" t="s">
        <v>656</v>
      </c>
      <c r="D99" s="7" t="s">
        <v>605</v>
      </c>
      <c r="E99" s="7" t="s">
        <v>1085</v>
      </c>
      <c r="F99" s="7" t="s">
        <v>1086</v>
      </c>
      <c r="G99" s="7" t="s">
        <v>1087</v>
      </c>
      <c r="H99" s="7" t="s">
        <v>1088</v>
      </c>
      <c r="I99" s="7" t="s">
        <v>16</v>
      </c>
      <c r="J99" s="7" t="s">
        <v>613</v>
      </c>
    </row>
    <row r="100" spans="1:10">
      <c r="A100" s="7" t="s">
        <v>1089</v>
      </c>
      <c r="B100" s="7" t="s">
        <v>301</v>
      </c>
      <c r="C100" s="7" t="s">
        <v>684</v>
      </c>
      <c r="D100" s="7" t="s">
        <v>622</v>
      </c>
      <c r="E100" s="7" t="s">
        <v>712</v>
      </c>
      <c r="F100" s="7" t="s">
        <v>1090</v>
      </c>
      <c r="G100" s="7" t="s">
        <v>827</v>
      </c>
      <c r="H100" s="7" t="s">
        <v>1091</v>
      </c>
      <c r="I100" s="7" t="s">
        <v>1092</v>
      </c>
      <c r="J100" s="7" t="s">
        <v>633</v>
      </c>
    </row>
    <row r="101" spans="1:10">
      <c r="A101" s="7" t="s">
        <v>1093</v>
      </c>
      <c r="B101" s="7" t="s">
        <v>329</v>
      </c>
      <c r="C101" s="7" t="s">
        <v>748</v>
      </c>
      <c r="D101" s="7" t="s">
        <v>607</v>
      </c>
      <c r="E101" s="7" t="s">
        <v>1094</v>
      </c>
      <c r="F101" s="7" t="s">
        <v>1095</v>
      </c>
      <c r="G101" s="7" t="s">
        <v>1096</v>
      </c>
      <c r="H101" s="7" t="s">
        <v>1097</v>
      </c>
      <c r="I101" s="7" t="s">
        <v>1098</v>
      </c>
      <c r="J101" s="7" t="s">
        <v>754</v>
      </c>
    </row>
    <row r="102" spans="1:10">
      <c r="A102" s="7" t="s">
        <v>1099</v>
      </c>
      <c r="B102" s="7" t="s">
        <v>379</v>
      </c>
      <c r="C102" s="7" t="s">
        <v>959</v>
      </c>
      <c r="D102" s="7" t="s">
        <v>627</v>
      </c>
      <c r="E102" s="7" t="s">
        <v>1100</v>
      </c>
      <c r="F102" s="7" t="s">
        <v>1101</v>
      </c>
      <c r="G102" s="7" t="s">
        <v>1102</v>
      </c>
      <c r="H102" s="7" t="s">
        <v>1103</v>
      </c>
      <c r="I102" s="7" t="s">
        <v>681</v>
      </c>
      <c r="J102" s="7" t="s">
        <v>633</v>
      </c>
    </row>
    <row r="103" spans="1:10">
      <c r="A103" s="7" t="s">
        <v>1104</v>
      </c>
      <c r="B103" s="7" t="s">
        <v>478</v>
      </c>
      <c r="C103" s="7" t="s">
        <v>668</v>
      </c>
      <c r="D103" s="7" t="s">
        <v>622</v>
      </c>
      <c r="E103" s="7" t="s">
        <v>1105</v>
      </c>
      <c r="F103" s="7" t="s">
        <v>1106</v>
      </c>
      <c r="G103" s="7" t="s">
        <v>1107</v>
      </c>
      <c r="H103" s="7" t="s">
        <v>1108</v>
      </c>
      <c r="I103" s="7" t="s">
        <v>1109</v>
      </c>
      <c r="J103" s="7" t="s">
        <v>633</v>
      </c>
    </row>
    <row r="104" spans="1:10">
      <c r="A104" s="7" t="s">
        <v>1110</v>
      </c>
      <c r="B104" s="7" t="s">
        <v>572</v>
      </c>
      <c r="C104" s="7" t="s">
        <v>715</v>
      </c>
      <c r="D104" s="7" t="s">
        <v>622</v>
      </c>
      <c r="E104" s="7" t="s">
        <v>1111</v>
      </c>
      <c r="F104" s="7" t="s">
        <v>1112</v>
      </c>
      <c r="G104" s="7" t="s">
        <v>895</v>
      </c>
      <c r="H104" s="7" t="s">
        <v>1113</v>
      </c>
      <c r="I104" s="7" t="s">
        <v>1114</v>
      </c>
      <c r="J104" s="7" t="s">
        <v>633</v>
      </c>
    </row>
    <row r="105" spans="1:10">
      <c r="A105" s="7" t="s">
        <v>1115</v>
      </c>
      <c r="B105" s="7" t="s">
        <v>484</v>
      </c>
      <c r="C105" s="7" t="s">
        <v>876</v>
      </c>
      <c r="D105" s="7" t="s">
        <v>622</v>
      </c>
      <c r="E105" s="7" t="s">
        <v>1116</v>
      </c>
      <c r="F105" s="7" t="s">
        <v>1117</v>
      </c>
      <c r="G105" s="7" t="s">
        <v>1118</v>
      </c>
      <c r="H105" s="7" t="s">
        <v>1119</v>
      </c>
      <c r="I105" s="7" t="s">
        <v>486</v>
      </c>
      <c r="J105" s="7" t="s">
        <v>754</v>
      </c>
    </row>
    <row r="106" spans="1:10">
      <c r="A106" s="7" t="s">
        <v>1120</v>
      </c>
      <c r="B106" s="7" t="s">
        <v>373</v>
      </c>
      <c r="C106" s="7" t="s">
        <v>806</v>
      </c>
      <c r="D106" s="7" t="s">
        <v>614</v>
      </c>
      <c r="E106" s="7" t="s">
        <v>635</v>
      </c>
      <c r="F106" s="7" t="s">
        <v>1121</v>
      </c>
      <c r="G106" s="7" t="s">
        <v>1122</v>
      </c>
      <c r="H106" s="7" t="s">
        <v>1123</v>
      </c>
      <c r="I106" s="7" t="s">
        <v>279</v>
      </c>
      <c r="J106" s="7" t="s">
        <v>633</v>
      </c>
    </row>
    <row r="107" spans="1:10">
      <c r="A107" s="7" t="s">
        <v>1124</v>
      </c>
      <c r="B107" s="7" t="s">
        <v>560</v>
      </c>
      <c r="C107" s="7" t="s">
        <v>615</v>
      </c>
      <c r="D107" s="7" t="s">
        <v>614</v>
      </c>
      <c r="E107" s="7" t="s">
        <v>1107</v>
      </c>
      <c r="F107" s="7" t="s">
        <v>1125</v>
      </c>
      <c r="G107" s="7" t="s">
        <v>658</v>
      </c>
      <c r="H107" s="7" t="s">
        <v>1126</v>
      </c>
      <c r="I107" s="7" t="s">
        <v>53</v>
      </c>
      <c r="J107" s="7" t="s">
        <v>621</v>
      </c>
    </row>
    <row r="108" spans="1:10">
      <c r="A108" s="7" t="s">
        <v>1127</v>
      </c>
      <c r="B108" s="7" t="s">
        <v>248</v>
      </c>
      <c r="C108" s="7" t="s">
        <v>627</v>
      </c>
      <c r="D108" s="7" t="s">
        <v>622</v>
      </c>
      <c r="E108" s="7" t="s">
        <v>1107</v>
      </c>
      <c r="F108" s="7" t="s">
        <v>1128</v>
      </c>
      <c r="G108" s="7" t="s">
        <v>864</v>
      </c>
      <c r="H108" s="7" t="s">
        <v>1129</v>
      </c>
      <c r="I108" s="7" t="s">
        <v>1130</v>
      </c>
      <c r="J108" s="7" t="s">
        <v>621</v>
      </c>
    </row>
    <row r="109" spans="1:10">
      <c r="A109" s="7" t="s">
        <v>1131</v>
      </c>
      <c r="B109" s="7" t="s">
        <v>75</v>
      </c>
      <c r="C109" s="7" t="s">
        <v>762</v>
      </c>
      <c r="D109" s="7" t="s">
        <v>627</v>
      </c>
      <c r="E109" s="7" t="s">
        <v>943</v>
      </c>
      <c r="F109" s="7" t="s">
        <v>1132</v>
      </c>
      <c r="G109" s="7" t="s">
        <v>610</v>
      </c>
      <c r="H109" s="7" t="s">
        <v>1133</v>
      </c>
      <c r="I109" s="7" t="s">
        <v>47</v>
      </c>
      <c r="J109" s="7" t="s">
        <v>682</v>
      </c>
    </row>
    <row r="110" spans="1:10">
      <c r="A110" s="7" t="s">
        <v>1134</v>
      </c>
      <c r="B110" s="7" t="s">
        <v>437</v>
      </c>
      <c r="C110" s="7" t="s">
        <v>872</v>
      </c>
      <c r="D110" s="7" t="s">
        <v>607</v>
      </c>
      <c r="E110" s="7" t="s">
        <v>943</v>
      </c>
      <c r="F110" s="7" t="s">
        <v>1135</v>
      </c>
      <c r="G110" s="7" t="s">
        <v>1136</v>
      </c>
      <c r="H110" s="7" t="s">
        <v>1137</v>
      </c>
      <c r="I110" s="7" t="s">
        <v>695</v>
      </c>
      <c r="J110" s="7" t="s">
        <v>682</v>
      </c>
    </row>
    <row r="111" spans="1:10">
      <c r="A111" s="7" t="s">
        <v>1138</v>
      </c>
      <c r="B111" s="7" t="s">
        <v>443</v>
      </c>
      <c r="C111" s="7" t="s">
        <v>762</v>
      </c>
      <c r="D111" s="7" t="s">
        <v>614</v>
      </c>
      <c r="E111" s="7" t="s">
        <v>693</v>
      </c>
      <c r="F111" s="7" t="s">
        <v>1139</v>
      </c>
      <c r="G111" s="7" t="s">
        <v>1140</v>
      </c>
      <c r="H111" s="7" t="s">
        <v>1141</v>
      </c>
      <c r="I111" s="7" t="s">
        <v>1142</v>
      </c>
      <c r="J111" s="7" t="s">
        <v>682</v>
      </c>
    </row>
    <row r="112" spans="1:10">
      <c r="A112" s="7" t="s">
        <v>1143</v>
      </c>
      <c r="B112" s="7" t="s">
        <v>57</v>
      </c>
      <c r="C112" s="7" t="s">
        <v>656</v>
      </c>
      <c r="D112" s="7" t="s">
        <v>622</v>
      </c>
      <c r="E112" s="7" t="s">
        <v>1102</v>
      </c>
      <c r="F112" s="7" t="s">
        <v>1144</v>
      </c>
      <c r="G112" s="7" t="s">
        <v>927</v>
      </c>
      <c r="H112" s="7" t="s">
        <v>1145</v>
      </c>
      <c r="I112" s="7" t="s">
        <v>1146</v>
      </c>
      <c r="J112" s="7" t="s">
        <v>613</v>
      </c>
    </row>
    <row r="113" spans="1:10">
      <c r="A113" s="7" t="s">
        <v>1147</v>
      </c>
      <c r="B113" s="7" t="s">
        <v>140</v>
      </c>
      <c r="C113" s="7" t="s">
        <v>811</v>
      </c>
      <c r="D113" s="7" t="s">
        <v>622</v>
      </c>
      <c r="E113" s="7" t="s">
        <v>817</v>
      </c>
      <c r="F113" s="7" t="s">
        <v>1148</v>
      </c>
      <c r="G113" s="7" t="s">
        <v>660</v>
      </c>
      <c r="H113" s="7" t="s">
        <v>1149</v>
      </c>
      <c r="I113" s="7" t="s">
        <v>1150</v>
      </c>
      <c r="J113" s="7" t="s">
        <v>621</v>
      </c>
    </row>
    <row r="114" spans="1:10">
      <c r="A114" s="7" t="s">
        <v>1151</v>
      </c>
      <c r="B114" s="7" t="s">
        <v>194</v>
      </c>
      <c r="C114" s="7" t="s">
        <v>605</v>
      </c>
      <c r="D114" s="7" t="s">
        <v>622</v>
      </c>
      <c r="E114" s="7" t="s">
        <v>660</v>
      </c>
      <c r="F114" s="7" t="s">
        <v>1152</v>
      </c>
      <c r="G114" s="7" t="s">
        <v>1153</v>
      </c>
      <c r="H114" s="7" t="s">
        <v>1154</v>
      </c>
      <c r="I114" s="7" t="s">
        <v>16</v>
      </c>
      <c r="J114" s="7" t="s">
        <v>754</v>
      </c>
    </row>
    <row r="115" spans="1:10">
      <c r="A115" s="7" t="s">
        <v>1155</v>
      </c>
      <c r="B115" s="7" t="s">
        <v>57</v>
      </c>
      <c r="C115" s="7" t="s">
        <v>824</v>
      </c>
      <c r="D115" s="7" t="s">
        <v>627</v>
      </c>
      <c r="E115" s="7" t="s">
        <v>1156</v>
      </c>
      <c r="F115" s="7" t="s">
        <v>1157</v>
      </c>
      <c r="G115" s="7" t="s">
        <v>1158</v>
      </c>
      <c r="H115" s="7" t="s">
        <v>1159</v>
      </c>
      <c r="I115" s="7" t="s">
        <v>1160</v>
      </c>
      <c r="J115" s="7" t="s">
        <v>613</v>
      </c>
    </row>
    <row r="116" spans="1:10">
      <c r="A116" s="7" t="s">
        <v>1161</v>
      </c>
      <c r="B116" s="7" t="s">
        <v>560</v>
      </c>
      <c r="C116" s="7" t="s">
        <v>901</v>
      </c>
      <c r="D116" s="7" t="s">
        <v>605</v>
      </c>
      <c r="E116" s="7" t="s">
        <v>850</v>
      </c>
      <c r="F116" s="7" t="s">
        <v>1162</v>
      </c>
      <c r="G116" s="7" t="s">
        <v>742</v>
      </c>
      <c r="H116" s="7" t="s">
        <v>1163</v>
      </c>
      <c r="I116" s="7" t="s">
        <v>1164</v>
      </c>
      <c r="J116" s="7" t="s">
        <v>633</v>
      </c>
    </row>
    <row r="117" spans="1:10">
      <c r="A117" s="7" t="s">
        <v>1165</v>
      </c>
      <c r="B117" s="7" t="s">
        <v>57</v>
      </c>
      <c r="C117" s="7" t="s">
        <v>627</v>
      </c>
      <c r="D117" s="7" t="s">
        <v>622</v>
      </c>
      <c r="E117" s="7" t="s">
        <v>817</v>
      </c>
      <c r="F117" s="7" t="s">
        <v>1166</v>
      </c>
      <c r="G117" s="7" t="s">
        <v>1167</v>
      </c>
      <c r="H117" s="7" t="s">
        <v>1168</v>
      </c>
      <c r="I117" s="7" t="s">
        <v>1169</v>
      </c>
      <c r="J117" s="7" t="s">
        <v>621</v>
      </c>
    </row>
    <row r="118" spans="1:10">
      <c r="A118" s="7" t="s">
        <v>1170</v>
      </c>
      <c r="B118" s="7" t="s">
        <v>200</v>
      </c>
      <c r="C118" s="7" t="s">
        <v>909</v>
      </c>
      <c r="D118" s="7" t="s">
        <v>622</v>
      </c>
      <c r="E118" s="7" t="s">
        <v>643</v>
      </c>
      <c r="F118" s="7" t="s">
        <v>1171</v>
      </c>
      <c r="G118" s="7" t="s">
        <v>768</v>
      </c>
      <c r="H118" s="7" t="s">
        <v>1172</v>
      </c>
      <c r="I118" s="7" t="s">
        <v>1173</v>
      </c>
      <c r="J118" s="7" t="s">
        <v>648</v>
      </c>
    </row>
    <row r="119" spans="1:10">
      <c r="A119" s="7" t="s">
        <v>1174</v>
      </c>
      <c r="B119" s="7" t="s">
        <v>212</v>
      </c>
      <c r="C119" s="7" t="s">
        <v>723</v>
      </c>
      <c r="D119" s="7" t="s">
        <v>605</v>
      </c>
      <c r="E119" s="7" t="s">
        <v>943</v>
      </c>
      <c r="F119" s="7" t="s">
        <v>893</v>
      </c>
      <c r="G119" s="7" t="s">
        <v>610</v>
      </c>
      <c r="H119" s="7" t="s">
        <v>1175</v>
      </c>
      <c r="I119" s="7" t="s">
        <v>848</v>
      </c>
      <c r="J119" s="7" t="s">
        <v>682</v>
      </c>
    </row>
    <row r="120" spans="1:10">
      <c r="A120" s="7" t="s">
        <v>1176</v>
      </c>
      <c r="B120" s="7" t="s">
        <v>63</v>
      </c>
      <c r="C120" s="7" t="s">
        <v>641</v>
      </c>
      <c r="D120" s="7" t="s">
        <v>627</v>
      </c>
      <c r="E120" s="7" t="s">
        <v>693</v>
      </c>
      <c r="F120" s="7" t="s">
        <v>1177</v>
      </c>
      <c r="G120" s="7" t="s">
        <v>765</v>
      </c>
      <c r="H120" s="7" t="s">
        <v>1178</v>
      </c>
      <c r="I120" s="7" t="s">
        <v>1179</v>
      </c>
      <c r="J120" s="7" t="s">
        <v>682</v>
      </c>
    </row>
    <row r="121" spans="1:10">
      <c r="A121" s="7" t="s">
        <v>1180</v>
      </c>
      <c r="B121" s="7" t="s">
        <v>301</v>
      </c>
      <c r="C121" s="7" t="s">
        <v>849</v>
      </c>
      <c r="D121" s="7" t="s">
        <v>605</v>
      </c>
      <c r="E121" s="7" t="s">
        <v>1181</v>
      </c>
      <c r="F121" s="7" t="s">
        <v>1182</v>
      </c>
      <c r="G121" s="7" t="s">
        <v>1183</v>
      </c>
      <c r="H121" s="7" t="s">
        <v>1184</v>
      </c>
      <c r="I121" s="7" t="s">
        <v>352</v>
      </c>
      <c r="J121" s="7" t="s">
        <v>613</v>
      </c>
    </row>
    <row r="122" spans="1:10">
      <c r="A122" s="7" t="s">
        <v>1185</v>
      </c>
      <c r="B122" s="7" t="s">
        <v>289</v>
      </c>
      <c r="C122" s="7" t="s">
        <v>792</v>
      </c>
      <c r="D122" s="7" t="s">
        <v>622</v>
      </c>
      <c r="E122" s="7" t="s">
        <v>1186</v>
      </c>
      <c r="F122" s="7" t="s">
        <v>1187</v>
      </c>
      <c r="G122" s="7" t="s">
        <v>733</v>
      </c>
      <c r="H122" s="7" t="s">
        <v>1188</v>
      </c>
      <c r="I122" s="7" t="s">
        <v>1189</v>
      </c>
      <c r="J122" s="7" t="s">
        <v>640</v>
      </c>
    </row>
    <row r="123" spans="1:10">
      <c r="A123" s="7" t="s">
        <v>1190</v>
      </c>
      <c r="B123" s="7" t="s">
        <v>490</v>
      </c>
      <c r="C123" s="7" t="s">
        <v>747</v>
      </c>
      <c r="D123" s="7" t="s">
        <v>607</v>
      </c>
      <c r="E123" s="7" t="s">
        <v>962</v>
      </c>
      <c r="F123" s="7" t="s">
        <v>1191</v>
      </c>
      <c r="G123" s="7" t="s">
        <v>1192</v>
      </c>
      <c r="H123" s="7" t="s">
        <v>1193</v>
      </c>
      <c r="I123" s="7" t="s">
        <v>1194</v>
      </c>
      <c r="J123" s="7" t="s">
        <v>633</v>
      </c>
    </row>
    <row r="124" spans="1:10">
      <c r="A124" s="7" t="s">
        <v>1195</v>
      </c>
      <c r="B124" s="7" t="s">
        <v>158</v>
      </c>
      <c r="C124" s="7" t="s">
        <v>684</v>
      </c>
      <c r="D124" s="7" t="s">
        <v>605</v>
      </c>
      <c r="E124" s="7" t="s">
        <v>782</v>
      </c>
      <c r="F124" s="7" t="s">
        <v>1196</v>
      </c>
      <c r="G124" s="7" t="s">
        <v>1197</v>
      </c>
      <c r="H124" s="7" t="s">
        <v>1198</v>
      </c>
      <c r="I124" s="7" t="s">
        <v>393</v>
      </c>
      <c r="J124" s="7" t="s">
        <v>633</v>
      </c>
    </row>
    <row r="125" spans="1:10">
      <c r="A125" s="7" t="s">
        <v>1199</v>
      </c>
      <c r="B125" s="7" t="s">
        <v>182</v>
      </c>
      <c r="C125" s="7" t="s">
        <v>606</v>
      </c>
      <c r="D125" s="7" t="s">
        <v>627</v>
      </c>
      <c r="E125" s="7" t="s">
        <v>757</v>
      </c>
      <c r="F125" s="7" t="s">
        <v>1200</v>
      </c>
      <c r="G125" s="7" t="s">
        <v>1201</v>
      </c>
      <c r="H125" s="7" t="s">
        <v>1202</v>
      </c>
      <c r="I125" s="7" t="s">
        <v>1203</v>
      </c>
      <c r="J125" s="7" t="s">
        <v>613</v>
      </c>
    </row>
    <row r="126" spans="1:10">
      <c r="A126" s="7" t="s">
        <v>1204</v>
      </c>
      <c r="B126" s="7" t="s">
        <v>122</v>
      </c>
      <c r="C126" s="7" t="s">
        <v>784</v>
      </c>
      <c r="D126" s="7" t="s">
        <v>614</v>
      </c>
      <c r="E126" s="7" t="s">
        <v>879</v>
      </c>
      <c r="F126" s="7" t="s">
        <v>1205</v>
      </c>
      <c r="G126" s="7" t="s">
        <v>1206</v>
      </c>
      <c r="H126" s="7" t="s">
        <v>1207</v>
      </c>
      <c r="I126" s="7" t="s">
        <v>94</v>
      </c>
      <c r="J126" s="7" t="s">
        <v>754</v>
      </c>
    </row>
    <row r="127" spans="1:10">
      <c r="A127" s="7" t="s">
        <v>1208</v>
      </c>
      <c r="B127" s="7" t="s">
        <v>242</v>
      </c>
      <c r="C127" s="7" t="s">
        <v>722</v>
      </c>
      <c r="D127" s="7" t="s">
        <v>607</v>
      </c>
      <c r="E127" s="7" t="s">
        <v>996</v>
      </c>
      <c r="F127" s="7" t="s">
        <v>1209</v>
      </c>
      <c r="G127" s="7" t="s">
        <v>897</v>
      </c>
      <c r="H127" s="7" t="s">
        <v>1210</v>
      </c>
      <c r="I127" s="7" t="s">
        <v>1211</v>
      </c>
      <c r="J127" s="7" t="s">
        <v>640</v>
      </c>
    </row>
    <row r="128" spans="1:10">
      <c r="A128" s="7" t="s">
        <v>1212</v>
      </c>
      <c r="B128" s="7" t="s">
        <v>306</v>
      </c>
      <c r="C128" s="7" t="s">
        <v>696</v>
      </c>
      <c r="D128" s="7" t="s">
        <v>627</v>
      </c>
      <c r="E128" s="7" t="s">
        <v>821</v>
      </c>
      <c r="F128" s="7" t="s">
        <v>1213</v>
      </c>
      <c r="G128" s="7" t="s">
        <v>1081</v>
      </c>
      <c r="H128" s="7" t="s">
        <v>1214</v>
      </c>
      <c r="I128" s="7" t="s">
        <v>314</v>
      </c>
      <c r="J128" s="7" t="s">
        <v>621</v>
      </c>
    </row>
    <row r="129" spans="1:10">
      <c r="A129" s="7" t="s">
        <v>1215</v>
      </c>
      <c r="B129" s="7" t="s">
        <v>385</v>
      </c>
      <c r="C129" s="7" t="s">
        <v>683</v>
      </c>
      <c r="D129" s="7" t="s">
        <v>622</v>
      </c>
      <c r="E129" s="7" t="s">
        <v>763</v>
      </c>
      <c r="F129" s="7" t="s">
        <v>1216</v>
      </c>
      <c r="G129" s="7" t="s">
        <v>1140</v>
      </c>
      <c r="H129" s="7" t="s">
        <v>1217</v>
      </c>
      <c r="I129" s="7" t="s">
        <v>1150</v>
      </c>
      <c r="J129" s="7" t="s">
        <v>613</v>
      </c>
    </row>
    <row r="130" spans="1:10">
      <c r="A130" s="7" t="s">
        <v>1218</v>
      </c>
      <c r="B130" s="7" t="s">
        <v>306</v>
      </c>
      <c r="C130" s="7" t="s">
        <v>606</v>
      </c>
      <c r="D130" s="7" t="s">
        <v>614</v>
      </c>
      <c r="E130" s="7" t="s">
        <v>1219</v>
      </c>
      <c r="F130" s="7" t="s">
        <v>1220</v>
      </c>
      <c r="G130" s="7" t="s">
        <v>708</v>
      </c>
      <c r="H130" s="7" t="s">
        <v>1221</v>
      </c>
      <c r="I130" s="7" t="s">
        <v>1146</v>
      </c>
      <c r="J130" s="7" t="s">
        <v>613</v>
      </c>
    </row>
    <row r="131" spans="1:10">
      <c r="A131" s="7" t="s">
        <v>1222</v>
      </c>
      <c r="B131" s="7" t="s">
        <v>414</v>
      </c>
      <c r="C131" s="7" t="s">
        <v>668</v>
      </c>
      <c r="D131" s="7" t="s">
        <v>607</v>
      </c>
      <c r="E131" s="7" t="s">
        <v>1223</v>
      </c>
      <c r="F131" s="7" t="s">
        <v>1224</v>
      </c>
      <c r="G131" s="7" t="s">
        <v>1225</v>
      </c>
      <c r="H131" s="7" t="s">
        <v>1226</v>
      </c>
      <c r="I131" s="7" t="s">
        <v>919</v>
      </c>
      <c r="J131" s="7" t="s">
        <v>633</v>
      </c>
    </row>
    <row r="132" spans="1:10">
      <c r="A132" s="7" t="s">
        <v>1227</v>
      </c>
      <c r="B132" s="7" t="s">
        <v>460</v>
      </c>
      <c r="C132" s="7" t="s">
        <v>622</v>
      </c>
      <c r="D132" s="7" t="s">
        <v>607</v>
      </c>
      <c r="E132" s="7" t="s">
        <v>996</v>
      </c>
      <c r="F132" s="7" t="s">
        <v>1228</v>
      </c>
      <c r="G132" s="7" t="s">
        <v>635</v>
      </c>
      <c r="H132" s="7" t="s">
        <v>1229</v>
      </c>
      <c r="I132" s="7" t="s">
        <v>358</v>
      </c>
      <c r="J132" s="7" t="s">
        <v>640</v>
      </c>
    </row>
    <row r="133" spans="1:10">
      <c r="A133" s="7" t="s">
        <v>1230</v>
      </c>
      <c r="B133" s="7" t="s">
        <v>271</v>
      </c>
      <c r="C133" s="7" t="s">
        <v>839</v>
      </c>
      <c r="D133" s="7" t="s">
        <v>627</v>
      </c>
      <c r="E133" s="7" t="s">
        <v>996</v>
      </c>
      <c r="F133" s="7" t="s">
        <v>1231</v>
      </c>
      <c r="G133" s="7" t="s">
        <v>897</v>
      </c>
      <c r="H133" s="7" t="s">
        <v>1232</v>
      </c>
      <c r="I133" s="7" t="s">
        <v>1233</v>
      </c>
      <c r="J133" s="7" t="s">
        <v>640</v>
      </c>
    </row>
    <row r="134" spans="1:10">
      <c r="A134" s="7" t="s">
        <v>1234</v>
      </c>
      <c r="B134" s="7" t="s">
        <v>110</v>
      </c>
      <c r="C134" s="7" t="s">
        <v>657</v>
      </c>
      <c r="D134" s="7" t="s">
        <v>607</v>
      </c>
      <c r="E134" s="7" t="s">
        <v>921</v>
      </c>
      <c r="F134" s="7" t="s">
        <v>1235</v>
      </c>
      <c r="G134" s="7" t="s">
        <v>866</v>
      </c>
      <c r="H134" s="7" t="s">
        <v>1236</v>
      </c>
      <c r="I134" s="7" t="s">
        <v>421</v>
      </c>
      <c r="J134" s="7" t="s">
        <v>621</v>
      </c>
    </row>
    <row r="135" spans="1:10">
      <c r="A135" s="7" t="s">
        <v>1237</v>
      </c>
      <c r="B135" s="7" t="s">
        <v>218</v>
      </c>
      <c r="C135" s="7" t="s">
        <v>954</v>
      </c>
      <c r="D135" s="7" t="s">
        <v>607</v>
      </c>
      <c r="E135" s="7" t="s">
        <v>610</v>
      </c>
      <c r="F135" s="7" t="s">
        <v>1238</v>
      </c>
      <c r="G135" s="7" t="s">
        <v>809</v>
      </c>
      <c r="H135" s="7" t="s">
        <v>1239</v>
      </c>
      <c r="I135" s="7" t="s">
        <v>1037</v>
      </c>
      <c r="J135" s="7" t="s">
        <v>682</v>
      </c>
    </row>
    <row r="136" spans="1:10">
      <c r="A136" s="7" t="s">
        <v>1240</v>
      </c>
      <c r="B136" s="7" t="s">
        <v>514</v>
      </c>
      <c r="C136" s="7" t="s">
        <v>756</v>
      </c>
      <c r="D136" s="7" t="s">
        <v>614</v>
      </c>
      <c r="E136" s="7" t="s">
        <v>915</v>
      </c>
      <c r="F136" s="7" t="s">
        <v>1241</v>
      </c>
      <c r="G136" s="7" t="s">
        <v>1242</v>
      </c>
      <c r="H136" s="7" t="s">
        <v>1243</v>
      </c>
      <c r="I136" s="7" t="s">
        <v>1244</v>
      </c>
      <c r="J136" s="7" t="s">
        <v>613</v>
      </c>
    </row>
    <row r="137" spans="1:10">
      <c r="A137" s="7" t="s">
        <v>1245</v>
      </c>
      <c r="B137" s="7" t="s">
        <v>218</v>
      </c>
      <c r="C137" s="7" t="s">
        <v>669</v>
      </c>
      <c r="D137" s="7" t="s">
        <v>605</v>
      </c>
      <c r="E137" s="7" t="s">
        <v>1246</v>
      </c>
      <c r="F137" s="7" t="s">
        <v>1247</v>
      </c>
      <c r="G137" s="7" t="s">
        <v>1248</v>
      </c>
      <c r="H137" s="7" t="s">
        <v>1249</v>
      </c>
      <c r="I137" s="7" t="s">
        <v>279</v>
      </c>
      <c r="J137" s="7" t="s">
        <v>613</v>
      </c>
    </row>
    <row r="138" spans="1:10">
      <c r="A138" s="7" t="s">
        <v>1250</v>
      </c>
      <c r="B138" s="7" t="s">
        <v>414</v>
      </c>
      <c r="C138" s="7" t="s">
        <v>860</v>
      </c>
      <c r="D138" s="7" t="s">
        <v>614</v>
      </c>
      <c r="E138" s="7" t="s">
        <v>610</v>
      </c>
      <c r="F138" s="7" t="s">
        <v>1251</v>
      </c>
      <c r="G138" s="7" t="s">
        <v>974</v>
      </c>
      <c r="H138" s="7" t="s">
        <v>1252</v>
      </c>
      <c r="I138" s="7" t="s">
        <v>562</v>
      </c>
      <c r="J138" s="7" t="s">
        <v>682</v>
      </c>
    </row>
    <row r="139" spans="1:10">
      <c r="A139" s="7" t="s">
        <v>1253</v>
      </c>
      <c r="B139" s="7" t="s">
        <v>134</v>
      </c>
      <c r="C139" s="7" t="s">
        <v>901</v>
      </c>
      <c r="D139" s="7" t="s">
        <v>627</v>
      </c>
      <c r="E139" s="7" t="s">
        <v>974</v>
      </c>
      <c r="F139" s="7" t="s">
        <v>1254</v>
      </c>
      <c r="G139" s="7" t="s">
        <v>1255</v>
      </c>
      <c r="H139" s="7" t="s">
        <v>1256</v>
      </c>
      <c r="I139" s="7" t="s">
        <v>1257</v>
      </c>
      <c r="J139" s="7" t="s">
        <v>633</v>
      </c>
    </row>
    <row r="140" spans="1:10">
      <c r="A140" s="7" t="s">
        <v>1258</v>
      </c>
      <c r="B140" s="7" t="s">
        <v>329</v>
      </c>
      <c r="C140" s="7" t="s">
        <v>830</v>
      </c>
      <c r="D140" s="7" t="s">
        <v>627</v>
      </c>
      <c r="E140" s="7" t="s">
        <v>1259</v>
      </c>
      <c r="F140" s="7" t="s">
        <v>1260</v>
      </c>
      <c r="G140" s="7" t="s">
        <v>1261</v>
      </c>
      <c r="H140" s="7" t="s">
        <v>1262</v>
      </c>
      <c r="I140" s="7" t="s">
        <v>1263</v>
      </c>
      <c r="J140" s="7" t="s">
        <v>613</v>
      </c>
    </row>
    <row r="141" spans="1:10">
      <c r="A141" s="7" t="s">
        <v>1264</v>
      </c>
      <c r="B141" s="7" t="s">
        <v>92</v>
      </c>
      <c r="C141" s="7" t="s">
        <v>860</v>
      </c>
      <c r="D141" s="7" t="s">
        <v>605</v>
      </c>
      <c r="E141" s="7" t="s">
        <v>693</v>
      </c>
      <c r="F141" s="7" t="s">
        <v>1265</v>
      </c>
      <c r="G141" s="7" t="s">
        <v>1140</v>
      </c>
      <c r="H141" s="7" t="s">
        <v>1266</v>
      </c>
      <c r="I141" s="7" t="s">
        <v>320</v>
      </c>
      <c r="J141" s="7" t="s">
        <v>682</v>
      </c>
    </row>
    <row r="142" spans="1:10">
      <c r="A142" s="7" t="s">
        <v>1267</v>
      </c>
      <c r="B142" s="7" t="s">
        <v>367</v>
      </c>
      <c r="C142" s="7" t="s">
        <v>802</v>
      </c>
      <c r="D142" s="7" t="s">
        <v>627</v>
      </c>
      <c r="E142" s="7" t="s">
        <v>785</v>
      </c>
      <c r="F142" s="7" t="s">
        <v>1268</v>
      </c>
      <c r="G142" s="7" t="s">
        <v>1269</v>
      </c>
      <c r="H142" s="7" t="s">
        <v>1270</v>
      </c>
      <c r="I142" s="7" t="s">
        <v>1271</v>
      </c>
      <c r="J142" s="7" t="s">
        <v>682</v>
      </c>
    </row>
    <row r="143" spans="1:10">
      <c r="A143" s="7" t="s">
        <v>1272</v>
      </c>
      <c r="B143" s="7" t="s">
        <v>176</v>
      </c>
      <c r="C143" s="7" t="s">
        <v>716</v>
      </c>
      <c r="D143" s="7" t="s">
        <v>614</v>
      </c>
      <c r="E143" s="7" t="s">
        <v>1273</v>
      </c>
      <c r="F143" s="7" t="s">
        <v>1274</v>
      </c>
      <c r="G143" s="7" t="s">
        <v>1275</v>
      </c>
      <c r="H143" s="7" t="s">
        <v>1276</v>
      </c>
      <c r="I143" s="7" t="s">
        <v>320</v>
      </c>
      <c r="J143" s="7" t="s">
        <v>613</v>
      </c>
    </row>
    <row r="144" spans="1:10">
      <c r="A144" s="7" t="s">
        <v>1277</v>
      </c>
      <c r="B144" s="7" t="s">
        <v>514</v>
      </c>
      <c r="C144" s="7" t="s">
        <v>807</v>
      </c>
      <c r="D144" s="7" t="s">
        <v>614</v>
      </c>
      <c r="E144" s="7" t="s">
        <v>785</v>
      </c>
      <c r="F144" s="7" t="s">
        <v>1278</v>
      </c>
      <c r="G144" s="7" t="s">
        <v>1269</v>
      </c>
      <c r="H144" s="7" t="s">
        <v>1279</v>
      </c>
      <c r="I144" s="7" t="s">
        <v>1280</v>
      </c>
      <c r="J144" s="7" t="s">
        <v>682</v>
      </c>
    </row>
    <row r="145" spans="1:10">
      <c r="A145" s="7" t="s">
        <v>1281</v>
      </c>
      <c r="B145" s="7" t="s">
        <v>531</v>
      </c>
      <c r="C145" s="7" t="s">
        <v>876</v>
      </c>
      <c r="D145" s="7" t="s">
        <v>607</v>
      </c>
      <c r="E145" s="7" t="s">
        <v>1282</v>
      </c>
      <c r="F145" s="7" t="s">
        <v>1283</v>
      </c>
      <c r="G145" s="7" t="s">
        <v>1284</v>
      </c>
      <c r="H145" s="7" t="s">
        <v>1285</v>
      </c>
      <c r="I145" s="7" t="s">
        <v>1286</v>
      </c>
      <c r="J145" s="7" t="s">
        <v>754</v>
      </c>
    </row>
    <row r="146" spans="1:10">
      <c r="A146" s="7" t="s">
        <v>1287</v>
      </c>
      <c r="B146" s="7" t="s">
        <v>329</v>
      </c>
      <c r="C146" s="7" t="s">
        <v>909</v>
      </c>
      <c r="D146" s="7" t="s">
        <v>607</v>
      </c>
      <c r="E146" s="7" t="s">
        <v>666</v>
      </c>
      <c r="F146" s="7" t="s">
        <v>1288</v>
      </c>
      <c r="G146" s="7" t="s">
        <v>1289</v>
      </c>
      <c r="H146" s="7" t="s">
        <v>1290</v>
      </c>
      <c r="I146" s="7" t="s">
        <v>1291</v>
      </c>
      <c r="J146" s="7" t="s">
        <v>648</v>
      </c>
    </row>
    <row r="147" spans="1:10">
      <c r="A147" s="7" t="s">
        <v>1292</v>
      </c>
      <c r="B147" s="7" t="s">
        <v>182</v>
      </c>
      <c r="C147" s="7" t="s">
        <v>728</v>
      </c>
      <c r="D147" s="7" t="s">
        <v>607</v>
      </c>
      <c r="E147" s="7" t="s">
        <v>897</v>
      </c>
      <c r="F147" s="7" t="s">
        <v>1293</v>
      </c>
      <c r="G147" s="7" t="s">
        <v>706</v>
      </c>
      <c r="H147" s="7" t="s">
        <v>1294</v>
      </c>
      <c r="I147" s="7" t="s">
        <v>1295</v>
      </c>
      <c r="J147" s="7" t="s">
        <v>640</v>
      </c>
    </row>
    <row r="148" spans="1:10">
      <c r="A148" s="7" t="s">
        <v>1296</v>
      </c>
      <c r="B148" s="7" t="s">
        <v>472</v>
      </c>
      <c r="C148" s="7" t="s">
        <v>656</v>
      </c>
      <c r="D148" s="7" t="s">
        <v>627</v>
      </c>
      <c r="E148" s="7" t="s">
        <v>1297</v>
      </c>
      <c r="F148" s="7" t="s">
        <v>1298</v>
      </c>
      <c r="G148" s="7" t="s">
        <v>1077</v>
      </c>
      <c r="H148" s="7" t="s">
        <v>1299</v>
      </c>
      <c r="I148" s="7" t="s">
        <v>1300</v>
      </c>
      <c r="J148" s="7" t="s">
        <v>613</v>
      </c>
    </row>
    <row r="149" spans="1:10">
      <c r="A149" s="7" t="s">
        <v>1301</v>
      </c>
      <c r="B149" s="7" t="s">
        <v>277</v>
      </c>
      <c r="C149" s="7" t="s">
        <v>747</v>
      </c>
      <c r="D149" s="7" t="s">
        <v>622</v>
      </c>
      <c r="E149" s="7" t="s">
        <v>1302</v>
      </c>
      <c r="F149" s="7" t="s">
        <v>1303</v>
      </c>
      <c r="G149" s="7" t="s">
        <v>1304</v>
      </c>
      <c r="H149" s="7" t="s">
        <v>1305</v>
      </c>
      <c r="I149" s="7" t="s">
        <v>1306</v>
      </c>
      <c r="J149" s="7" t="s">
        <v>633</v>
      </c>
    </row>
    <row r="150" spans="1:10">
      <c r="A150" s="7" t="s">
        <v>1307</v>
      </c>
      <c r="B150" s="7" t="s">
        <v>51</v>
      </c>
      <c r="C150" s="7" t="s">
        <v>607</v>
      </c>
      <c r="D150" s="7" t="s">
        <v>622</v>
      </c>
      <c r="E150" s="7" t="s">
        <v>1308</v>
      </c>
      <c r="F150" s="7" t="s">
        <v>1309</v>
      </c>
      <c r="G150" s="7" t="s">
        <v>1310</v>
      </c>
      <c r="H150" s="7" t="s">
        <v>1311</v>
      </c>
      <c r="I150" s="7" t="s">
        <v>82</v>
      </c>
      <c r="J150" s="7" t="s">
        <v>754</v>
      </c>
    </row>
    <row r="151" spans="1:10">
      <c r="A151" s="7" t="s">
        <v>1312</v>
      </c>
      <c r="B151" s="7" t="s">
        <v>543</v>
      </c>
      <c r="C151" s="7" t="s">
        <v>664</v>
      </c>
      <c r="D151" s="7" t="s">
        <v>607</v>
      </c>
      <c r="E151" s="7" t="s">
        <v>645</v>
      </c>
      <c r="F151" s="7" t="s">
        <v>1313</v>
      </c>
      <c r="G151" s="7" t="s">
        <v>666</v>
      </c>
      <c r="H151" s="7" t="s">
        <v>1314</v>
      </c>
      <c r="I151" s="7" t="s">
        <v>1315</v>
      </c>
      <c r="J151" s="7" t="s">
        <v>648</v>
      </c>
    </row>
    <row r="152" spans="1:10">
      <c r="A152" s="7" t="s">
        <v>1316</v>
      </c>
      <c r="B152" s="7" t="s">
        <v>306</v>
      </c>
      <c r="C152" s="7" t="s">
        <v>657</v>
      </c>
      <c r="D152" s="7" t="s">
        <v>605</v>
      </c>
      <c r="E152" s="7" t="s">
        <v>1081</v>
      </c>
      <c r="F152" s="7" t="s">
        <v>1317</v>
      </c>
      <c r="G152" s="7" t="s">
        <v>921</v>
      </c>
      <c r="H152" s="7" t="s">
        <v>1318</v>
      </c>
      <c r="I152" s="7" t="s">
        <v>1319</v>
      </c>
      <c r="J152" s="7" t="s">
        <v>621</v>
      </c>
    </row>
    <row r="153" spans="1:10">
      <c r="A153" s="7" t="s">
        <v>1320</v>
      </c>
      <c r="B153" s="7" t="s">
        <v>496</v>
      </c>
      <c r="C153" s="7" t="s">
        <v>876</v>
      </c>
      <c r="D153" s="7" t="s">
        <v>614</v>
      </c>
      <c r="E153" s="7" t="s">
        <v>943</v>
      </c>
      <c r="F153" s="7" t="s">
        <v>1321</v>
      </c>
      <c r="G153" s="7" t="s">
        <v>610</v>
      </c>
      <c r="H153" s="7" t="s">
        <v>1322</v>
      </c>
      <c r="I153" s="7" t="s">
        <v>421</v>
      </c>
      <c r="J153" s="7" t="s">
        <v>754</v>
      </c>
    </row>
    <row r="154" spans="1:10">
      <c r="A154" s="7" t="s">
        <v>1323</v>
      </c>
      <c r="B154" s="7" t="s">
        <v>554</v>
      </c>
      <c r="C154" s="7" t="s">
        <v>676</v>
      </c>
      <c r="D154" s="7" t="s">
        <v>627</v>
      </c>
      <c r="E154" s="7" t="s">
        <v>693</v>
      </c>
      <c r="F154" s="7" t="s">
        <v>1324</v>
      </c>
      <c r="G154" s="7" t="s">
        <v>1269</v>
      </c>
      <c r="H154" s="7" t="s">
        <v>1325</v>
      </c>
      <c r="I154" s="7" t="s">
        <v>1326</v>
      </c>
      <c r="J154" s="7" t="s">
        <v>682</v>
      </c>
    </row>
    <row r="155" spans="1:10">
      <c r="A155" s="7" t="s">
        <v>1327</v>
      </c>
      <c r="B155" s="7" t="s">
        <v>295</v>
      </c>
      <c r="C155" s="7" t="s">
        <v>650</v>
      </c>
      <c r="D155" s="7" t="s">
        <v>607</v>
      </c>
      <c r="E155" s="7" t="s">
        <v>1328</v>
      </c>
      <c r="F155" s="7" t="s">
        <v>1329</v>
      </c>
      <c r="G155" s="7" t="s">
        <v>1330</v>
      </c>
      <c r="H155" s="7" t="s">
        <v>1331</v>
      </c>
      <c r="I155" s="7" t="s">
        <v>202</v>
      </c>
      <c r="J155" s="7" t="s">
        <v>633</v>
      </c>
    </row>
    <row r="156" spans="1:10">
      <c r="A156" s="7" t="s">
        <v>1332</v>
      </c>
      <c r="B156" s="7" t="s">
        <v>140</v>
      </c>
      <c r="C156" s="7" t="s">
        <v>716</v>
      </c>
      <c r="D156" s="7" t="s">
        <v>622</v>
      </c>
      <c r="E156" s="7" t="s">
        <v>1063</v>
      </c>
      <c r="F156" s="7" t="s">
        <v>1333</v>
      </c>
      <c r="G156" s="7" t="s">
        <v>744</v>
      </c>
      <c r="H156" s="7" t="s">
        <v>1334</v>
      </c>
      <c r="I156" s="7" t="s">
        <v>184</v>
      </c>
      <c r="J156" s="7" t="s">
        <v>613</v>
      </c>
    </row>
    <row r="157" spans="1:10">
      <c r="A157" s="7" t="s">
        <v>1335</v>
      </c>
      <c r="B157" s="7" t="s">
        <v>182</v>
      </c>
      <c r="C157" s="7" t="s">
        <v>849</v>
      </c>
      <c r="D157" s="7" t="s">
        <v>614</v>
      </c>
      <c r="E157" s="7" t="s">
        <v>733</v>
      </c>
      <c r="F157" s="7" t="s">
        <v>1336</v>
      </c>
      <c r="G157" s="7" t="s">
        <v>735</v>
      </c>
      <c r="H157" s="7" t="s">
        <v>1337</v>
      </c>
      <c r="I157" s="7" t="s">
        <v>1109</v>
      </c>
      <c r="J157" s="7" t="s">
        <v>613</v>
      </c>
    </row>
    <row r="158" spans="1:10">
      <c r="A158" s="7" t="s">
        <v>1338</v>
      </c>
      <c r="B158" s="7" t="s">
        <v>116</v>
      </c>
      <c r="C158" s="7" t="s">
        <v>802</v>
      </c>
      <c r="D158" s="7" t="s">
        <v>622</v>
      </c>
      <c r="E158" s="7" t="s">
        <v>670</v>
      </c>
      <c r="F158" s="7" t="s">
        <v>1339</v>
      </c>
      <c r="G158" s="7" t="s">
        <v>763</v>
      </c>
      <c r="H158" s="7" t="s">
        <v>1340</v>
      </c>
      <c r="I158" s="7" t="s">
        <v>914</v>
      </c>
      <c r="J158" s="7" t="s">
        <v>682</v>
      </c>
    </row>
    <row r="159" spans="1:10">
      <c r="A159" s="7" t="s">
        <v>1341</v>
      </c>
      <c r="B159" s="7" t="s">
        <v>45</v>
      </c>
      <c r="C159" s="7" t="s">
        <v>802</v>
      </c>
      <c r="D159" s="7" t="s">
        <v>614</v>
      </c>
      <c r="E159" s="7" t="s">
        <v>679</v>
      </c>
      <c r="F159" s="7" t="s">
        <v>1342</v>
      </c>
      <c r="G159" s="7" t="s">
        <v>672</v>
      </c>
      <c r="H159" s="7" t="s">
        <v>1343</v>
      </c>
      <c r="I159" s="7" t="s">
        <v>568</v>
      </c>
      <c r="J159" s="7" t="s">
        <v>682</v>
      </c>
    </row>
    <row r="160" spans="1:10">
      <c r="A160" s="7" t="s">
        <v>1344</v>
      </c>
      <c r="B160" s="7" t="s">
        <v>560</v>
      </c>
      <c r="C160" s="7" t="s">
        <v>657</v>
      </c>
      <c r="D160" s="7" t="s">
        <v>622</v>
      </c>
      <c r="E160" s="7" t="s">
        <v>739</v>
      </c>
      <c r="F160" s="7" t="s">
        <v>1345</v>
      </c>
      <c r="G160" s="7" t="s">
        <v>817</v>
      </c>
      <c r="H160" s="7" t="s">
        <v>1346</v>
      </c>
      <c r="I160" s="7" t="s">
        <v>226</v>
      </c>
      <c r="J160" s="7" t="s">
        <v>621</v>
      </c>
    </row>
    <row r="161" spans="1:10">
      <c r="A161" s="7" t="s">
        <v>1347</v>
      </c>
      <c r="B161" s="7" t="s">
        <v>224</v>
      </c>
      <c r="C161" s="7" t="s">
        <v>806</v>
      </c>
      <c r="D161" s="7" t="s">
        <v>622</v>
      </c>
      <c r="E161" s="7" t="s">
        <v>1348</v>
      </c>
      <c r="F161" s="7" t="s">
        <v>1349</v>
      </c>
      <c r="G161" s="7" t="s">
        <v>833</v>
      </c>
      <c r="H161" s="7" t="s">
        <v>1350</v>
      </c>
      <c r="I161" s="7" t="s">
        <v>721</v>
      </c>
      <c r="J161" s="7" t="s">
        <v>633</v>
      </c>
    </row>
    <row r="162" spans="1:10">
      <c r="A162" s="7" t="s">
        <v>1351</v>
      </c>
      <c r="B162" s="7" t="s">
        <v>324</v>
      </c>
      <c r="C162" s="7" t="s">
        <v>634</v>
      </c>
      <c r="D162" s="7" t="s">
        <v>622</v>
      </c>
      <c r="E162" s="7" t="s">
        <v>897</v>
      </c>
      <c r="F162" s="7" t="s">
        <v>1352</v>
      </c>
      <c r="G162" s="7" t="s">
        <v>730</v>
      </c>
      <c r="H162" s="7" t="s">
        <v>1353</v>
      </c>
      <c r="I162" s="7" t="s">
        <v>250</v>
      </c>
      <c r="J162" s="7" t="s">
        <v>640</v>
      </c>
    </row>
    <row r="163" spans="1:10">
      <c r="A163" s="7" t="s">
        <v>1354</v>
      </c>
      <c r="B163" s="7" t="s">
        <v>301</v>
      </c>
      <c r="C163" s="7" t="s">
        <v>894</v>
      </c>
      <c r="D163" s="7" t="s">
        <v>622</v>
      </c>
      <c r="E163" s="7" t="s">
        <v>888</v>
      </c>
      <c r="F163" s="7" t="s">
        <v>1355</v>
      </c>
      <c r="G163" s="7" t="s">
        <v>1246</v>
      </c>
      <c r="H163" s="7" t="s">
        <v>1356</v>
      </c>
      <c r="I163" s="7" t="s">
        <v>1357</v>
      </c>
      <c r="J163" s="7" t="s">
        <v>648</v>
      </c>
    </row>
    <row r="164" spans="1:10">
      <c r="A164" s="7" t="s">
        <v>1358</v>
      </c>
      <c r="B164" s="7" t="s">
        <v>490</v>
      </c>
      <c r="C164" s="7" t="s">
        <v>830</v>
      </c>
      <c r="D164" s="7" t="s">
        <v>627</v>
      </c>
      <c r="E164" s="7" t="s">
        <v>1219</v>
      </c>
      <c r="F164" s="7" t="s">
        <v>1359</v>
      </c>
      <c r="G164" s="7" t="s">
        <v>1360</v>
      </c>
      <c r="H164" s="7" t="s">
        <v>1361</v>
      </c>
      <c r="I164" s="7" t="s">
        <v>1362</v>
      </c>
      <c r="J164" s="7" t="s">
        <v>613</v>
      </c>
    </row>
    <row r="165" spans="1:10">
      <c r="A165" s="7" t="s">
        <v>1363</v>
      </c>
      <c r="B165" s="7" t="s">
        <v>373</v>
      </c>
      <c r="C165" s="7" t="s">
        <v>628</v>
      </c>
      <c r="D165" s="7" t="s">
        <v>607</v>
      </c>
      <c r="E165" s="7" t="s">
        <v>795</v>
      </c>
      <c r="F165" s="7" t="s">
        <v>1364</v>
      </c>
      <c r="G165" s="7" t="s">
        <v>1225</v>
      </c>
      <c r="H165" s="7" t="s">
        <v>1365</v>
      </c>
      <c r="I165" s="7" t="s">
        <v>47</v>
      </c>
      <c r="J165" s="7" t="s">
        <v>633</v>
      </c>
    </row>
    <row r="166" spans="1:10">
      <c r="A166" s="7" t="s">
        <v>1366</v>
      </c>
      <c r="B166" s="7" t="s">
        <v>345</v>
      </c>
      <c r="C166" s="7" t="s">
        <v>824</v>
      </c>
      <c r="D166" s="7" t="s">
        <v>607</v>
      </c>
      <c r="E166" s="7" t="s">
        <v>1367</v>
      </c>
      <c r="F166" s="7" t="s">
        <v>1368</v>
      </c>
      <c r="G166" s="7" t="s">
        <v>1369</v>
      </c>
      <c r="H166" s="7" t="s">
        <v>1370</v>
      </c>
      <c r="I166" s="7" t="s">
        <v>1371</v>
      </c>
      <c r="J166" s="7" t="s">
        <v>613</v>
      </c>
    </row>
    <row r="167" spans="1:10">
      <c r="A167" s="7" t="s">
        <v>1372</v>
      </c>
      <c r="B167" s="7" t="s">
        <v>212</v>
      </c>
      <c r="C167" s="7" t="s">
        <v>627</v>
      </c>
      <c r="D167" s="7" t="s">
        <v>622</v>
      </c>
      <c r="E167" s="7" t="s">
        <v>616</v>
      </c>
      <c r="F167" s="7" t="s">
        <v>1373</v>
      </c>
      <c r="G167" s="7" t="s">
        <v>921</v>
      </c>
      <c r="H167" s="7" t="s">
        <v>1374</v>
      </c>
      <c r="I167" s="7" t="s">
        <v>1375</v>
      </c>
      <c r="J167" s="7" t="s">
        <v>621</v>
      </c>
    </row>
    <row r="168" spans="1:10">
      <c r="A168" s="7" t="s">
        <v>1376</v>
      </c>
      <c r="B168" s="7" t="s">
        <v>116</v>
      </c>
      <c r="C168" s="7" t="s">
        <v>811</v>
      </c>
      <c r="D168" s="7" t="s">
        <v>627</v>
      </c>
      <c r="E168" s="7" t="s">
        <v>712</v>
      </c>
      <c r="F168" s="7" t="s">
        <v>1377</v>
      </c>
      <c r="G168" s="7" t="s">
        <v>616</v>
      </c>
      <c r="H168" s="7" t="s">
        <v>1378</v>
      </c>
      <c r="I168" s="7" t="s">
        <v>871</v>
      </c>
      <c r="J168" s="7" t="s">
        <v>621</v>
      </c>
    </row>
    <row r="169" spans="1:10">
      <c r="A169" s="7" t="s">
        <v>1379</v>
      </c>
      <c r="B169" s="7" t="s">
        <v>543</v>
      </c>
      <c r="C169" s="7" t="s">
        <v>802</v>
      </c>
      <c r="D169" s="7" t="s">
        <v>614</v>
      </c>
      <c r="E169" s="7" t="s">
        <v>693</v>
      </c>
      <c r="F169" s="7" t="s">
        <v>1380</v>
      </c>
      <c r="G169" s="7" t="s">
        <v>724</v>
      </c>
      <c r="H169" s="7" t="s">
        <v>1381</v>
      </c>
      <c r="I169" s="7" t="s">
        <v>1315</v>
      </c>
      <c r="J169" s="7" t="s">
        <v>682</v>
      </c>
    </row>
    <row r="170" spans="1:10">
      <c r="A170" s="7" t="s">
        <v>1382</v>
      </c>
      <c r="B170" s="7" t="s">
        <v>306</v>
      </c>
      <c r="C170" s="7" t="s">
        <v>622</v>
      </c>
      <c r="D170" s="7" t="s">
        <v>614</v>
      </c>
      <c r="E170" s="7" t="s">
        <v>1383</v>
      </c>
      <c r="F170" s="7" t="s">
        <v>1384</v>
      </c>
      <c r="G170" s="7" t="s">
        <v>706</v>
      </c>
      <c r="H170" s="7" t="s">
        <v>1385</v>
      </c>
      <c r="I170" s="7" t="s">
        <v>981</v>
      </c>
      <c r="J170" s="7" t="s">
        <v>640</v>
      </c>
    </row>
    <row r="171" spans="1:10">
      <c r="A171" s="7" t="s">
        <v>1386</v>
      </c>
      <c r="B171" s="7" t="s">
        <v>242</v>
      </c>
      <c r="C171" s="7" t="s">
        <v>732</v>
      </c>
      <c r="D171" s="7" t="s">
        <v>614</v>
      </c>
      <c r="E171" s="7" t="s">
        <v>1387</v>
      </c>
      <c r="F171" s="7" t="s">
        <v>1388</v>
      </c>
      <c r="G171" s="7" t="s">
        <v>1389</v>
      </c>
      <c r="H171" s="7" t="s">
        <v>1390</v>
      </c>
      <c r="I171" s="7" t="s">
        <v>238</v>
      </c>
      <c r="J171" s="7" t="s">
        <v>633</v>
      </c>
    </row>
    <row r="172" spans="1:10">
      <c r="A172" s="7" t="s">
        <v>1391</v>
      </c>
      <c r="B172" s="7" t="s">
        <v>419</v>
      </c>
      <c r="C172" s="7" t="s">
        <v>830</v>
      </c>
      <c r="D172" s="7" t="s">
        <v>622</v>
      </c>
      <c r="E172" s="7" t="s">
        <v>1392</v>
      </c>
      <c r="F172" s="7" t="s">
        <v>1393</v>
      </c>
      <c r="G172" s="7" t="s">
        <v>1394</v>
      </c>
      <c r="H172" s="7" t="s">
        <v>1395</v>
      </c>
      <c r="I172" s="7" t="s">
        <v>1396</v>
      </c>
      <c r="J172" s="7" t="s">
        <v>613</v>
      </c>
    </row>
    <row r="173" spans="1:10">
      <c r="A173" s="7" t="s">
        <v>1397</v>
      </c>
      <c r="B173" s="7" t="s">
        <v>414</v>
      </c>
      <c r="C173" s="7" t="s">
        <v>723</v>
      </c>
      <c r="D173" s="7" t="s">
        <v>627</v>
      </c>
      <c r="E173" s="7" t="s">
        <v>679</v>
      </c>
      <c r="F173" s="7" t="s">
        <v>1398</v>
      </c>
      <c r="G173" s="7" t="s">
        <v>672</v>
      </c>
      <c r="H173" s="7" t="s">
        <v>1399</v>
      </c>
      <c r="I173" s="7" t="s">
        <v>1400</v>
      </c>
      <c r="J173" s="7" t="s">
        <v>682</v>
      </c>
    </row>
    <row r="174" spans="1:10">
      <c r="A174" s="7" t="s">
        <v>1401</v>
      </c>
      <c r="B174" s="7" t="s">
        <v>425</v>
      </c>
      <c r="C174" s="7" t="s">
        <v>634</v>
      </c>
      <c r="D174" s="7" t="s">
        <v>614</v>
      </c>
      <c r="E174" s="7" t="s">
        <v>1158</v>
      </c>
      <c r="F174" s="7" t="s">
        <v>1402</v>
      </c>
      <c r="G174" s="7" t="s">
        <v>897</v>
      </c>
      <c r="H174" s="7" t="s">
        <v>1403</v>
      </c>
      <c r="I174" s="7" t="s">
        <v>556</v>
      </c>
      <c r="J174" s="7" t="s">
        <v>640</v>
      </c>
    </row>
    <row r="175" spans="1:10">
      <c r="A175" s="7" t="s">
        <v>1404</v>
      </c>
      <c r="B175" s="7" t="s">
        <v>289</v>
      </c>
      <c r="C175" s="7" t="s">
        <v>627</v>
      </c>
      <c r="D175" s="7" t="s">
        <v>622</v>
      </c>
      <c r="E175" s="7" t="s">
        <v>1081</v>
      </c>
      <c r="F175" s="7" t="s">
        <v>1405</v>
      </c>
      <c r="G175" s="7" t="s">
        <v>618</v>
      </c>
      <c r="H175" s="7" t="s">
        <v>1406</v>
      </c>
      <c r="I175" s="7" t="s">
        <v>1037</v>
      </c>
      <c r="J175" s="7" t="s">
        <v>621</v>
      </c>
    </row>
    <row r="176" spans="1:10">
      <c r="A176" s="7" t="s">
        <v>1407</v>
      </c>
      <c r="B176" s="7" t="s">
        <v>254</v>
      </c>
      <c r="C176" s="7" t="s">
        <v>784</v>
      </c>
      <c r="D176" s="7" t="s">
        <v>605</v>
      </c>
      <c r="E176" s="7" t="s">
        <v>1192</v>
      </c>
      <c r="F176" s="7" t="s">
        <v>1408</v>
      </c>
      <c r="G176" s="7" t="s">
        <v>1409</v>
      </c>
      <c r="H176" s="7" t="s">
        <v>1410</v>
      </c>
      <c r="I176" s="7" t="s">
        <v>1411</v>
      </c>
      <c r="J176" s="7" t="s">
        <v>754</v>
      </c>
    </row>
    <row r="177" spans="1:10">
      <c r="A177" s="7" t="s">
        <v>1412</v>
      </c>
      <c r="B177" s="7" t="s">
        <v>236</v>
      </c>
      <c r="C177" s="7" t="s">
        <v>711</v>
      </c>
      <c r="D177" s="7" t="s">
        <v>614</v>
      </c>
      <c r="E177" s="7" t="s">
        <v>1269</v>
      </c>
      <c r="F177" s="7" t="s">
        <v>1413</v>
      </c>
      <c r="G177" s="7" t="s">
        <v>1414</v>
      </c>
      <c r="H177" s="7" t="s">
        <v>1415</v>
      </c>
      <c r="I177" s="7" t="s">
        <v>721</v>
      </c>
      <c r="J177" s="7" t="s">
        <v>613</v>
      </c>
    </row>
    <row r="178" spans="1:10">
      <c r="A178" s="7" t="s">
        <v>1416</v>
      </c>
      <c r="B178" s="7" t="s">
        <v>502</v>
      </c>
      <c r="C178" s="7" t="s">
        <v>723</v>
      </c>
      <c r="D178" s="7" t="s">
        <v>627</v>
      </c>
      <c r="E178" s="7" t="s">
        <v>610</v>
      </c>
      <c r="F178" s="7" t="s">
        <v>1417</v>
      </c>
      <c r="G178" s="7" t="s">
        <v>724</v>
      </c>
      <c r="H178" s="7" t="s">
        <v>1418</v>
      </c>
      <c r="I178" s="7" t="s">
        <v>358</v>
      </c>
      <c r="J178" s="7" t="s">
        <v>682</v>
      </c>
    </row>
    <row r="179" spans="1:10">
      <c r="A179" s="7" t="s">
        <v>1419</v>
      </c>
      <c r="B179" s="7" t="s">
        <v>572</v>
      </c>
      <c r="C179" s="7" t="s">
        <v>849</v>
      </c>
      <c r="D179" s="7" t="s">
        <v>605</v>
      </c>
      <c r="E179" s="7" t="s">
        <v>660</v>
      </c>
      <c r="F179" s="7" t="s">
        <v>1420</v>
      </c>
      <c r="G179" s="7" t="s">
        <v>866</v>
      </c>
      <c r="H179" s="7" t="s">
        <v>1421</v>
      </c>
      <c r="I179" s="7" t="s">
        <v>468</v>
      </c>
      <c r="J179" s="7" t="s">
        <v>613</v>
      </c>
    </row>
    <row r="180" spans="1:10">
      <c r="A180" s="7" t="s">
        <v>1422</v>
      </c>
      <c r="B180" s="7" t="s">
        <v>460</v>
      </c>
      <c r="C180" s="7" t="s">
        <v>860</v>
      </c>
      <c r="D180" s="7" t="s">
        <v>622</v>
      </c>
      <c r="E180" s="7" t="s">
        <v>785</v>
      </c>
      <c r="F180" s="7" t="s">
        <v>1423</v>
      </c>
      <c r="G180" s="7" t="s">
        <v>1269</v>
      </c>
      <c r="H180" s="7" t="s">
        <v>1424</v>
      </c>
      <c r="I180" s="7" t="s">
        <v>727</v>
      </c>
      <c r="J180" s="7" t="s">
        <v>682</v>
      </c>
    </row>
    <row r="181" spans="1:10">
      <c r="A181" s="7" t="s">
        <v>1425</v>
      </c>
      <c r="B181" s="7" t="s">
        <v>345</v>
      </c>
      <c r="C181" s="7" t="s">
        <v>894</v>
      </c>
      <c r="D181" s="7" t="s">
        <v>614</v>
      </c>
      <c r="E181" s="7" t="s">
        <v>1426</v>
      </c>
      <c r="F181" s="7" t="s">
        <v>1427</v>
      </c>
      <c r="G181" s="7" t="s">
        <v>888</v>
      </c>
      <c r="H181" s="7" t="s">
        <v>1428</v>
      </c>
      <c r="I181" s="7" t="s">
        <v>527</v>
      </c>
      <c r="J181" s="7" t="s">
        <v>648</v>
      </c>
    </row>
    <row r="182" spans="1:10">
      <c r="A182" s="7" t="s">
        <v>1429</v>
      </c>
      <c r="B182" s="7" t="s">
        <v>379</v>
      </c>
      <c r="C182" s="7" t="s">
        <v>668</v>
      </c>
      <c r="D182" s="7" t="s">
        <v>627</v>
      </c>
      <c r="E182" s="7" t="s">
        <v>966</v>
      </c>
      <c r="F182" s="7" t="s">
        <v>1430</v>
      </c>
      <c r="G182" s="7" t="s">
        <v>1431</v>
      </c>
      <c r="H182" s="7" t="s">
        <v>1432</v>
      </c>
      <c r="I182" s="7" t="s">
        <v>1169</v>
      </c>
      <c r="J182" s="7" t="s">
        <v>633</v>
      </c>
    </row>
    <row r="183" spans="1:10">
      <c r="A183" s="7" t="s">
        <v>1433</v>
      </c>
      <c r="B183" s="7" t="s">
        <v>414</v>
      </c>
      <c r="C183" s="7" t="s">
        <v>614</v>
      </c>
      <c r="D183" s="7" t="s">
        <v>605</v>
      </c>
      <c r="E183" s="7" t="s">
        <v>895</v>
      </c>
      <c r="F183" s="7" t="s">
        <v>1434</v>
      </c>
      <c r="G183" s="7" t="s">
        <v>814</v>
      </c>
      <c r="H183" s="7" t="s">
        <v>1435</v>
      </c>
      <c r="I183" s="7" t="s">
        <v>1436</v>
      </c>
      <c r="J183" s="7" t="s">
        <v>640</v>
      </c>
    </row>
    <row r="184" spans="1:10">
      <c r="A184" s="7" t="s">
        <v>1437</v>
      </c>
      <c r="B184" s="7" t="s">
        <v>484</v>
      </c>
      <c r="C184" s="7" t="s">
        <v>825</v>
      </c>
      <c r="D184" s="7" t="s">
        <v>622</v>
      </c>
      <c r="E184" s="7" t="s">
        <v>739</v>
      </c>
      <c r="F184" s="7" t="s">
        <v>1438</v>
      </c>
      <c r="G184" s="7" t="s">
        <v>817</v>
      </c>
      <c r="H184" s="7" t="s">
        <v>1439</v>
      </c>
      <c r="I184" s="7" t="s">
        <v>1440</v>
      </c>
      <c r="J184" s="7" t="s">
        <v>621</v>
      </c>
    </row>
    <row r="185" spans="1:10">
      <c r="A185" s="7" t="s">
        <v>1441</v>
      </c>
      <c r="B185" s="7" t="s">
        <v>164</v>
      </c>
      <c r="C185" s="7" t="s">
        <v>728</v>
      </c>
      <c r="D185" s="7" t="s">
        <v>622</v>
      </c>
      <c r="E185" s="7" t="s">
        <v>635</v>
      </c>
      <c r="F185" s="7" t="s">
        <v>1442</v>
      </c>
      <c r="G185" s="7" t="s">
        <v>708</v>
      </c>
      <c r="H185" s="7" t="s">
        <v>1443</v>
      </c>
      <c r="I185" s="7" t="s">
        <v>1211</v>
      </c>
      <c r="J185" s="7" t="s">
        <v>640</v>
      </c>
    </row>
    <row r="186" spans="1:10">
      <c r="A186" s="7" t="s">
        <v>1444</v>
      </c>
      <c r="B186" s="7" t="s">
        <v>403</v>
      </c>
      <c r="C186" s="7" t="s">
        <v>715</v>
      </c>
      <c r="D186" s="7" t="s">
        <v>605</v>
      </c>
      <c r="E186" s="7" t="s">
        <v>1445</v>
      </c>
      <c r="F186" s="7" t="s">
        <v>1446</v>
      </c>
      <c r="G186" s="7" t="s">
        <v>1096</v>
      </c>
      <c r="H186" s="7" t="s">
        <v>1447</v>
      </c>
      <c r="I186" s="7" t="s">
        <v>492</v>
      </c>
      <c r="J186" s="7" t="s">
        <v>633</v>
      </c>
    </row>
    <row r="187" spans="1:10">
      <c r="A187" s="7" t="s">
        <v>1448</v>
      </c>
      <c r="B187" s="7" t="s">
        <v>289</v>
      </c>
      <c r="C187" s="7" t="s">
        <v>849</v>
      </c>
      <c r="D187" s="7" t="s">
        <v>605</v>
      </c>
      <c r="E187" s="7" t="s">
        <v>1094</v>
      </c>
      <c r="F187" s="7" t="s">
        <v>1449</v>
      </c>
      <c r="G187" s="7" t="s">
        <v>1259</v>
      </c>
      <c r="H187" s="7" t="s">
        <v>1450</v>
      </c>
      <c r="I187" s="7" t="s">
        <v>779</v>
      </c>
      <c r="J187" s="7" t="s">
        <v>613</v>
      </c>
    </row>
    <row r="188" spans="1:10">
      <c r="A188" s="7" t="s">
        <v>1451</v>
      </c>
      <c r="B188" s="7" t="s">
        <v>51</v>
      </c>
      <c r="C188" s="7" t="s">
        <v>839</v>
      </c>
      <c r="D188" s="7" t="s">
        <v>607</v>
      </c>
      <c r="E188" s="7" t="s">
        <v>635</v>
      </c>
      <c r="F188" s="7" t="s">
        <v>1452</v>
      </c>
      <c r="G188" s="7" t="s">
        <v>706</v>
      </c>
      <c r="H188" s="7" t="s">
        <v>1453</v>
      </c>
      <c r="I188" s="7" t="s">
        <v>1454</v>
      </c>
      <c r="J188" s="7" t="s">
        <v>640</v>
      </c>
    </row>
    <row r="189" spans="1:10">
      <c r="A189" s="7" t="s">
        <v>1455</v>
      </c>
      <c r="B189" s="7" t="s">
        <v>397</v>
      </c>
      <c r="C189" s="7" t="s">
        <v>738</v>
      </c>
      <c r="D189" s="7" t="s">
        <v>607</v>
      </c>
      <c r="E189" s="7" t="s">
        <v>1456</v>
      </c>
      <c r="F189" s="7" t="s">
        <v>1457</v>
      </c>
      <c r="G189" s="7" t="s">
        <v>1458</v>
      </c>
      <c r="H189" s="7" t="s">
        <v>1459</v>
      </c>
      <c r="I189" s="7" t="s">
        <v>166</v>
      </c>
      <c r="J189" s="7" t="s">
        <v>754</v>
      </c>
    </row>
    <row r="190" spans="1:10">
      <c r="A190" s="7" t="s">
        <v>1460</v>
      </c>
      <c r="B190" s="7" t="s">
        <v>98</v>
      </c>
      <c r="C190" s="7" t="s">
        <v>901</v>
      </c>
      <c r="D190" s="7" t="s">
        <v>605</v>
      </c>
      <c r="E190" s="7" t="s">
        <v>1461</v>
      </c>
      <c r="F190" s="7" t="s">
        <v>1462</v>
      </c>
      <c r="G190" s="7" t="s">
        <v>1463</v>
      </c>
      <c r="H190" s="7" t="s">
        <v>1464</v>
      </c>
      <c r="I190" s="7" t="s">
        <v>381</v>
      </c>
      <c r="J190" s="7" t="s">
        <v>633</v>
      </c>
    </row>
    <row r="191" spans="1:10">
      <c r="A191" s="7" t="s">
        <v>1465</v>
      </c>
      <c r="B191" s="7" t="s">
        <v>566</v>
      </c>
      <c r="C191" s="7" t="s">
        <v>696</v>
      </c>
      <c r="D191" s="7" t="s">
        <v>607</v>
      </c>
      <c r="E191" s="7" t="s">
        <v>739</v>
      </c>
      <c r="F191" s="7" t="s">
        <v>1466</v>
      </c>
      <c r="G191" s="7" t="s">
        <v>618</v>
      </c>
      <c r="H191" s="7" t="s">
        <v>1467</v>
      </c>
      <c r="I191" s="7" t="s">
        <v>919</v>
      </c>
      <c r="J191" s="7" t="s">
        <v>621</v>
      </c>
    </row>
    <row r="192" spans="1:10">
      <c r="A192" s="7" t="s">
        <v>1468</v>
      </c>
      <c r="B192" s="7" t="s">
        <v>75</v>
      </c>
      <c r="C192" s="7" t="s">
        <v>747</v>
      </c>
      <c r="D192" s="7" t="s">
        <v>622</v>
      </c>
      <c r="E192" s="7" t="s">
        <v>1469</v>
      </c>
      <c r="F192" s="7" t="s">
        <v>1470</v>
      </c>
      <c r="G192" s="7" t="s">
        <v>1471</v>
      </c>
      <c r="H192" s="7" t="s">
        <v>1472</v>
      </c>
      <c r="I192" s="7" t="s">
        <v>1473</v>
      </c>
      <c r="J192" s="7" t="s">
        <v>633</v>
      </c>
    </row>
    <row r="193" spans="1:10">
      <c r="A193" s="7" t="s">
        <v>1474</v>
      </c>
      <c r="B193" s="7" t="s">
        <v>356</v>
      </c>
      <c r="C193" s="7" t="s">
        <v>931</v>
      </c>
      <c r="D193" s="7" t="s">
        <v>607</v>
      </c>
      <c r="E193" s="7" t="s">
        <v>643</v>
      </c>
      <c r="F193" s="7" t="s">
        <v>1475</v>
      </c>
      <c r="G193" s="7" t="s">
        <v>1476</v>
      </c>
      <c r="H193" s="7" t="s">
        <v>1477</v>
      </c>
      <c r="I193" s="7" t="s">
        <v>727</v>
      </c>
      <c r="J193" s="7" t="s">
        <v>648</v>
      </c>
    </row>
    <row r="194" spans="1:10">
      <c r="A194" s="7" t="s">
        <v>1478</v>
      </c>
      <c r="B194" s="7" t="s">
        <v>230</v>
      </c>
      <c r="C194" s="7" t="s">
        <v>748</v>
      </c>
      <c r="D194" s="7" t="s">
        <v>627</v>
      </c>
      <c r="E194" s="7" t="s">
        <v>1479</v>
      </c>
      <c r="F194" s="7" t="s">
        <v>1480</v>
      </c>
      <c r="G194" s="7" t="s">
        <v>1481</v>
      </c>
      <c r="H194" s="7" t="s">
        <v>1482</v>
      </c>
      <c r="I194" s="7" t="s">
        <v>655</v>
      </c>
      <c r="J194" s="7" t="s">
        <v>754</v>
      </c>
    </row>
    <row r="195" spans="1:10">
      <c r="A195" s="7" t="s">
        <v>1483</v>
      </c>
      <c r="B195" s="7" t="s">
        <v>182</v>
      </c>
      <c r="C195" s="7" t="s">
        <v>634</v>
      </c>
      <c r="D195" s="7" t="s">
        <v>627</v>
      </c>
      <c r="E195" s="7" t="s">
        <v>895</v>
      </c>
      <c r="F195" s="7" t="s">
        <v>1484</v>
      </c>
      <c r="G195" s="7" t="s">
        <v>733</v>
      </c>
      <c r="H195" s="7" t="s">
        <v>1485</v>
      </c>
      <c r="I195" s="7" t="s">
        <v>1486</v>
      </c>
      <c r="J195" s="7" t="s">
        <v>640</v>
      </c>
    </row>
    <row r="196" spans="1:10">
      <c r="A196" s="7" t="s">
        <v>1487</v>
      </c>
      <c r="B196" s="7" t="s">
        <v>224</v>
      </c>
      <c r="C196" s="7" t="s">
        <v>606</v>
      </c>
      <c r="D196" s="7" t="s">
        <v>607</v>
      </c>
      <c r="E196" s="7" t="s">
        <v>1488</v>
      </c>
      <c r="F196" s="7" t="s">
        <v>1489</v>
      </c>
      <c r="G196" s="7" t="s">
        <v>1490</v>
      </c>
      <c r="H196" s="7" t="s">
        <v>1491</v>
      </c>
      <c r="I196" s="7" t="s">
        <v>875</v>
      </c>
      <c r="J196" s="7" t="s">
        <v>613</v>
      </c>
    </row>
    <row r="197" spans="1:10">
      <c r="A197" s="7" t="s">
        <v>1492</v>
      </c>
      <c r="B197" s="7" t="s">
        <v>373</v>
      </c>
      <c r="C197" s="7" t="s">
        <v>756</v>
      </c>
      <c r="D197" s="7" t="s">
        <v>614</v>
      </c>
      <c r="E197" s="7" t="s">
        <v>991</v>
      </c>
      <c r="F197" s="7" t="s">
        <v>1493</v>
      </c>
      <c r="G197" s="7" t="s">
        <v>993</v>
      </c>
      <c r="H197" s="7" t="s">
        <v>1494</v>
      </c>
      <c r="I197" s="7" t="s">
        <v>1495</v>
      </c>
      <c r="J197" s="7" t="s">
        <v>613</v>
      </c>
    </row>
    <row r="198" spans="1:10">
      <c r="A198" s="7" t="s">
        <v>1496</v>
      </c>
      <c r="B198" s="7" t="s">
        <v>560</v>
      </c>
      <c r="C198" s="7" t="s">
        <v>650</v>
      </c>
      <c r="D198" s="7" t="s">
        <v>614</v>
      </c>
      <c r="E198" s="7" t="s">
        <v>1497</v>
      </c>
      <c r="F198" s="7" t="s">
        <v>1498</v>
      </c>
      <c r="G198" s="7" t="s">
        <v>1499</v>
      </c>
      <c r="H198" s="7" t="s">
        <v>1500</v>
      </c>
      <c r="I198" s="7" t="s">
        <v>1473</v>
      </c>
      <c r="J198" s="7" t="s">
        <v>633</v>
      </c>
    </row>
    <row r="199" spans="1:10">
      <c r="A199" s="7" t="s">
        <v>1501</v>
      </c>
      <c r="B199" s="7" t="s">
        <v>531</v>
      </c>
      <c r="C199" s="7" t="s">
        <v>747</v>
      </c>
      <c r="D199" s="7" t="s">
        <v>614</v>
      </c>
      <c r="E199" s="7" t="s">
        <v>888</v>
      </c>
      <c r="F199" s="7" t="s">
        <v>1502</v>
      </c>
      <c r="G199" s="7" t="s">
        <v>1503</v>
      </c>
      <c r="H199" s="7" t="s">
        <v>1504</v>
      </c>
      <c r="I199" s="7" t="s">
        <v>591</v>
      </c>
      <c r="J199" s="7" t="s">
        <v>633</v>
      </c>
    </row>
    <row r="200" spans="1:10">
      <c r="A200" s="7" t="s">
        <v>1505</v>
      </c>
      <c r="B200" s="7" t="s">
        <v>548</v>
      </c>
      <c r="C200" s="7" t="s">
        <v>959</v>
      </c>
      <c r="D200" s="7" t="s">
        <v>607</v>
      </c>
      <c r="E200" s="7" t="s">
        <v>1479</v>
      </c>
      <c r="F200" s="7" t="s">
        <v>1506</v>
      </c>
      <c r="G200" s="7" t="s">
        <v>1481</v>
      </c>
      <c r="H200" s="7" t="s">
        <v>1507</v>
      </c>
      <c r="I200" s="7" t="s">
        <v>1508</v>
      </c>
      <c r="J200" s="7" t="s">
        <v>633</v>
      </c>
    </row>
    <row r="201" spans="1:10">
      <c r="A201" s="7" t="s">
        <v>1509</v>
      </c>
      <c r="B201" s="7" t="s">
        <v>397</v>
      </c>
      <c r="C201" s="7" t="s">
        <v>716</v>
      </c>
      <c r="D201" s="7" t="s">
        <v>607</v>
      </c>
      <c r="E201" s="7" t="s">
        <v>1510</v>
      </c>
      <c r="F201" s="7" t="s">
        <v>1511</v>
      </c>
      <c r="G201" s="7" t="s">
        <v>1512</v>
      </c>
      <c r="H201" s="7" t="s">
        <v>1513</v>
      </c>
      <c r="I201" s="7" t="s">
        <v>881</v>
      </c>
      <c r="J201" s="7" t="s">
        <v>613</v>
      </c>
    </row>
    <row r="202" spans="1:10">
      <c r="A202" s="7" t="s">
        <v>1514</v>
      </c>
      <c r="B202" s="7" t="s">
        <v>27</v>
      </c>
      <c r="C202" s="7" t="s">
        <v>894</v>
      </c>
      <c r="D202" s="7" t="s">
        <v>627</v>
      </c>
      <c r="E202" s="7" t="s">
        <v>1426</v>
      </c>
      <c r="F202" s="7" t="s">
        <v>1515</v>
      </c>
      <c r="G202" s="7" t="s">
        <v>703</v>
      </c>
      <c r="H202" s="7" t="s">
        <v>1516</v>
      </c>
      <c r="I202" s="7" t="s">
        <v>1517</v>
      </c>
      <c r="J202" s="7" t="s">
        <v>648</v>
      </c>
    </row>
    <row r="203" spans="1:10">
      <c r="A203" s="7" t="s">
        <v>1518</v>
      </c>
      <c r="B203" s="7" t="s">
        <v>525</v>
      </c>
      <c r="C203" s="7" t="s">
        <v>806</v>
      </c>
      <c r="D203" s="7" t="s">
        <v>607</v>
      </c>
      <c r="E203" s="7" t="s">
        <v>846</v>
      </c>
      <c r="F203" s="7" t="s">
        <v>1519</v>
      </c>
      <c r="G203" s="7" t="s">
        <v>1520</v>
      </c>
      <c r="H203" s="7" t="s">
        <v>1521</v>
      </c>
      <c r="I203" s="7" t="s">
        <v>1522</v>
      </c>
      <c r="J203" s="7" t="s">
        <v>633</v>
      </c>
    </row>
    <row r="204" spans="1:10">
      <c r="A204" s="7" t="s">
        <v>1523</v>
      </c>
      <c r="B204" s="7" t="s">
        <v>236</v>
      </c>
      <c r="C204" s="7" t="s">
        <v>663</v>
      </c>
      <c r="D204" s="7" t="s">
        <v>607</v>
      </c>
      <c r="E204" s="7" t="s">
        <v>666</v>
      </c>
      <c r="F204" s="7" t="s">
        <v>1524</v>
      </c>
      <c r="G204" s="7" t="s">
        <v>957</v>
      </c>
      <c r="H204" s="7" t="s">
        <v>1525</v>
      </c>
      <c r="I204" s="7" t="s">
        <v>727</v>
      </c>
      <c r="J204" s="7" t="s">
        <v>648</v>
      </c>
    </row>
    <row r="205" spans="1:10">
      <c r="A205" s="7" t="s">
        <v>1526</v>
      </c>
      <c r="B205" s="7" t="s">
        <v>367</v>
      </c>
      <c r="C205" s="7" t="s">
        <v>668</v>
      </c>
      <c r="D205" s="7" t="s">
        <v>627</v>
      </c>
      <c r="E205" s="7" t="s">
        <v>1527</v>
      </c>
      <c r="F205" s="7" t="s">
        <v>1528</v>
      </c>
      <c r="G205" s="7" t="s">
        <v>1529</v>
      </c>
      <c r="H205" s="7" t="s">
        <v>1530</v>
      </c>
      <c r="I205" s="7" t="s">
        <v>620</v>
      </c>
      <c r="J205" s="7" t="s">
        <v>633</v>
      </c>
    </row>
    <row r="206" spans="1:10">
      <c r="A206" s="7" t="s">
        <v>1531</v>
      </c>
      <c r="B206" s="7" t="s">
        <v>134</v>
      </c>
      <c r="C206" s="7" t="s">
        <v>855</v>
      </c>
      <c r="D206" s="7" t="s">
        <v>607</v>
      </c>
      <c r="E206" s="7" t="s">
        <v>945</v>
      </c>
      <c r="F206" s="7" t="s">
        <v>1532</v>
      </c>
      <c r="G206" s="7" t="s">
        <v>1529</v>
      </c>
      <c r="H206" s="7" t="s">
        <v>1533</v>
      </c>
      <c r="I206" s="7" t="s">
        <v>226</v>
      </c>
      <c r="J206" s="7" t="s">
        <v>613</v>
      </c>
    </row>
    <row r="207" spans="1:10">
      <c r="A207" s="7" t="s">
        <v>1534</v>
      </c>
      <c r="B207" s="7" t="s">
        <v>584</v>
      </c>
      <c r="C207" s="7" t="s">
        <v>949</v>
      </c>
      <c r="D207" s="7" t="s">
        <v>622</v>
      </c>
      <c r="E207" s="7" t="s">
        <v>635</v>
      </c>
      <c r="F207" s="7" t="s">
        <v>1535</v>
      </c>
      <c r="G207" s="7" t="s">
        <v>897</v>
      </c>
      <c r="H207" s="7" t="s">
        <v>1536</v>
      </c>
      <c r="I207" s="7" t="s">
        <v>1537</v>
      </c>
      <c r="J207" s="7" t="s">
        <v>640</v>
      </c>
    </row>
    <row r="208" spans="1:10">
      <c r="A208" s="7" t="s">
        <v>1538</v>
      </c>
      <c r="B208" s="7" t="s">
        <v>460</v>
      </c>
      <c r="C208" s="7" t="s">
        <v>641</v>
      </c>
      <c r="D208" s="7" t="s">
        <v>614</v>
      </c>
      <c r="E208" s="7" t="s">
        <v>610</v>
      </c>
      <c r="F208" s="7" t="s">
        <v>1539</v>
      </c>
      <c r="G208" s="7" t="s">
        <v>724</v>
      </c>
      <c r="H208" s="7" t="s">
        <v>1540</v>
      </c>
      <c r="I208" s="7" t="s">
        <v>908</v>
      </c>
      <c r="J208" s="7" t="s">
        <v>682</v>
      </c>
    </row>
    <row r="209" spans="1:10">
      <c r="A209" s="7" t="s">
        <v>1541</v>
      </c>
      <c r="B209" s="7" t="s">
        <v>7</v>
      </c>
      <c r="C209" s="7" t="s">
        <v>715</v>
      </c>
      <c r="D209" s="7" t="s">
        <v>607</v>
      </c>
      <c r="E209" s="7" t="s">
        <v>1542</v>
      </c>
      <c r="F209" s="7" t="s">
        <v>1543</v>
      </c>
      <c r="G209" s="7" t="s">
        <v>1544</v>
      </c>
      <c r="H209" s="7" t="s">
        <v>1545</v>
      </c>
      <c r="I209" s="7" t="s">
        <v>1546</v>
      </c>
      <c r="J209" s="7" t="s">
        <v>633</v>
      </c>
    </row>
    <row r="210" spans="1:10">
      <c r="A210" s="7" t="s">
        <v>1547</v>
      </c>
      <c r="B210" s="7" t="s">
        <v>419</v>
      </c>
      <c r="C210" s="7" t="s">
        <v>959</v>
      </c>
      <c r="D210" s="7" t="s">
        <v>614</v>
      </c>
      <c r="E210" s="7" t="s">
        <v>1548</v>
      </c>
      <c r="F210" s="7" t="s">
        <v>1549</v>
      </c>
      <c r="G210" s="7" t="s">
        <v>1550</v>
      </c>
      <c r="H210" s="7" t="s">
        <v>1551</v>
      </c>
      <c r="I210" s="7" t="s">
        <v>1552</v>
      </c>
      <c r="J210" s="7" t="s">
        <v>633</v>
      </c>
    </row>
    <row r="211" spans="1:10">
      <c r="A211" s="7" t="s">
        <v>1553</v>
      </c>
      <c r="B211" s="7" t="s">
        <v>560</v>
      </c>
      <c r="C211" s="7" t="s">
        <v>732</v>
      </c>
      <c r="D211" s="7" t="s">
        <v>627</v>
      </c>
      <c r="E211" s="7" t="s">
        <v>717</v>
      </c>
      <c r="F211" s="7" t="s">
        <v>1554</v>
      </c>
      <c r="G211" s="7" t="s">
        <v>917</v>
      </c>
      <c r="H211" s="7" t="s">
        <v>1555</v>
      </c>
      <c r="I211" s="7" t="s">
        <v>445</v>
      </c>
      <c r="J211" s="7" t="s">
        <v>633</v>
      </c>
    </row>
    <row r="212" spans="1:10">
      <c r="A212" s="7" t="s">
        <v>1556</v>
      </c>
      <c r="B212" s="7" t="s">
        <v>260</v>
      </c>
      <c r="C212" s="7" t="s">
        <v>784</v>
      </c>
      <c r="D212" s="7" t="s">
        <v>607</v>
      </c>
      <c r="E212" s="7" t="s">
        <v>1557</v>
      </c>
      <c r="F212" s="7" t="s">
        <v>1558</v>
      </c>
      <c r="G212" s="7" t="s">
        <v>1559</v>
      </c>
      <c r="H212" s="7" t="s">
        <v>1560</v>
      </c>
      <c r="I212" s="7" t="s">
        <v>71</v>
      </c>
      <c r="J212" s="7" t="s">
        <v>754</v>
      </c>
    </row>
    <row r="213" spans="1:10">
      <c r="A213" s="7" t="s">
        <v>1561</v>
      </c>
      <c r="B213" s="7" t="s">
        <v>548</v>
      </c>
      <c r="C213" s="7" t="s">
        <v>649</v>
      </c>
      <c r="D213" s="7" t="s">
        <v>614</v>
      </c>
      <c r="E213" s="7" t="s">
        <v>785</v>
      </c>
      <c r="F213" s="7" t="s">
        <v>1562</v>
      </c>
      <c r="G213" s="7" t="s">
        <v>610</v>
      </c>
      <c r="H213" s="7" t="s">
        <v>1563</v>
      </c>
      <c r="I213" s="7" t="s">
        <v>1109</v>
      </c>
      <c r="J213" s="7" t="s">
        <v>682</v>
      </c>
    </row>
    <row r="214" spans="1:10">
      <c r="A214" s="7" t="s">
        <v>1564</v>
      </c>
      <c r="B214" s="7" t="s">
        <v>134</v>
      </c>
      <c r="C214" s="7" t="s">
        <v>748</v>
      </c>
      <c r="D214" s="7" t="s">
        <v>607</v>
      </c>
      <c r="E214" s="7" t="s">
        <v>730</v>
      </c>
      <c r="F214" s="7" t="s">
        <v>907</v>
      </c>
      <c r="G214" s="7" t="s">
        <v>608</v>
      </c>
      <c r="H214" s="7" t="s">
        <v>1565</v>
      </c>
      <c r="I214" s="7" t="s">
        <v>1566</v>
      </c>
      <c r="J214" s="7" t="s">
        <v>754</v>
      </c>
    </row>
    <row r="215" spans="1:10">
      <c r="A215" s="7" t="s">
        <v>1567</v>
      </c>
      <c r="B215" s="7" t="s">
        <v>584</v>
      </c>
      <c r="C215" s="7" t="s">
        <v>690</v>
      </c>
      <c r="D215" s="7" t="s">
        <v>622</v>
      </c>
      <c r="E215" s="7" t="s">
        <v>1136</v>
      </c>
      <c r="F215" s="7" t="s">
        <v>1568</v>
      </c>
      <c r="G215" s="7" t="s">
        <v>724</v>
      </c>
      <c r="H215" s="7" t="s">
        <v>1569</v>
      </c>
      <c r="I215" s="7" t="s">
        <v>1570</v>
      </c>
      <c r="J215" s="7" t="s">
        <v>682</v>
      </c>
    </row>
    <row r="216" spans="1:10">
      <c r="A216" s="7" t="s">
        <v>1571</v>
      </c>
      <c r="B216" s="7" t="s">
        <v>578</v>
      </c>
      <c r="C216" s="7" t="s">
        <v>711</v>
      </c>
      <c r="D216" s="7" t="s">
        <v>605</v>
      </c>
      <c r="E216" s="7" t="s">
        <v>1572</v>
      </c>
      <c r="F216" s="7" t="s">
        <v>1573</v>
      </c>
      <c r="G216" s="7" t="s">
        <v>1574</v>
      </c>
      <c r="H216" s="7" t="s">
        <v>1575</v>
      </c>
      <c r="I216" s="7" t="s">
        <v>816</v>
      </c>
      <c r="J216" s="7" t="s">
        <v>613</v>
      </c>
    </row>
    <row r="217" spans="1:10">
      <c r="A217" s="7" t="s">
        <v>1576</v>
      </c>
      <c r="B217" s="7" t="s">
        <v>27</v>
      </c>
      <c r="C217" s="7" t="s">
        <v>716</v>
      </c>
      <c r="D217" s="7" t="s">
        <v>605</v>
      </c>
      <c r="E217" s="7" t="s">
        <v>962</v>
      </c>
      <c r="F217" s="7" t="s">
        <v>1577</v>
      </c>
      <c r="G217" s="7" t="s">
        <v>1578</v>
      </c>
      <c r="H217" s="7" t="s">
        <v>1579</v>
      </c>
      <c r="I217" s="7" t="s">
        <v>208</v>
      </c>
      <c r="J217" s="7" t="s">
        <v>613</v>
      </c>
    </row>
    <row r="218" spans="1:10">
      <c r="A218" s="7" t="s">
        <v>1580</v>
      </c>
      <c r="B218" s="7" t="s">
        <v>254</v>
      </c>
      <c r="C218" s="7" t="s">
        <v>886</v>
      </c>
      <c r="D218" s="7" t="s">
        <v>627</v>
      </c>
      <c r="E218" s="7" t="s">
        <v>888</v>
      </c>
      <c r="F218" s="7" t="s">
        <v>726</v>
      </c>
      <c r="G218" s="7" t="s">
        <v>703</v>
      </c>
      <c r="H218" s="7" t="s">
        <v>1581</v>
      </c>
      <c r="I218" s="7" t="s">
        <v>639</v>
      </c>
      <c r="J218" s="7" t="s">
        <v>648</v>
      </c>
    </row>
    <row r="219" spans="1:10">
      <c r="A219" s="7" t="s">
        <v>1582</v>
      </c>
      <c r="B219" s="7" t="s">
        <v>362</v>
      </c>
      <c r="C219" s="7" t="s">
        <v>784</v>
      </c>
      <c r="D219" s="7" t="s">
        <v>627</v>
      </c>
      <c r="E219" s="7" t="s">
        <v>1583</v>
      </c>
      <c r="F219" s="7" t="s">
        <v>1584</v>
      </c>
      <c r="G219" s="7" t="s">
        <v>1585</v>
      </c>
      <c r="H219" s="7" t="s">
        <v>1586</v>
      </c>
      <c r="I219" s="7" t="s">
        <v>1587</v>
      </c>
      <c r="J219" s="7" t="s">
        <v>754</v>
      </c>
    </row>
    <row r="220" spans="1:10">
      <c r="A220" s="7" t="s">
        <v>1588</v>
      </c>
      <c r="B220" s="7" t="s">
        <v>164</v>
      </c>
      <c r="C220" s="7" t="s">
        <v>676</v>
      </c>
      <c r="D220" s="7" t="s">
        <v>607</v>
      </c>
      <c r="E220" s="7" t="s">
        <v>610</v>
      </c>
      <c r="F220" s="7" t="s">
        <v>1589</v>
      </c>
      <c r="G220" s="7" t="s">
        <v>974</v>
      </c>
      <c r="H220" s="7" t="s">
        <v>1590</v>
      </c>
      <c r="I220" s="7" t="s">
        <v>1522</v>
      </c>
      <c r="J220" s="7" t="s">
        <v>682</v>
      </c>
    </row>
    <row r="221" spans="1:10">
      <c r="A221" s="7" t="s">
        <v>1591</v>
      </c>
      <c r="B221" s="7" t="s">
        <v>7</v>
      </c>
      <c r="C221" s="7" t="s">
        <v>762</v>
      </c>
      <c r="D221" s="7" t="s">
        <v>622</v>
      </c>
      <c r="E221" s="7" t="s">
        <v>763</v>
      </c>
      <c r="F221" s="7" t="s">
        <v>1592</v>
      </c>
      <c r="G221" s="7" t="s">
        <v>877</v>
      </c>
      <c r="H221" s="7" t="s">
        <v>1593</v>
      </c>
      <c r="I221" s="7" t="s">
        <v>1594</v>
      </c>
      <c r="J221" s="7" t="s">
        <v>682</v>
      </c>
    </row>
    <row r="222" spans="1:10">
      <c r="A222" s="7" t="s">
        <v>1595</v>
      </c>
      <c r="B222" s="7" t="s">
        <v>449</v>
      </c>
      <c r="C222" s="7" t="s">
        <v>642</v>
      </c>
      <c r="D222" s="7" t="s">
        <v>627</v>
      </c>
      <c r="E222" s="7" t="s">
        <v>1476</v>
      </c>
      <c r="F222" s="7" t="s">
        <v>1596</v>
      </c>
      <c r="G222" s="7" t="s">
        <v>703</v>
      </c>
      <c r="H222" s="7" t="s">
        <v>1597</v>
      </c>
      <c r="I222" s="7" t="s">
        <v>1598</v>
      </c>
      <c r="J222" s="7" t="s">
        <v>648</v>
      </c>
    </row>
    <row r="223" spans="1:10">
      <c r="A223" s="7" t="s">
        <v>1599</v>
      </c>
      <c r="B223" s="7" t="s">
        <v>584</v>
      </c>
      <c r="C223" s="7" t="s">
        <v>641</v>
      </c>
      <c r="D223" s="7" t="s">
        <v>607</v>
      </c>
      <c r="E223" s="7" t="s">
        <v>670</v>
      </c>
      <c r="F223" s="7" t="s">
        <v>1600</v>
      </c>
      <c r="G223" s="7" t="s">
        <v>724</v>
      </c>
      <c r="H223" s="7" t="s">
        <v>1601</v>
      </c>
      <c r="I223" s="7" t="s">
        <v>1189</v>
      </c>
      <c r="J223" s="7" t="s">
        <v>682</v>
      </c>
    </row>
    <row r="224" spans="1:10">
      <c r="A224" s="7" t="s">
        <v>1602</v>
      </c>
      <c r="B224" s="7" t="s">
        <v>306</v>
      </c>
      <c r="C224" s="7" t="s">
        <v>839</v>
      </c>
      <c r="D224" s="7" t="s">
        <v>614</v>
      </c>
      <c r="E224" s="7" t="s">
        <v>1186</v>
      </c>
      <c r="F224" s="7" t="s">
        <v>1603</v>
      </c>
      <c r="G224" s="7" t="s">
        <v>897</v>
      </c>
      <c r="H224" s="7" t="s">
        <v>1604</v>
      </c>
      <c r="I224" s="7" t="s">
        <v>1605</v>
      </c>
      <c r="J224" s="7" t="s">
        <v>640</v>
      </c>
    </row>
    <row r="225" spans="1:10">
      <c r="A225" s="7" t="s">
        <v>1606</v>
      </c>
      <c r="B225" s="7" t="s">
        <v>170</v>
      </c>
      <c r="C225" s="7" t="s">
        <v>797</v>
      </c>
      <c r="D225" s="7" t="s">
        <v>605</v>
      </c>
      <c r="E225" s="7" t="s">
        <v>1426</v>
      </c>
      <c r="F225" s="7" t="s">
        <v>1607</v>
      </c>
      <c r="G225" s="7" t="s">
        <v>666</v>
      </c>
      <c r="H225" s="7" t="s">
        <v>1608</v>
      </c>
      <c r="I225" s="7" t="s">
        <v>1609</v>
      </c>
      <c r="J225" s="7" t="s">
        <v>648</v>
      </c>
    </row>
    <row r="226" spans="1:10">
      <c r="A226" s="7" t="s">
        <v>1610</v>
      </c>
      <c r="B226" s="7" t="s">
        <v>548</v>
      </c>
      <c r="C226" s="7" t="s">
        <v>728</v>
      </c>
      <c r="D226" s="7" t="s">
        <v>607</v>
      </c>
      <c r="E226" s="7" t="s">
        <v>1186</v>
      </c>
      <c r="F226" s="7" t="s">
        <v>1611</v>
      </c>
      <c r="G226" s="7" t="s">
        <v>1383</v>
      </c>
      <c r="H226" s="7" t="s">
        <v>1612</v>
      </c>
      <c r="I226" s="7" t="s">
        <v>1613</v>
      </c>
      <c r="J226" s="7" t="s">
        <v>640</v>
      </c>
    </row>
    <row r="227" spans="1:10">
      <c r="A227" s="7" t="s">
        <v>1614</v>
      </c>
      <c r="B227" s="7" t="s">
        <v>379</v>
      </c>
      <c r="C227" s="7" t="s">
        <v>628</v>
      </c>
      <c r="D227" s="7" t="s">
        <v>614</v>
      </c>
      <c r="E227" s="7" t="s">
        <v>957</v>
      </c>
      <c r="F227" s="7" t="s">
        <v>1615</v>
      </c>
      <c r="G227" s="7" t="s">
        <v>1616</v>
      </c>
      <c r="H227" s="7" t="s">
        <v>1617</v>
      </c>
      <c r="I227" s="7" t="s">
        <v>885</v>
      </c>
      <c r="J227" s="7" t="s">
        <v>633</v>
      </c>
    </row>
    <row r="228" spans="1:10">
      <c r="A228" s="7" t="s">
        <v>1618</v>
      </c>
      <c r="B228" s="7" t="s">
        <v>27</v>
      </c>
      <c r="C228" s="7" t="s">
        <v>747</v>
      </c>
      <c r="D228" s="7" t="s">
        <v>627</v>
      </c>
      <c r="E228" s="7" t="s">
        <v>1181</v>
      </c>
      <c r="F228" s="7" t="s">
        <v>1619</v>
      </c>
      <c r="G228" s="7" t="s">
        <v>1620</v>
      </c>
      <c r="H228" s="7" t="s">
        <v>1621</v>
      </c>
      <c r="I228" s="7" t="s">
        <v>196</v>
      </c>
      <c r="J228" s="7" t="s">
        <v>633</v>
      </c>
    </row>
    <row r="229" spans="1:10">
      <c r="A229" s="7" t="s">
        <v>1622</v>
      </c>
      <c r="B229" s="7" t="s">
        <v>212</v>
      </c>
      <c r="C229" s="7" t="s">
        <v>806</v>
      </c>
      <c r="D229" s="7" t="s">
        <v>605</v>
      </c>
      <c r="E229" s="7" t="s">
        <v>1269</v>
      </c>
      <c r="F229" s="7" t="s">
        <v>1623</v>
      </c>
      <c r="G229" s="7" t="s">
        <v>974</v>
      </c>
      <c r="H229" s="7" t="s">
        <v>1624</v>
      </c>
      <c r="I229" s="7" t="s">
        <v>1625</v>
      </c>
      <c r="J229" s="7" t="s">
        <v>633</v>
      </c>
    </row>
    <row r="230" spans="1:10">
      <c r="A230" s="7" t="s">
        <v>1626</v>
      </c>
      <c r="B230" s="7" t="s">
        <v>466</v>
      </c>
      <c r="C230" s="7" t="s">
        <v>839</v>
      </c>
      <c r="D230" s="7" t="s">
        <v>622</v>
      </c>
      <c r="E230" s="7" t="s">
        <v>635</v>
      </c>
      <c r="F230" s="7" t="s">
        <v>1627</v>
      </c>
      <c r="G230" s="7" t="s">
        <v>708</v>
      </c>
      <c r="H230" s="7" t="s">
        <v>1628</v>
      </c>
      <c r="I230" s="7" t="s">
        <v>1629</v>
      </c>
      <c r="J230" s="7" t="s">
        <v>640</v>
      </c>
    </row>
    <row r="231" spans="1:10">
      <c r="A231" s="7" t="s">
        <v>1630</v>
      </c>
      <c r="B231" s="7" t="s">
        <v>318</v>
      </c>
      <c r="C231" s="7" t="s">
        <v>931</v>
      </c>
      <c r="D231" s="7" t="s">
        <v>622</v>
      </c>
      <c r="E231" s="7" t="s">
        <v>888</v>
      </c>
      <c r="F231" s="7" t="s">
        <v>1631</v>
      </c>
      <c r="G231" s="7" t="s">
        <v>937</v>
      </c>
      <c r="H231" s="7" t="s">
        <v>1632</v>
      </c>
      <c r="I231" s="7" t="s">
        <v>130</v>
      </c>
      <c r="J231" s="7" t="s">
        <v>648</v>
      </c>
    </row>
    <row r="232" spans="1:10">
      <c r="A232" s="7" t="s">
        <v>1633</v>
      </c>
      <c r="B232" s="7" t="s">
        <v>548</v>
      </c>
      <c r="C232" s="7" t="s">
        <v>931</v>
      </c>
      <c r="D232" s="7" t="s">
        <v>622</v>
      </c>
      <c r="E232" s="7" t="s">
        <v>1426</v>
      </c>
      <c r="F232" s="7" t="s">
        <v>1634</v>
      </c>
      <c r="G232" s="7" t="s">
        <v>966</v>
      </c>
      <c r="H232" s="7" t="s">
        <v>1635</v>
      </c>
      <c r="I232" s="7" t="s">
        <v>1636</v>
      </c>
      <c r="J232" s="7" t="s">
        <v>648</v>
      </c>
    </row>
    <row r="233" spans="1:10">
      <c r="A233" s="7" t="s">
        <v>1637</v>
      </c>
      <c r="B233" s="7" t="s">
        <v>265</v>
      </c>
      <c r="C233" s="7" t="s">
        <v>642</v>
      </c>
      <c r="D233" s="7" t="s">
        <v>622</v>
      </c>
      <c r="E233" s="7" t="s">
        <v>768</v>
      </c>
      <c r="F233" s="7" t="s">
        <v>1638</v>
      </c>
      <c r="G233" s="7" t="s">
        <v>1021</v>
      </c>
      <c r="H233" s="7" t="s">
        <v>1639</v>
      </c>
      <c r="I233" s="7" t="s">
        <v>1640</v>
      </c>
      <c r="J233" s="7" t="s">
        <v>648</v>
      </c>
    </row>
    <row r="234" spans="1:10">
      <c r="A234" s="7" t="s">
        <v>1641</v>
      </c>
      <c r="B234" s="7" t="s">
        <v>578</v>
      </c>
      <c r="C234" s="7" t="s">
        <v>931</v>
      </c>
      <c r="D234" s="7" t="s">
        <v>627</v>
      </c>
      <c r="E234" s="7" t="s">
        <v>645</v>
      </c>
      <c r="F234" s="7" t="s">
        <v>1642</v>
      </c>
      <c r="G234" s="7" t="s">
        <v>703</v>
      </c>
      <c r="H234" s="7" t="s">
        <v>1643</v>
      </c>
      <c r="I234" s="7" t="s">
        <v>112</v>
      </c>
      <c r="J234" s="7" t="s">
        <v>648</v>
      </c>
    </row>
    <row r="235" spans="1:10">
      <c r="A235" s="7" t="s">
        <v>1644</v>
      </c>
      <c r="B235" s="7" t="s">
        <v>572</v>
      </c>
      <c r="C235" s="7" t="s">
        <v>748</v>
      </c>
      <c r="D235" s="7" t="s">
        <v>605</v>
      </c>
      <c r="E235" s="7" t="s">
        <v>1645</v>
      </c>
      <c r="F235" s="7" t="s">
        <v>1646</v>
      </c>
      <c r="G235" s="7" t="s">
        <v>1647</v>
      </c>
      <c r="H235" s="7" t="s">
        <v>1648</v>
      </c>
      <c r="I235" s="7" t="s">
        <v>136</v>
      </c>
      <c r="J235" s="7" t="s">
        <v>754</v>
      </c>
    </row>
    <row r="236" spans="1:10">
      <c r="A236" s="7" t="s">
        <v>1649</v>
      </c>
      <c r="B236" s="7" t="s">
        <v>419</v>
      </c>
      <c r="C236" s="7" t="s">
        <v>669</v>
      </c>
      <c r="D236" s="7" t="s">
        <v>614</v>
      </c>
      <c r="E236" s="7" t="s">
        <v>670</v>
      </c>
      <c r="F236" s="7" t="s">
        <v>1650</v>
      </c>
      <c r="G236" s="7" t="s">
        <v>679</v>
      </c>
      <c r="H236" s="7" t="s">
        <v>1651</v>
      </c>
      <c r="I236" s="7" t="s">
        <v>468</v>
      </c>
      <c r="J236" s="7" t="s">
        <v>613</v>
      </c>
    </row>
    <row r="237" spans="1:10">
      <c r="A237" s="7" t="s">
        <v>1652</v>
      </c>
      <c r="B237" s="7" t="s">
        <v>265</v>
      </c>
      <c r="C237" s="7" t="s">
        <v>716</v>
      </c>
      <c r="D237" s="7" t="s">
        <v>607</v>
      </c>
      <c r="E237" s="7" t="s">
        <v>1289</v>
      </c>
      <c r="F237" s="7" t="s">
        <v>940</v>
      </c>
      <c r="G237" s="7" t="s">
        <v>939</v>
      </c>
      <c r="H237" s="7" t="s">
        <v>1653</v>
      </c>
      <c r="I237" s="7" t="s">
        <v>88</v>
      </c>
      <c r="J237" s="7" t="s">
        <v>613</v>
      </c>
    </row>
    <row r="238" spans="1:10">
      <c r="A238" s="7" t="s">
        <v>1654</v>
      </c>
      <c r="B238" s="7" t="s">
        <v>146</v>
      </c>
      <c r="C238" s="7" t="s">
        <v>894</v>
      </c>
      <c r="D238" s="7" t="s">
        <v>605</v>
      </c>
      <c r="E238" s="7" t="s">
        <v>645</v>
      </c>
      <c r="F238" s="7" t="s">
        <v>1655</v>
      </c>
      <c r="G238" s="7" t="s">
        <v>703</v>
      </c>
      <c r="H238" s="7" t="s">
        <v>1656</v>
      </c>
      <c r="I238" s="7" t="s">
        <v>190</v>
      </c>
      <c r="J238" s="7" t="s">
        <v>648</v>
      </c>
    </row>
    <row r="239" spans="1:10">
      <c r="A239" s="7" t="s">
        <v>1657</v>
      </c>
      <c r="B239" s="7" t="s">
        <v>490</v>
      </c>
      <c r="C239" s="7" t="s">
        <v>762</v>
      </c>
      <c r="D239" s="7" t="s">
        <v>627</v>
      </c>
      <c r="E239" s="7" t="s">
        <v>610</v>
      </c>
      <c r="F239" s="7" t="s">
        <v>1658</v>
      </c>
      <c r="G239" s="7" t="s">
        <v>974</v>
      </c>
      <c r="H239" s="7" t="s">
        <v>1659</v>
      </c>
      <c r="I239" s="7" t="s">
        <v>1660</v>
      </c>
      <c r="J239" s="7" t="s">
        <v>682</v>
      </c>
    </row>
    <row r="240" spans="1:10">
      <c r="A240" s="7" t="s">
        <v>1661</v>
      </c>
      <c r="B240" s="7" t="s">
        <v>519</v>
      </c>
      <c r="C240" s="7" t="s">
        <v>664</v>
      </c>
      <c r="D240" s="7" t="s">
        <v>622</v>
      </c>
      <c r="E240" s="7" t="s">
        <v>666</v>
      </c>
      <c r="F240" s="7" t="s">
        <v>1662</v>
      </c>
      <c r="G240" s="7" t="s">
        <v>1431</v>
      </c>
      <c r="H240" s="7" t="s">
        <v>1663</v>
      </c>
      <c r="I240" s="7" t="s">
        <v>1587</v>
      </c>
      <c r="J240" s="7" t="s">
        <v>648</v>
      </c>
    </row>
    <row r="241" spans="1:10">
      <c r="A241" s="7" t="s">
        <v>1664</v>
      </c>
      <c r="B241" s="7" t="s">
        <v>437</v>
      </c>
      <c r="C241" s="7" t="s">
        <v>607</v>
      </c>
      <c r="D241" s="7" t="s">
        <v>607</v>
      </c>
      <c r="E241" s="7" t="s">
        <v>1206</v>
      </c>
      <c r="F241" s="7" t="s">
        <v>1665</v>
      </c>
      <c r="G241" s="7" t="s">
        <v>1666</v>
      </c>
      <c r="H241" s="7" t="s">
        <v>1667</v>
      </c>
      <c r="I241" s="7" t="s">
        <v>919</v>
      </c>
      <c r="J241" s="7" t="s">
        <v>754</v>
      </c>
    </row>
    <row r="242" spans="1:10">
      <c r="A242" s="7" t="s">
        <v>1668</v>
      </c>
      <c r="B242" s="7" t="s">
        <v>397</v>
      </c>
      <c r="C242" s="7" t="s">
        <v>691</v>
      </c>
      <c r="D242" s="7" t="s">
        <v>614</v>
      </c>
      <c r="E242" s="7" t="s">
        <v>1246</v>
      </c>
      <c r="F242" s="7" t="s">
        <v>1669</v>
      </c>
      <c r="G242" s="7" t="s">
        <v>883</v>
      </c>
      <c r="H242" s="7" t="s">
        <v>1670</v>
      </c>
      <c r="I242" s="7" t="s">
        <v>202</v>
      </c>
      <c r="J242" s="7" t="s">
        <v>613</v>
      </c>
    </row>
    <row r="243" spans="1:10">
      <c r="A243" s="7" t="s">
        <v>1671</v>
      </c>
      <c r="B243" s="7" t="s">
        <v>75</v>
      </c>
      <c r="C243" s="7" t="s">
        <v>701</v>
      </c>
      <c r="D243" s="7" t="s">
        <v>605</v>
      </c>
      <c r="E243" s="7" t="s">
        <v>1021</v>
      </c>
      <c r="F243" s="7" t="s">
        <v>1672</v>
      </c>
      <c r="G243" s="7" t="s">
        <v>952</v>
      </c>
      <c r="H243" s="7" t="s">
        <v>1673</v>
      </c>
      <c r="I243" s="7" t="s">
        <v>767</v>
      </c>
      <c r="J243" s="7" t="s">
        <v>648</v>
      </c>
    </row>
    <row r="244" spans="1:10">
      <c r="A244" s="7" t="s">
        <v>1674</v>
      </c>
      <c r="B244" s="7" t="s">
        <v>260</v>
      </c>
      <c r="C244" s="7" t="s">
        <v>622</v>
      </c>
      <c r="D244" s="7" t="s">
        <v>605</v>
      </c>
      <c r="E244" s="7" t="s">
        <v>1186</v>
      </c>
      <c r="F244" s="7" t="s">
        <v>1675</v>
      </c>
      <c r="G244" s="7" t="s">
        <v>812</v>
      </c>
      <c r="H244" s="7" t="s">
        <v>1676</v>
      </c>
      <c r="I244" s="7" t="s">
        <v>1677</v>
      </c>
      <c r="J244" s="7" t="s">
        <v>640</v>
      </c>
    </row>
    <row r="245" spans="1:10">
      <c r="A245" s="7" t="s">
        <v>1678</v>
      </c>
      <c r="B245" s="7" t="s">
        <v>248</v>
      </c>
      <c r="C245" s="7" t="s">
        <v>863</v>
      </c>
      <c r="D245" s="7" t="s">
        <v>622</v>
      </c>
      <c r="E245" s="7" t="s">
        <v>1679</v>
      </c>
      <c r="F245" s="7" t="s">
        <v>1680</v>
      </c>
      <c r="G245" s="7" t="s">
        <v>1666</v>
      </c>
      <c r="H245" s="7" t="s">
        <v>1681</v>
      </c>
      <c r="I245" s="7" t="s">
        <v>291</v>
      </c>
      <c r="J245" s="7" t="s">
        <v>754</v>
      </c>
    </row>
    <row r="246" spans="1:10">
      <c r="A246" s="7" t="s">
        <v>1682</v>
      </c>
      <c r="B246" s="7" t="s">
        <v>122</v>
      </c>
      <c r="C246" s="7" t="s">
        <v>872</v>
      </c>
      <c r="D246" s="7" t="s">
        <v>622</v>
      </c>
      <c r="E246" s="7" t="s">
        <v>610</v>
      </c>
      <c r="F246" s="7" t="s">
        <v>1683</v>
      </c>
      <c r="G246" s="7" t="s">
        <v>974</v>
      </c>
      <c r="H246" s="7" t="s">
        <v>1684</v>
      </c>
      <c r="I246" s="7" t="s">
        <v>172</v>
      </c>
      <c r="J246" s="7" t="s">
        <v>682</v>
      </c>
    </row>
    <row r="247" spans="1:10">
      <c r="A247" s="7" t="s">
        <v>1685</v>
      </c>
      <c r="B247" s="7" t="s">
        <v>104</v>
      </c>
      <c r="C247" s="7" t="s">
        <v>954</v>
      </c>
      <c r="D247" s="7" t="s">
        <v>607</v>
      </c>
      <c r="E247" s="7" t="s">
        <v>785</v>
      </c>
      <c r="F247" s="7" t="s">
        <v>1686</v>
      </c>
      <c r="G247" s="7" t="s">
        <v>672</v>
      </c>
      <c r="H247" s="7" t="s">
        <v>1687</v>
      </c>
      <c r="I247" s="7" t="s">
        <v>267</v>
      </c>
      <c r="J247" s="7" t="s">
        <v>682</v>
      </c>
    </row>
    <row r="248" spans="1:10">
      <c r="A248" s="7" t="s">
        <v>1688</v>
      </c>
      <c r="B248" s="7" t="s">
        <v>312</v>
      </c>
      <c r="C248" s="7" t="s">
        <v>716</v>
      </c>
      <c r="D248" s="7" t="s">
        <v>627</v>
      </c>
      <c r="E248" s="7" t="s">
        <v>1689</v>
      </c>
      <c r="F248" s="7" t="s">
        <v>1690</v>
      </c>
      <c r="G248" s="7" t="s">
        <v>1691</v>
      </c>
      <c r="H248" s="7" t="s">
        <v>1692</v>
      </c>
      <c r="I248" s="7" t="s">
        <v>1693</v>
      </c>
      <c r="J248" s="7" t="s">
        <v>613</v>
      </c>
    </row>
    <row r="249" spans="1:10">
      <c r="A249" s="7" t="s">
        <v>1694</v>
      </c>
      <c r="B249" s="7" t="s">
        <v>265</v>
      </c>
      <c r="C249" s="7" t="s">
        <v>722</v>
      </c>
      <c r="D249" s="7" t="s">
        <v>607</v>
      </c>
      <c r="E249" s="7" t="s">
        <v>895</v>
      </c>
      <c r="F249" s="7" t="s">
        <v>1695</v>
      </c>
      <c r="G249" s="7" t="s">
        <v>812</v>
      </c>
      <c r="H249" s="7" t="s">
        <v>1696</v>
      </c>
      <c r="I249" s="7" t="s">
        <v>1697</v>
      </c>
      <c r="J249" s="7" t="s">
        <v>640</v>
      </c>
    </row>
    <row r="250" spans="1:10">
      <c r="A250" s="7" t="s">
        <v>1698</v>
      </c>
      <c r="B250" s="7" t="s">
        <v>20</v>
      </c>
      <c r="C250" s="7" t="s">
        <v>628</v>
      </c>
      <c r="D250" s="7" t="s">
        <v>614</v>
      </c>
      <c r="E250" s="7" t="s">
        <v>1699</v>
      </c>
      <c r="F250" s="7" t="s">
        <v>1700</v>
      </c>
      <c r="G250" s="7" t="s">
        <v>1701</v>
      </c>
      <c r="H250" s="7" t="s">
        <v>1702</v>
      </c>
      <c r="I250" s="7" t="s">
        <v>1508</v>
      </c>
      <c r="J250" s="7" t="s">
        <v>633</v>
      </c>
    </row>
    <row r="251" spans="1:10">
      <c r="A251" s="7" t="s">
        <v>1703</v>
      </c>
      <c r="B251" s="7" t="s">
        <v>508</v>
      </c>
      <c r="C251" s="7" t="s">
        <v>811</v>
      </c>
      <c r="D251" s="7" t="s">
        <v>607</v>
      </c>
      <c r="E251" s="7" t="s">
        <v>658</v>
      </c>
      <c r="F251" s="7" t="s">
        <v>1704</v>
      </c>
      <c r="G251" s="7" t="s">
        <v>739</v>
      </c>
      <c r="H251" s="7" t="s">
        <v>1705</v>
      </c>
      <c r="I251" s="7" t="s">
        <v>1706</v>
      </c>
      <c r="J251" s="7" t="s">
        <v>621</v>
      </c>
    </row>
    <row r="252" spans="1:10">
      <c r="A252" s="7" t="s">
        <v>1707</v>
      </c>
      <c r="B252" s="7" t="s">
        <v>306</v>
      </c>
      <c r="C252" s="7" t="s">
        <v>649</v>
      </c>
      <c r="D252" s="7" t="s">
        <v>627</v>
      </c>
      <c r="E252" s="7" t="s">
        <v>785</v>
      </c>
      <c r="F252" s="7" t="s">
        <v>1708</v>
      </c>
      <c r="G252" s="7" t="s">
        <v>677</v>
      </c>
      <c r="H252" s="7" t="s">
        <v>1709</v>
      </c>
      <c r="I252" s="7" t="s">
        <v>521</v>
      </c>
      <c r="J252" s="7" t="s">
        <v>682</v>
      </c>
    </row>
    <row r="253" spans="1:10">
      <c r="A253" s="7" t="s">
        <v>1710</v>
      </c>
      <c r="B253" s="7" t="s">
        <v>242</v>
      </c>
      <c r="C253" s="7" t="s">
        <v>954</v>
      </c>
      <c r="D253" s="7" t="s">
        <v>614</v>
      </c>
      <c r="E253" s="7" t="s">
        <v>670</v>
      </c>
      <c r="F253" s="7" t="s">
        <v>1711</v>
      </c>
      <c r="G253" s="7" t="s">
        <v>785</v>
      </c>
      <c r="H253" s="7" t="s">
        <v>1712</v>
      </c>
      <c r="I253" s="7" t="s">
        <v>788</v>
      </c>
      <c r="J253" s="7" t="s">
        <v>682</v>
      </c>
    </row>
    <row r="254" spans="1:10">
      <c r="A254" s="7" t="s">
        <v>1713</v>
      </c>
      <c r="B254" s="7" t="s">
        <v>63</v>
      </c>
      <c r="C254" s="7" t="s">
        <v>949</v>
      </c>
      <c r="D254" s="7" t="s">
        <v>614</v>
      </c>
      <c r="E254" s="7" t="s">
        <v>735</v>
      </c>
      <c r="F254" s="7" t="s">
        <v>1714</v>
      </c>
      <c r="G254" s="7" t="s">
        <v>730</v>
      </c>
      <c r="H254" s="7" t="s">
        <v>1715</v>
      </c>
      <c r="I254" s="7" t="s">
        <v>1716</v>
      </c>
      <c r="J254" s="7" t="s">
        <v>640</v>
      </c>
    </row>
    <row r="255" spans="1:10">
      <c r="A255" s="7" t="s">
        <v>1717</v>
      </c>
      <c r="B255" s="7" t="s">
        <v>548</v>
      </c>
      <c r="C255" s="7" t="s">
        <v>605</v>
      </c>
      <c r="D255" s="7" t="s">
        <v>607</v>
      </c>
      <c r="E255" s="7" t="s">
        <v>1718</v>
      </c>
      <c r="F255" s="7" t="s">
        <v>1719</v>
      </c>
      <c r="G255" s="7" t="s">
        <v>1720</v>
      </c>
      <c r="H255" s="7" t="s">
        <v>1721</v>
      </c>
      <c r="I255" s="7" t="s">
        <v>468</v>
      </c>
      <c r="J255" s="7" t="s">
        <v>754</v>
      </c>
    </row>
    <row r="256" spans="1:10">
      <c r="A256" s="7" t="s">
        <v>1722</v>
      </c>
      <c r="B256" s="7" t="s">
        <v>543</v>
      </c>
      <c r="C256" s="7" t="s">
        <v>650</v>
      </c>
      <c r="D256" s="7" t="s">
        <v>614</v>
      </c>
      <c r="E256" s="7" t="s">
        <v>1723</v>
      </c>
      <c r="F256" s="7" t="s">
        <v>1724</v>
      </c>
      <c r="G256" s="7" t="s">
        <v>1725</v>
      </c>
      <c r="H256" s="7" t="s">
        <v>1726</v>
      </c>
      <c r="I256" s="7" t="s">
        <v>1609</v>
      </c>
      <c r="J256" s="7" t="s">
        <v>633</v>
      </c>
    </row>
    <row r="257" spans="1:10">
      <c r="A257" s="7" t="s">
        <v>1727</v>
      </c>
      <c r="B257" s="7" t="s">
        <v>385</v>
      </c>
      <c r="C257" s="7" t="s">
        <v>627</v>
      </c>
      <c r="D257" s="7" t="s">
        <v>607</v>
      </c>
      <c r="E257" s="7" t="s">
        <v>1107</v>
      </c>
      <c r="F257" s="7" t="s">
        <v>1728</v>
      </c>
      <c r="G257" s="7" t="s">
        <v>660</v>
      </c>
      <c r="H257" s="7" t="s">
        <v>1729</v>
      </c>
      <c r="I257" s="7" t="s">
        <v>1609</v>
      </c>
      <c r="J257" s="7" t="s">
        <v>621</v>
      </c>
    </row>
    <row r="258" spans="1:10">
      <c r="A258" s="7" t="s">
        <v>1730</v>
      </c>
      <c r="B258" s="7" t="s">
        <v>455</v>
      </c>
      <c r="C258" s="7" t="s">
        <v>701</v>
      </c>
      <c r="D258" s="7" t="s">
        <v>622</v>
      </c>
      <c r="E258" s="7" t="s">
        <v>768</v>
      </c>
      <c r="F258" s="7" t="s">
        <v>1731</v>
      </c>
      <c r="G258" s="7" t="s">
        <v>1426</v>
      </c>
      <c r="H258" s="7" t="s">
        <v>1732</v>
      </c>
      <c r="I258" s="7" t="s">
        <v>53</v>
      </c>
      <c r="J258" s="7" t="s">
        <v>648</v>
      </c>
    </row>
    <row r="259" spans="1:10">
      <c r="A259" s="7" t="s">
        <v>1733</v>
      </c>
      <c r="B259" s="7" t="s">
        <v>265</v>
      </c>
      <c r="C259" s="7" t="s">
        <v>855</v>
      </c>
      <c r="D259" s="7" t="s">
        <v>607</v>
      </c>
      <c r="E259" s="7" t="s">
        <v>1734</v>
      </c>
      <c r="F259" s="7" t="s">
        <v>1735</v>
      </c>
      <c r="G259" s="7" t="s">
        <v>1736</v>
      </c>
      <c r="H259" s="7" t="s">
        <v>1737</v>
      </c>
      <c r="I259" s="7" t="s">
        <v>1295</v>
      </c>
      <c r="J259" s="7" t="s">
        <v>613</v>
      </c>
    </row>
    <row r="260" spans="1:10">
      <c r="A260" s="7" t="s">
        <v>1738</v>
      </c>
      <c r="B260" s="7" t="s">
        <v>7</v>
      </c>
      <c r="C260" s="7" t="s">
        <v>723</v>
      </c>
      <c r="D260" s="7" t="s">
        <v>605</v>
      </c>
      <c r="E260" s="7" t="s">
        <v>610</v>
      </c>
      <c r="F260" s="7" t="s">
        <v>1739</v>
      </c>
      <c r="G260" s="7" t="s">
        <v>1269</v>
      </c>
      <c r="H260" s="7" t="s">
        <v>1740</v>
      </c>
      <c r="I260" s="7" t="s">
        <v>647</v>
      </c>
      <c r="J260" s="7" t="s">
        <v>682</v>
      </c>
    </row>
    <row r="261" spans="1:10">
      <c r="A261" s="7" t="s">
        <v>1741</v>
      </c>
      <c r="B261" s="7" t="s">
        <v>589</v>
      </c>
      <c r="C261" s="7" t="s">
        <v>954</v>
      </c>
      <c r="D261" s="7" t="s">
        <v>607</v>
      </c>
      <c r="E261" s="7" t="s">
        <v>763</v>
      </c>
      <c r="F261" s="7" t="s">
        <v>1742</v>
      </c>
      <c r="G261" s="7" t="s">
        <v>1414</v>
      </c>
      <c r="H261" s="7" t="s">
        <v>1743</v>
      </c>
      <c r="I261" s="7" t="s">
        <v>358</v>
      </c>
      <c r="J261" s="7" t="s">
        <v>682</v>
      </c>
    </row>
    <row r="262" spans="1:10">
      <c r="A262" s="7" t="s">
        <v>1744</v>
      </c>
      <c r="B262" s="7" t="s">
        <v>248</v>
      </c>
      <c r="C262" s="7" t="s">
        <v>811</v>
      </c>
      <c r="D262" s="7" t="s">
        <v>622</v>
      </c>
      <c r="E262" s="7" t="s">
        <v>1107</v>
      </c>
      <c r="F262" s="7" t="s">
        <v>1745</v>
      </c>
      <c r="G262" s="7" t="s">
        <v>864</v>
      </c>
      <c r="H262" s="7" t="s">
        <v>1746</v>
      </c>
      <c r="I262" s="7" t="s">
        <v>393</v>
      </c>
      <c r="J262" s="7" t="s">
        <v>621</v>
      </c>
    </row>
    <row r="263" spans="1:10">
      <c r="A263" s="7" t="s">
        <v>1747</v>
      </c>
      <c r="B263" s="7" t="s">
        <v>230</v>
      </c>
      <c r="C263" s="7" t="s">
        <v>839</v>
      </c>
      <c r="D263" s="7" t="s">
        <v>622</v>
      </c>
      <c r="E263" s="7" t="s">
        <v>1158</v>
      </c>
      <c r="F263" s="7" t="s">
        <v>1748</v>
      </c>
      <c r="G263" s="7" t="s">
        <v>635</v>
      </c>
      <c r="H263" s="7" t="s">
        <v>1749</v>
      </c>
      <c r="I263" s="7" t="s">
        <v>1750</v>
      </c>
      <c r="J263" s="7" t="s">
        <v>640</v>
      </c>
    </row>
    <row r="264" spans="1:10">
      <c r="A264" s="7" t="s">
        <v>1751</v>
      </c>
      <c r="B264" s="7" t="s">
        <v>478</v>
      </c>
      <c r="C264" s="7" t="s">
        <v>901</v>
      </c>
      <c r="D264" s="7" t="s">
        <v>627</v>
      </c>
      <c r="E264" s="7" t="s">
        <v>765</v>
      </c>
      <c r="F264" s="7" t="s">
        <v>1752</v>
      </c>
      <c r="G264" s="7" t="s">
        <v>1140</v>
      </c>
      <c r="H264" s="7" t="s">
        <v>1753</v>
      </c>
      <c r="I264" s="7" t="s">
        <v>936</v>
      </c>
      <c r="J264" s="7" t="s">
        <v>633</v>
      </c>
    </row>
    <row r="265" spans="1:10">
      <c r="A265" s="7" t="s">
        <v>1754</v>
      </c>
      <c r="B265" s="7" t="s">
        <v>63</v>
      </c>
      <c r="C265" s="7" t="s">
        <v>728</v>
      </c>
      <c r="D265" s="7" t="s">
        <v>622</v>
      </c>
      <c r="E265" s="7" t="s">
        <v>733</v>
      </c>
      <c r="F265" s="7" t="s">
        <v>1755</v>
      </c>
      <c r="G265" s="7" t="s">
        <v>637</v>
      </c>
      <c r="H265" s="7" t="s">
        <v>1756</v>
      </c>
      <c r="I265" s="7" t="s">
        <v>805</v>
      </c>
      <c r="J265" s="7" t="s">
        <v>640</v>
      </c>
    </row>
    <row r="266" spans="1:10">
      <c r="A266" s="7" t="s">
        <v>1757</v>
      </c>
      <c r="B266" s="7" t="s">
        <v>356</v>
      </c>
      <c r="C266" s="7" t="s">
        <v>634</v>
      </c>
      <c r="D266" s="7" t="s">
        <v>605</v>
      </c>
      <c r="E266" s="7" t="s">
        <v>812</v>
      </c>
      <c r="F266" s="7" t="s">
        <v>1758</v>
      </c>
      <c r="G266" s="7" t="s">
        <v>637</v>
      </c>
      <c r="H266" s="7" t="s">
        <v>1759</v>
      </c>
      <c r="I266" s="7" t="s">
        <v>1693</v>
      </c>
      <c r="J266" s="7" t="s">
        <v>640</v>
      </c>
    </row>
    <row r="267" spans="1:10">
      <c r="A267" s="7" t="s">
        <v>1760</v>
      </c>
      <c r="B267" s="7" t="s">
        <v>230</v>
      </c>
      <c r="C267" s="7" t="s">
        <v>806</v>
      </c>
      <c r="D267" s="7" t="s">
        <v>605</v>
      </c>
      <c r="E267" s="7" t="s">
        <v>1761</v>
      </c>
      <c r="F267" s="7" t="s">
        <v>1762</v>
      </c>
      <c r="G267" s="7" t="s">
        <v>653</v>
      </c>
      <c r="H267" s="7" t="s">
        <v>1763</v>
      </c>
      <c r="I267" s="7" t="s">
        <v>1764</v>
      </c>
      <c r="J267" s="7" t="s">
        <v>633</v>
      </c>
    </row>
    <row r="268" spans="1:10">
      <c r="A268" s="7" t="s">
        <v>1765</v>
      </c>
      <c r="B268" s="7" t="s">
        <v>329</v>
      </c>
      <c r="C268" s="7" t="s">
        <v>802</v>
      </c>
      <c r="D268" s="7" t="s">
        <v>622</v>
      </c>
      <c r="E268" s="7" t="s">
        <v>693</v>
      </c>
      <c r="F268" s="7" t="s">
        <v>1766</v>
      </c>
      <c r="G268" s="7" t="s">
        <v>765</v>
      </c>
      <c r="H268" s="7" t="s">
        <v>1767</v>
      </c>
      <c r="I268" s="7" t="s">
        <v>1768</v>
      </c>
      <c r="J268" s="7" t="s">
        <v>682</v>
      </c>
    </row>
    <row r="269" spans="1:10">
      <c r="A269" s="7" t="s">
        <v>1769</v>
      </c>
      <c r="B269" s="7" t="s">
        <v>318</v>
      </c>
      <c r="C269" s="7" t="s">
        <v>684</v>
      </c>
      <c r="D269" s="7" t="s">
        <v>605</v>
      </c>
      <c r="E269" s="7" t="s">
        <v>1770</v>
      </c>
      <c r="F269" s="7" t="s">
        <v>1771</v>
      </c>
      <c r="G269" s="7" t="s">
        <v>1021</v>
      </c>
      <c r="H269" s="7" t="s">
        <v>1772</v>
      </c>
      <c r="I269" s="7" t="s">
        <v>816</v>
      </c>
      <c r="J269" s="7" t="s">
        <v>633</v>
      </c>
    </row>
    <row r="270" spans="1:10">
      <c r="A270" s="7" t="s">
        <v>1773</v>
      </c>
      <c r="B270" s="7" t="s">
        <v>146</v>
      </c>
      <c r="C270" s="7" t="s">
        <v>806</v>
      </c>
      <c r="D270" s="7" t="s">
        <v>605</v>
      </c>
      <c r="E270" s="7" t="s">
        <v>1774</v>
      </c>
      <c r="F270" s="7" t="s">
        <v>1775</v>
      </c>
      <c r="G270" s="7" t="s">
        <v>1776</v>
      </c>
      <c r="H270" s="7" t="s">
        <v>1777</v>
      </c>
      <c r="I270" s="7" t="s">
        <v>1778</v>
      </c>
      <c r="J270" s="7" t="s">
        <v>633</v>
      </c>
    </row>
    <row r="271" spans="1:10">
      <c r="A271" s="7" t="s">
        <v>1779</v>
      </c>
      <c r="B271" s="7" t="s">
        <v>496</v>
      </c>
      <c r="C271" s="7" t="s">
        <v>701</v>
      </c>
      <c r="D271" s="7" t="s">
        <v>607</v>
      </c>
      <c r="E271" s="7" t="s">
        <v>768</v>
      </c>
      <c r="F271" s="7" t="s">
        <v>1780</v>
      </c>
      <c r="G271" s="7" t="s">
        <v>937</v>
      </c>
      <c r="H271" s="7" t="s">
        <v>1781</v>
      </c>
      <c r="I271" s="7" t="s">
        <v>1043</v>
      </c>
      <c r="J271" s="7" t="s">
        <v>648</v>
      </c>
    </row>
    <row r="272" spans="1:10">
      <c r="A272" s="7" t="s">
        <v>1782</v>
      </c>
      <c r="B272" s="7" t="s">
        <v>236</v>
      </c>
      <c r="C272" s="7" t="s">
        <v>806</v>
      </c>
      <c r="D272" s="7" t="s">
        <v>607</v>
      </c>
      <c r="E272" s="7" t="s">
        <v>1550</v>
      </c>
      <c r="F272" s="7" t="s">
        <v>1783</v>
      </c>
      <c r="G272" s="7" t="s">
        <v>1392</v>
      </c>
      <c r="H272" s="7" t="s">
        <v>1784</v>
      </c>
      <c r="I272" s="7" t="s">
        <v>1785</v>
      </c>
      <c r="J272" s="7" t="s">
        <v>633</v>
      </c>
    </row>
    <row r="273" spans="1:10">
      <c r="A273" s="7" t="s">
        <v>1786</v>
      </c>
      <c r="B273" s="7" t="s">
        <v>98</v>
      </c>
      <c r="C273" s="7" t="s">
        <v>683</v>
      </c>
      <c r="D273" s="7" t="s">
        <v>605</v>
      </c>
      <c r="E273" s="7" t="s">
        <v>1787</v>
      </c>
      <c r="F273" s="7" t="s">
        <v>1788</v>
      </c>
      <c r="G273" s="7" t="s">
        <v>856</v>
      </c>
      <c r="H273" s="7" t="s">
        <v>1789</v>
      </c>
      <c r="I273" s="7" t="s">
        <v>1291</v>
      </c>
      <c r="J273" s="7" t="s">
        <v>613</v>
      </c>
    </row>
    <row r="274" spans="1:10">
      <c r="A274" s="7" t="s">
        <v>1790</v>
      </c>
      <c r="B274" s="7" t="s">
        <v>283</v>
      </c>
      <c r="C274" s="7" t="s">
        <v>668</v>
      </c>
      <c r="D274" s="7" t="s">
        <v>614</v>
      </c>
      <c r="E274" s="7" t="s">
        <v>1463</v>
      </c>
      <c r="F274" s="7" t="s">
        <v>1791</v>
      </c>
      <c r="G274" s="7" t="s">
        <v>1792</v>
      </c>
      <c r="H274" s="7" t="s">
        <v>1793</v>
      </c>
      <c r="I274" s="7" t="s">
        <v>721</v>
      </c>
      <c r="J274" s="7" t="s">
        <v>633</v>
      </c>
    </row>
    <row r="275" spans="1:10">
      <c r="A275" s="7" t="s">
        <v>1794</v>
      </c>
      <c r="B275" s="7" t="s">
        <v>460</v>
      </c>
      <c r="C275" s="7" t="s">
        <v>615</v>
      </c>
      <c r="D275" s="7" t="s">
        <v>607</v>
      </c>
      <c r="E275" s="7" t="s">
        <v>821</v>
      </c>
      <c r="F275" s="7" t="s">
        <v>1795</v>
      </c>
      <c r="G275" s="7" t="s">
        <v>864</v>
      </c>
      <c r="H275" s="7" t="s">
        <v>1796</v>
      </c>
      <c r="I275" s="7" t="s">
        <v>1778</v>
      </c>
      <c r="J275" s="7" t="s">
        <v>621</v>
      </c>
    </row>
    <row r="276" spans="1:10">
      <c r="A276" s="7" t="s">
        <v>1797</v>
      </c>
      <c r="B276" s="7" t="s">
        <v>170</v>
      </c>
      <c r="C276" s="7" t="s">
        <v>774</v>
      </c>
      <c r="D276" s="7" t="s">
        <v>605</v>
      </c>
      <c r="E276" s="7" t="s">
        <v>677</v>
      </c>
      <c r="F276" s="7" t="s">
        <v>1798</v>
      </c>
      <c r="G276" s="7" t="s">
        <v>610</v>
      </c>
      <c r="H276" s="7" t="s">
        <v>1799</v>
      </c>
      <c r="I276" s="7" t="s">
        <v>1800</v>
      </c>
      <c r="J276" s="7" t="s">
        <v>682</v>
      </c>
    </row>
    <row r="277" spans="1:10">
      <c r="A277" s="7" t="s">
        <v>1801</v>
      </c>
      <c r="B277" s="7" t="s">
        <v>385</v>
      </c>
      <c r="C277" s="7" t="s">
        <v>700</v>
      </c>
      <c r="D277" s="7" t="s">
        <v>614</v>
      </c>
      <c r="E277" s="7" t="s">
        <v>1802</v>
      </c>
      <c r="F277" s="7" t="s">
        <v>1803</v>
      </c>
      <c r="G277" s="7" t="s">
        <v>1000</v>
      </c>
      <c r="H277" s="7" t="s">
        <v>1804</v>
      </c>
      <c r="I277" s="7" t="s">
        <v>1805</v>
      </c>
      <c r="J277" s="7" t="s">
        <v>613</v>
      </c>
    </row>
    <row r="278" spans="1:10">
      <c r="A278" s="7" t="s">
        <v>1806</v>
      </c>
      <c r="B278" s="7" t="s">
        <v>367</v>
      </c>
      <c r="C278" s="7" t="s">
        <v>797</v>
      </c>
      <c r="D278" s="7" t="s">
        <v>607</v>
      </c>
      <c r="E278" s="7" t="s">
        <v>1021</v>
      </c>
      <c r="F278" s="7" t="s">
        <v>1807</v>
      </c>
      <c r="G278" s="7" t="s">
        <v>666</v>
      </c>
      <c r="H278" s="7" t="s">
        <v>1808</v>
      </c>
      <c r="I278" s="7" t="s">
        <v>468</v>
      </c>
      <c r="J278" s="7" t="s">
        <v>648</v>
      </c>
    </row>
    <row r="279" spans="1:10">
      <c r="A279" s="7" t="s">
        <v>1809</v>
      </c>
      <c r="B279" s="7" t="s">
        <v>265</v>
      </c>
      <c r="C279" s="7" t="s">
        <v>605</v>
      </c>
      <c r="D279" s="7" t="s">
        <v>614</v>
      </c>
      <c r="E279" s="7" t="s">
        <v>1810</v>
      </c>
      <c r="F279" s="7" t="s">
        <v>1811</v>
      </c>
      <c r="G279" s="7" t="s">
        <v>1812</v>
      </c>
      <c r="H279" s="7" t="s">
        <v>1813</v>
      </c>
      <c r="I279" s="7" t="s">
        <v>1814</v>
      </c>
      <c r="J279" s="7" t="s">
        <v>754</v>
      </c>
    </row>
    <row r="280" spans="1:10">
      <c r="A280" s="7" t="s">
        <v>1815</v>
      </c>
      <c r="B280" s="7" t="s">
        <v>397</v>
      </c>
      <c r="C280" s="7" t="s">
        <v>716</v>
      </c>
      <c r="D280" s="7" t="s">
        <v>627</v>
      </c>
      <c r="E280" s="7" t="s">
        <v>1792</v>
      </c>
      <c r="F280" s="7" t="s">
        <v>1816</v>
      </c>
      <c r="G280" s="7" t="s">
        <v>1817</v>
      </c>
      <c r="H280" s="7" t="s">
        <v>1818</v>
      </c>
      <c r="I280" s="7" t="s">
        <v>53</v>
      </c>
      <c r="J280" s="7" t="s">
        <v>613</v>
      </c>
    </row>
    <row r="281" spans="1:10">
      <c r="A281" s="7" t="s">
        <v>1819</v>
      </c>
      <c r="B281" s="7" t="s">
        <v>20</v>
      </c>
      <c r="C281" s="7" t="s">
        <v>722</v>
      </c>
      <c r="D281" s="7" t="s">
        <v>622</v>
      </c>
      <c r="E281" s="7" t="s">
        <v>1158</v>
      </c>
      <c r="F281" s="7" t="s">
        <v>1820</v>
      </c>
      <c r="G281" s="7" t="s">
        <v>735</v>
      </c>
      <c r="H281" s="7" t="s">
        <v>1821</v>
      </c>
      <c r="I281" s="7" t="s">
        <v>82</v>
      </c>
      <c r="J281" s="7" t="s">
        <v>640</v>
      </c>
    </row>
    <row r="282" spans="1:10">
      <c r="A282" s="7" t="s">
        <v>1822</v>
      </c>
      <c r="B282" s="7" t="s">
        <v>51</v>
      </c>
      <c r="C282" s="7" t="s">
        <v>700</v>
      </c>
      <c r="D282" s="7" t="s">
        <v>622</v>
      </c>
      <c r="E282" s="7" t="s">
        <v>1823</v>
      </c>
      <c r="F282" s="7" t="s">
        <v>1824</v>
      </c>
      <c r="G282" s="7" t="s">
        <v>1458</v>
      </c>
      <c r="H282" s="7" t="s">
        <v>1825</v>
      </c>
      <c r="I282" s="7" t="s">
        <v>527</v>
      </c>
      <c r="J282" s="7" t="s">
        <v>613</v>
      </c>
    </row>
    <row r="283" spans="1:10">
      <c r="A283" s="7" t="s">
        <v>1826</v>
      </c>
      <c r="B283" s="7" t="s">
        <v>543</v>
      </c>
      <c r="C283" s="7" t="s">
        <v>615</v>
      </c>
      <c r="D283" s="7" t="s">
        <v>614</v>
      </c>
      <c r="E283" s="7" t="s">
        <v>817</v>
      </c>
      <c r="F283" s="7" t="s">
        <v>1827</v>
      </c>
      <c r="G283" s="7" t="s">
        <v>1461</v>
      </c>
      <c r="H283" s="7" t="s">
        <v>1828</v>
      </c>
      <c r="I283" s="7" t="s">
        <v>82</v>
      </c>
      <c r="J283" s="7" t="s">
        <v>621</v>
      </c>
    </row>
    <row r="284" spans="1:10">
      <c r="A284" s="7" t="s">
        <v>1829</v>
      </c>
      <c r="B284" s="7" t="s">
        <v>508</v>
      </c>
      <c r="C284" s="7" t="s">
        <v>716</v>
      </c>
      <c r="D284" s="7" t="s">
        <v>614</v>
      </c>
      <c r="E284" s="7" t="s">
        <v>1153</v>
      </c>
      <c r="F284" s="7" t="s">
        <v>1830</v>
      </c>
      <c r="G284" s="7" t="s">
        <v>1831</v>
      </c>
      <c r="H284" s="7" t="s">
        <v>1832</v>
      </c>
      <c r="I284" s="7" t="s">
        <v>1833</v>
      </c>
      <c r="J284" s="7" t="s">
        <v>613</v>
      </c>
    </row>
    <row r="285" spans="1:10">
      <c r="A285" s="7" t="s">
        <v>1834</v>
      </c>
      <c r="B285" s="7" t="s">
        <v>339</v>
      </c>
      <c r="C285" s="7" t="s">
        <v>711</v>
      </c>
      <c r="D285" s="7" t="s">
        <v>605</v>
      </c>
      <c r="E285" s="7" t="s">
        <v>1369</v>
      </c>
      <c r="F285" s="7" t="s">
        <v>1835</v>
      </c>
      <c r="G285" s="7" t="s">
        <v>1479</v>
      </c>
      <c r="H285" s="7" t="s">
        <v>1836</v>
      </c>
      <c r="I285" s="7" t="s">
        <v>1047</v>
      </c>
      <c r="J285" s="7" t="s">
        <v>613</v>
      </c>
    </row>
    <row r="286" spans="1:10">
      <c r="A286" s="7" t="s">
        <v>1837</v>
      </c>
      <c r="B286" s="7" t="s">
        <v>484</v>
      </c>
      <c r="C286" s="7" t="s">
        <v>649</v>
      </c>
      <c r="D286" s="7" t="s">
        <v>607</v>
      </c>
      <c r="E286" s="7" t="s">
        <v>670</v>
      </c>
      <c r="F286" s="7" t="s">
        <v>1838</v>
      </c>
      <c r="G286" s="7" t="s">
        <v>1136</v>
      </c>
      <c r="H286" s="7" t="s">
        <v>1839</v>
      </c>
      <c r="I286" s="7" t="s">
        <v>1750</v>
      </c>
      <c r="J286" s="7" t="s">
        <v>682</v>
      </c>
    </row>
    <row r="287" spans="1:10">
      <c r="A287" s="7" t="s">
        <v>1840</v>
      </c>
      <c r="B287" s="7" t="s">
        <v>578</v>
      </c>
      <c r="C287" s="7" t="s">
        <v>872</v>
      </c>
      <c r="D287" s="7" t="s">
        <v>622</v>
      </c>
      <c r="E287" s="7" t="s">
        <v>763</v>
      </c>
      <c r="F287" s="7" t="s">
        <v>1841</v>
      </c>
      <c r="G287" s="7" t="s">
        <v>765</v>
      </c>
      <c r="H287" s="7" t="s">
        <v>1842</v>
      </c>
      <c r="I287" s="7" t="s">
        <v>1843</v>
      </c>
      <c r="J287" s="7" t="s">
        <v>682</v>
      </c>
    </row>
    <row r="288" spans="1:10">
      <c r="A288" s="7" t="s">
        <v>1844</v>
      </c>
      <c r="B288" s="7" t="s">
        <v>69</v>
      </c>
      <c r="C288" s="7" t="s">
        <v>649</v>
      </c>
      <c r="D288" s="7" t="s">
        <v>607</v>
      </c>
      <c r="E288" s="7" t="s">
        <v>679</v>
      </c>
      <c r="F288" s="7" t="s">
        <v>1845</v>
      </c>
      <c r="G288" s="7" t="s">
        <v>763</v>
      </c>
      <c r="H288" s="7" t="s">
        <v>1846</v>
      </c>
      <c r="I288" s="7" t="s">
        <v>1847</v>
      </c>
      <c r="J288" s="7" t="s">
        <v>682</v>
      </c>
    </row>
    <row r="289" spans="1:10">
      <c r="A289" s="7" t="s">
        <v>1848</v>
      </c>
      <c r="B289" s="7" t="s">
        <v>212</v>
      </c>
      <c r="C289" s="7" t="s">
        <v>797</v>
      </c>
      <c r="D289" s="7" t="s">
        <v>614</v>
      </c>
      <c r="E289" s="7" t="s">
        <v>1476</v>
      </c>
      <c r="F289" s="7" t="s">
        <v>1849</v>
      </c>
      <c r="G289" s="7" t="s">
        <v>1021</v>
      </c>
      <c r="H289" s="7" t="s">
        <v>1850</v>
      </c>
      <c r="I289" s="7" t="s">
        <v>1814</v>
      </c>
      <c r="J289" s="7" t="s">
        <v>648</v>
      </c>
    </row>
    <row r="290" spans="1:10">
      <c r="A290" s="7" t="s">
        <v>1851</v>
      </c>
      <c r="B290" s="7" t="s">
        <v>110</v>
      </c>
      <c r="C290" s="7" t="s">
        <v>756</v>
      </c>
      <c r="D290" s="7" t="s">
        <v>627</v>
      </c>
      <c r="E290" s="7" t="s">
        <v>666</v>
      </c>
      <c r="F290" s="7" t="s">
        <v>1852</v>
      </c>
      <c r="G290" s="7" t="s">
        <v>1431</v>
      </c>
      <c r="H290" s="7" t="s">
        <v>1853</v>
      </c>
      <c r="I290" s="7" t="s">
        <v>297</v>
      </c>
      <c r="J290" s="7" t="s">
        <v>613</v>
      </c>
    </row>
    <row r="291" spans="1:10">
      <c r="A291" s="7" t="s">
        <v>1854</v>
      </c>
      <c r="B291" s="7" t="s">
        <v>466</v>
      </c>
      <c r="C291" s="7" t="s">
        <v>954</v>
      </c>
      <c r="D291" s="7" t="s">
        <v>622</v>
      </c>
      <c r="E291" s="7" t="s">
        <v>763</v>
      </c>
      <c r="F291" s="7" t="s">
        <v>1855</v>
      </c>
      <c r="G291" s="7" t="s">
        <v>1269</v>
      </c>
      <c r="H291" s="7" t="s">
        <v>1856</v>
      </c>
      <c r="I291" s="7" t="s">
        <v>1697</v>
      </c>
      <c r="J291" s="7" t="s">
        <v>682</v>
      </c>
    </row>
    <row r="292" spans="1:10">
      <c r="A292" s="7" t="s">
        <v>1857</v>
      </c>
      <c r="B292" s="7" t="s">
        <v>425</v>
      </c>
      <c r="C292" s="7" t="s">
        <v>839</v>
      </c>
      <c r="D292" s="7" t="s">
        <v>614</v>
      </c>
      <c r="E292" s="7" t="s">
        <v>812</v>
      </c>
      <c r="F292" s="7" t="s">
        <v>1858</v>
      </c>
      <c r="G292" s="7" t="s">
        <v>635</v>
      </c>
      <c r="H292" s="7" t="s">
        <v>1859</v>
      </c>
      <c r="I292" s="7" t="s">
        <v>1640</v>
      </c>
      <c r="J292" s="7" t="s">
        <v>640</v>
      </c>
    </row>
    <row r="293" spans="1:10">
      <c r="A293" s="7" t="s">
        <v>1860</v>
      </c>
      <c r="B293" s="7" t="s">
        <v>318</v>
      </c>
      <c r="C293" s="7" t="s">
        <v>830</v>
      </c>
      <c r="D293" s="7" t="s">
        <v>605</v>
      </c>
      <c r="E293" s="7" t="s">
        <v>1861</v>
      </c>
      <c r="F293" s="7" t="s">
        <v>1862</v>
      </c>
      <c r="G293" s="7" t="s">
        <v>962</v>
      </c>
      <c r="H293" s="7" t="s">
        <v>1863</v>
      </c>
      <c r="I293" s="7" t="s">
        <v>1169</v>
      </c>
      <c r="J293" s="7" t="s">
        <v>613</v>
      </c>
    </row>
    <row r="294" spans="1:10">
      <c r="A294" s="7" t="s">
        <v>1864</v>
      </c>
      <c r="B294" s="7" t="s">
        <v>20</v>
      </c>
      <c r="C294" s="7" t="s">
        <v>605</v>
      </c>
      <c r="D294" s="7" t="s">
        <v>627</v>
      </c>
      <c r="E294" s="7" t="s">
        <v>1503</v>
      </c>
      <c r="F294" s="7" t="s">
        <v>1865</v>
      </c>
      <c r="G294" s="7" t="s">
        <v>1248</v>
      </c>
      <c r="H294" s="7" t="s">
        <v>1866</v>
      </c>
      <c r="I294" s="7" t="s">
        <v>1867</v>
      </c>
      <c r="J294" s="7" t="s">
        <v>754</v>
      </c>
    </row>
    <row r="295" spans="1:10">
      <c r="A295" s="7" t="s">
        <v>1868</v>
      </c>
      <c r="B295" s="7" t="s">
        <v>283</v>
      </c>
      <c r="C295" s="7" t="s">
        <v>762</v>
      </c>
      <c r="D295" s="7" t="s">
        <v>607</v>
      </c>
      <c r="E295" s="7" t="s">
        <v>1136</v>
      </c>
      <c r="F295" s="7" t="s">
        <v>1869</v>
      </c>
      <c r="G295" s="7" t="s">
        <v>679</v>
      </c>
      <c r="H295" s="7" t="s">
        <v>1870</v>
      </c>
      <c r="I295" s="7" t="s">
        <v>369</v>
      </c>
      <c r="J295" s="7" t="s">
        <v>682</v>
      </c>
    </row>
    <row r="296" spans="1:10">
      <c r="A296" s="7" t="s">
        <v>1871</v>
      </c>
      <c r="B296" s="7" t="s">
        <v>466</v>
      </c>
      <c r="C296" s="7" t="s">
        <v>715</v>
      </c>
      <c r="D296" s="7" t="s">
        <v>605</v>
      </c>
      <c r="E296" s="7" t="s">
        <v>1070</v>
      </c>
      <c r="F296" s="7" t="s">
        <v>1872</v>
      </c>
      <c r="G296" s="7" t="s">
        <v>1348</v>
      </c>
      <c r="H296" s="7" t="s">
        <v>1873</v>
      </c>
      <c r="I296" s="7" t="s">
        <v>1874</v>
      </c>
      <c r="J296" s="7" t="s">
        <v>633</v>
      </c>
    </row>
    <row r="297" spans="1:10">
      <c r="A297" s="7" t="s">
        <v>1875</v>
      </c>
      <c r="B297" s="7" t="s">
        <v>478</v>
      </c>
      <c r="C297" s="7" t="s">
        <v>959</v>
      </c>
      <c r="D297" s="7" t="s">
        <v>607</v>
      </c>
      <c r="E297" s="7" t="s">
        <v>1647</v>
      </c>
      <c r="F297" s="7" t="s">
        <v>1876</v>
      </c>
      <c r="G297" s="7" t="s">
        <v>1877</v>
      </c>
      <c r="H297" s="7" t="s">
        <v>1878</v>
      </c>
      <c r="I297" s="7" t="s">
        <v>1750</v>
      </c>
      <c r="J297" s="7" t="s">
        <v>633</v>
      </c>
    </row>
    <row r="298" spans="1:10">
      <c r="A298" s="7" t="s">
        <v>1879</v>
      </c>
      <c r="B298" s="7" t="s">
        <v>283</v>
      </c>
      <c r="C298" s="7" t="s">
        <v>690</v>
      </c>
      <c r="D298" s="7" t="s">
        <v>622</v>
      </c>
      <c r="E298" s="7" t="s">
        <v>785</v>
      </c>
      <c r="F298" s="7" t="s">
        <v>1880</v>
      </c>
      <c r="G298" s="7" t="s">
        <v>610</v>
      </c>
      <c r="H298" s="7" t="s">
        <v>1881</v>
      </c>
      <c r="I298" s="7" t="s">
        <v>591</v>
      </c>
      <c r="J298" s="7" t="s">
        <v>682</v>
      </c>
    </row>
    <row r="299" spans="1:10">
      <c r="A299" s="7" t="s">
        <v>1882</v>
      </c>
      <c r="B299" s="7" t="s">
        <v>339</v>
      </c>
      <c r="C299" s="7" t="s">
        <v>622</v>
      </c>
      <c r="D299" s="7" t="s">
        <v>605</v>
      </c>
      <c r="E299" s="7" t="s">
        <v>635</v>
      </c>
      <c r="F299" s="7" t="s">
        <v>1883</v>
      </c>
      <c r="G299" s="7" t="s">
        <v>735</v>
      </c>
      <c r="H299" s="7" t="s">
        <v>1884</v>
      </c>
      <c r="I299" s="7" t="s">
        <v>1440</v>
      </c>
      <c r="J299" s="7" t="s">
        <v>640</v>
      </c>
    </row>
    <row r="300" spans="1:10">
      <c r="A300" s="7" t="s">
        <v>1885</v>
      </c>
      <c r="B300" s="7" t="s">
        <v>537</v>
      </c>
      <c r="C300" s="7" t="s">
        <v>656</v>
      </c>
      <c r="D300" s="7" t="s">
        <v>607</v>
      </c>
      <c r="E300" s="7" t="s">
        <v>658</v>
      </c>
      <c r="F300" s="7" t="s">
        <v>1886</v>
      </c>
      <c r="G300" s="7" t="s">
        <v>1887</v>
      </c>
      <c r="H300" s="7" t="s">
        <v>1888</v>
      </c>
      <c r="I300" s="7" t="s">
        <v>214</v>
      </c>
      <c r="J300" s="7" t="s">
        <v>613</v>
      </c>
    </row>
    <row r="301" spans="1:10">
      <c r="A301" s="7" t="s">
        <v>1889</v>
      </c>
      <c r="B301" s="7" t="s">
        <v>194</v>
      </c>
      <c r="C301" s="7" t="s">
        <v>738</v>
      </c>
      <c r="D301" s="7" t="s">
        <v>605</v>
      </c>
      <c r="E301" s="7" t="s">
        <v>666</v>
      </c>
      <c r="F301" s="7" t="s">
        <v>1890</v>
      </c>
      <c r="G301" s="7" t="s">
        <v>957</v>
      </c>
      <c r="H301" s="7" t="s">
        <v>1891</v>
      </c>
      <c r="I301" s="7" t="s">
        <v>1892</v>
      </c>
      <c r="J301" s="7" t="s">
        <v>754</v>
      </c>
    </row>
    <row r="302" spans="1:10">
      <c r="A302" s="7" t="s">
        <v>1893</v>
      </c>
      <c r="B302" s="7" t="s">
        <v>414</v>
      </c>
      <c r="C302" s="7" t="s">
        <v>641</v>
      </c>
      <c r="D302" s="7" t="s">
        <v>622</v>
      </c>
      <c r="E302" s="7" t="s">
        <v>943</v>
      </c>
      <c r="F302" s="7" t="s">
        <v>1894</v>
      </c>
      <c r="G302" s="7" t="s">
        <v>693</v>
      </c>
      <c r="H302" s="7" t="s">
        <v>1895</v>
      </c>
      <c r="I302" s="7" t="s">
        <v>308</v>
      </c>
      <c r="J302" s="7" t="s">
        <v>682</v>
      </c>
    </row>
    <row r="303" spans="1:10">
      <c r="A303" s="7" t="s">
        <v>1896</v>
      </c>
      <c r="B303" s="7" t="s">
        <v>419</v>
      </c>
      <c r="C303" s="7" t="s">
        <v>755</v>
      </c>
      <c r="D303" s="7" t="s">
        <v>627</v>
      </c>
      <c r="E303" s="7" t="s">
        <v>1897</v>
      </c>
      <c r="F303" s="7" t="s">
        <v>1898</v>
      </c>
      <c r="G303" s="7" t="s">
        <v>1774</v>
      </c>
      <c r="H303" s="7" t="s">
        <v>1899</v>
      </c>
      <c r="I303" s="7" t="s">
        <v>314</v>
      </c>
      <c r="J303" s="7" t="s">
        <v>613</v>
      </c>
    </row>
    <row r="304" spans="1:10">
      <c r="A304" s="7" t="s">
        <v>1900</v>
      </c>
      <c r="B304" s="7" t="s">
        <v>306</v>
      </c>
      <c r="C304" s="7" t="s">
        <v>628</v>
      </c>
      <c r="D304" s="7" t="s">
        <v>605</v>
      </c>
      <c r="E304" s="7" t="s">
        <v>1167</v>
      </c>
      <c r="F304" s="7" t="s">
        <v>1901</v>
      </c>
      <c r="G304" s="7" t="s">
        <v>1902</v>
      </c>
      <c r="H304" s="7" t="s">
        <v>1903</v>
      </c>
      <c r="I304" s="7" t="s">
        <v>1074</v>
      </c>
      <c r="J304" s="7" t="s">
        <v>633</v>
      </c>
    </row>
    <row r="305" spans="1:10">
      <c r="A305" s="7" t="s">
        <v>1904</v>
      </c>
      <c r="B305" s="7" t="s">
        <v>519</v>
      </c>
      <c r="C305" s="7" t="s">
        <v>606</v>
      </c>
      <c r="D305" s="7" t="s">
        <v>622</v>
      </c>
      <c r="E305" s="7" t="s">
        <v>765</v>
      </c>
      <c r="F305" s="7" t="s">
        <v>1905</v>
      </c>
      <c r="G305" s="7" t="s">
        <v>879</v>
      </c>
      <c r="H305" s="7" t="s">
        <v>1906</v>
      </c>
      <c r="I305" s="7" t="s">
        <v>498</v>
      </c>
      <c r="J305" s="7" t="s">
        <v>613</v>
      </c>
    </row>
    <row r="306" spans="1:10">
      <c r="A306" s="7" t="s">
        <v>1907</v>
      </c>
      <c r="B306" s="7" t="s">
        <v>20</v>
      </c>
      <c r="C306" s="7" t="s">
        <v>762</v>
      </c>
      <c r="D306" s="7" t="s">
        <v>605</v>
      </c>
      <c r="E306" s="7" t="s">
        <v>677</v>
      </c>
      <c r="F306" s="7" t="s">
        <v>1908</v>
      </c>
      <c r="G306" s="7" t="s">
        <v>1269</v>
      </c>
      <c r="H306" s="7" t="s">
        <v>1909</v>
      </c>
      <c r="I306" s="7" t="s">
        <v>1371</v>
      </c>
      <c r="J306" s="7" t="s">
        <v>682</v>
      </c>
    </row>
    <row r="307" spans="1:10">
      <c r="A307" s="7" t="s">
        <v>1910</v>
      </c>
      <c r="B307" s="7" t="s">
        <v>502</v>
      </c>
      <c r="C307" s="7" t="s">
        <v>839</v>
      </c>
      <c r="D307" s="7" t="s">
        <v>627</v>
      </c>
      <c r="E307" s="7" t="s">
        <v>996</v>
      </c>
      <c r="F307" s="7" t="s">
        <v>1911</v>
      </c>
      <c r="G307" s="7" t="s">
        <v>735</v>
      </c>
      <c r="H307" s="7" t="s">
        <v>1912</v>
      </c>
      <c r="I307" s="7" t="s">
        <v>1913</v>
      </c>
      <c r="J307" s="7" t="s">
        <v>640</v>
      </c>
    </row>
    <row r="308" spans="1:10">
      <c r="A308" s="7" t="s">
        <v>1914</v>
      </c>
      <c r="B308" s="7" t="s">
        <v>254</v>
      </c>
      <c r="C308" s="7" t="s">
        <v>622</v>
      </c>
      <c r="D308" s="7" t="s">
        <v>605</v>
      </c>
      <c r="E308" s="7" t="s">
        <v>996</v>
      </c>
      <c r="F308" s="7" t="s">
        <v>1915</v>
      </c>
      <c r="G308" s="7" t="s">
        <v>895</v>
      </c>
      <c r="H308" s="7" t="s">
        <v>1916</v>
      </c>
      <c r="I308" s="7" t="s">
        <v>1570</v>
      </c>
      <c r="J308" s="7" t="s">
        <v>640</v>
      </c>
    </row>
    <row r="309" spans="1:10">
      <c r="A309" s="7" t="s">
        <v>1917</v>
      </c>
      <c r="B309" s="7" t="s">
        <v>33</v>
      </c>
      <c r="C309" s="7" t="s">
        <v>901</v>
      </c>
      <c r="D309" s="7" t="s">
        <v>605</v>
      </c>
      <c r="E309" s="7" t="s">
        <v>1918</v>
      </c>
      <c r="F309" s="7" t="s">
        <v>1919</v>
      </c>
      <c r="G309" s="7" t="s">
        <v>765</v>
      </c>
      <c r="H309" s="7" t="s">
        <v>1920</v>
      </c>
      <c r="I309" s="7" t="s">
        <v>854</v>
      </c>
      <c r="J309" s="7" t="s">
        <v>633</v>
      </c>
    </row>
    <row r="310" spans="1:10">
      <c r="A310" s="7" t="s">
        <v>1921</v>
      </c>
      <c r="B310" s="7" t="s">
        <v>419</v>
      </c>
      <c r="C310" s="7" t="s">
        <v>696</v>
      </c>
      <c r="D310" s="7" t="s">
        <v>627</v>
      </c>
      <c r="E310" s="7" t="s">
        <v>921</v>
      </c>
      <c r="F310" s="7" t="s">
        <v>1922</v>
      </c>
      <c r="G310" s="7" t="s">
        <v>618</v>
      </c>
      <c r="H310" s="7" t="s">
        <v>1923</v>
      </c>
      <c r="I310" s="7" t="s">
        <v>82</v>
      </c>
      <c r="J310" s="7" t="s">
        <v>621</v>
      </c>
    </row>
    <row r="311" spans="1:10">
      <c r="A311" s="7" t="s">
        <v>1924</v>
      </c>
      <c r="B311" s="7" t="s">
        <v>362</v>
      </c>
      <c r="C311" s="7" t="s">
        <v>684</v>
      </c>
      <c r="D311" s="7" t="s">
        <v>622</v>
      </c>
      <c r="E311" s="7" t="s">
        <v>643</v>
      </c>
      <c r="F311" s="7" t="s">
        <v>1925</v>
      </c>
      <c r="G311" s="7" t="s">
        <v>1426</v>
      </c>
      <c r="H311" s="7" t="s">
        <v>1926</v>
      </c>
      <c r="I311" s="7" t="s">
        <v>1605</v>
      </c>
      <c r="J311" s="7" t="s">
        <v>633</v>
      </c>
    </row>
    <row r="312" spans="1:10">
      <c r="A312" s="7" t="s">
        <v>1927</v>
      </c>
      <c r="B312" s="7" t="s">
        <v>306</v>
      </c>
      <c r="C312" s="7" t="s">
        <v>820</v>
      </c>
      <c r="D312" s="7" t="s">
        <v>614</v>
      </c>
      <c r="E312" s="7" t="s">
        <v>955</v>
      </c>
      <c r="F312" s="7" t="s">
        <v>1928</v>
      </c>
      <c r="G312" s="7" t="s">
        <v>1616</v>
      </c>
      <c r="H312" s="7" t="s">
        <v>1929</v>
      </c>
      <c r="I312" s="7" t="s">
        <v>130</v>
      </c>
      <c r="J312" s="7" t="s">
        <v>754</v>
      </c>
    </row>
    <row r="313" spans="1:10">
      <c r="A313" s="7" t="s">
        <v>1930</v>
      </c>
      <c r="B313" s="7" t="s">
        <v>265</v>
      </c>
      <c r="C313" s="7" t="s">
        <v>663</v>
      </c>
      <c r="D313" s="7" t="s">
        <v>605</v>
      </c>
      <c r="E313" s="7" t="s">
        <v>768</v>
      </c>
      <c r="F313" s="7" t="s">
        <v>1931</v>
      </c>
      <c r="G313" s="7" t="s">
        <v>888</v>
      </c>
      <c r="H313" s="7" t="s">
        <v>1932</v>
      </c>
      <c r="I313" s="7" t="s">
        <v>1933</v>
      </c>
      <c r="J313" s="7" t="s">
        <v>648</v>
      </c>
    </row>
    <row r="314" spans="1:10">
      <c r="A314" s="7" t="s">
        <v>1934</v>
      </c>
      <c r="B314" s="7" t="s">
        <v>334</v>
      </c>
      <c r="C314" s="7" t="s">
        <v>756</v>
      </c>
      <c r="D314" s="7" t="s">
        <v>614</v>
      </c>
      <c r="E314" s="7" t="s">
        <v>1935</v>
      </c>
      <c r="F314" s="7" t="s">
        <v>1936</v>
      </c>
      <c r="G314" s="7" t="s">
        <v>1937</v>
      </c>
      <c r="H314" s="7" t="s">
        <v>1938</v>
      </c>
      <c r="I314" s="7" t="s">
        <v>1939</v>
      </c>
      <c r="J314" s="7" t="s">
        <v>613</v>
      </c>
    </row>
    <row r="315" spans="1:10">
      <c r="A315" s="7" t="s">
        <v>1940</v>
      </c>
      <c r="B315" s="7" t="s">
        <v>176</v>
      </c>
      <c r="C315" s="7" t="s">
        <v>657</v>
      </c>
      <c r="D315" s="7" t="s">
        <v>627</v>
      </c>
      <c r="E315" s="7" t="s">
        <v>827</v>
      </c>
      <c r="F315" s="7" t="s">
        <v>1941</v>
      </c>
      <c r="G315" s="7" t="s">
        <v>698</v>
      </c>
      <c r="H315" s="7" t="s">
        <v>1942</v>
      </c>
      <c r="I315" s="7" t="s">
        <v>1400</v>
      </c>
      <c r="J315" s="7" t="s">
        <v>621</v>
      </c>
    </row>
    <row r="316" spans="1:10">
      <c r="A316" s="7" t="s">
        <v>1943</v>
      </c>
      <c r="B316" s="7" t="s">
        <v>373</v>
      </c>
      <c r="C316" s="7" t="s">
        <v>762</v>
      </c>
      <c r="D316" s="7" t="s">
        <v>607</v>
      </c>
      <c r="E316" s="7" t="s">
        <v>763</v>
      </c>
      <c r="F316" s="7" t="s">
        <v>1944</v>
      </c>
      <c r="G316" s="7" t="s">
        <v>1918</v>
      </c>
      <c r="H316" s="7" t="s">
        <v>1945</v>
      </c>
      <c r="I316" s="7" t="s">
        <v>1946</v>
      </c>
      <c r="J316" s="7" t="s">
        <v>682</v>
      </c>
    </row>
    <row r="317" spans="1:10">
      <c r="A317" s="7" t="s">
        <v>1947</v>
      </c>
      <c r="B317" s="7" t="s">
        <v>289</v>
      </c>
      <c r="C317" s="7" t="s">
        <v>614</v>
      </c>
      <c r="D317" s="7" t="s">
        <v>607</v>
      </c>
      <c r="E317" s="7" t="s">
        <v>635</v>
      </c>
      <c r="F317" s="7" t="s">
        <v>1948</v>
      </c>
      <c r="G317" s="7" t="s">
        <v>814</v>
      </c>
      <c r="H317" s="7" t="s">
        <v>1949</v>
      </c>
      <c r="I317" s="7" t="s">
        <v>1847</v>
      </c>
      <c r="J317" s="7" t="s">
        <v>640</v>
      </c>
    </row>
    <row r="318" spans="1:10">
      <c r="A318" s="7" t="s">
        <v>1950</v>
      </c>
      <c r="B318" s="7" t="s">
        <v>86</v>
      </c>
      <c r="C318" s="7" t="s">
        <v>774</v>
      </c>
      <c r="D318" s="7" t="s">
        <v>622</v>
      </c>
      <c r="E318" s="7" t="s">
        <v>724</v>
      </c>
      <c r="F318" s="7" t="s">
        <v>1951</v>
      </c>
      <c r="G318" s="7" t="s">
        <v>877</v>
      </c>
      <c r="H318" s="7" t="s">
        <v>1952</v>
      </c>
      <c r="I318" s="7" t="s">
        <v>486</v>
      </c>
      <c r="J318" s="7" t="s">
        <v>682</v>
      </c>
    </row>
    <row r="319" spans="1:10">
      <c r="A319" s="7" t="s">
        <v>1953</v>
      </c>
      <c r="B319" s="7" t="s">
        <v>230</v>
      </c>
      <c r="C319" s="7" t="s">
        <v>762</v>
      </c>
      <c r="D319" s="7" t="s">
        <v>607</v>
      </c>
      <c r="E319" s="7" t="s">
        <v>724</v>
      </c>
      <c r="F319" s="7" t="s">
        <v>1954</v>
      </c>
      <c r="G319" s="7" t="s">
        <v>974</v>
      </c>
      <c r="H319" s="7" t="s">
        <v>1955</v>
      </c>
      <c r="I319" s="7" t="s">
        <v>1956</v>
      </c>
      <c r="J319" s="7" t="s">
        <v>682</v>
      </c>
    </row>
    <row r="320" spans="1:10">
      <c r="A320" s="7" t="s">
        <v>1957</v>
      </c>
      <c r="B320" s="7" t="s">
        <v>265</v>
      </c>
      <c r="C320" s="7" t="s">
        <v>931</v>
      </c>
      <c r="D320" s="7" t="s">
        <v>605</v>
      </c>
      <c r="E320" s="7" t="s">
        <v>643</v>
      </c>
      <c r="F320" s="7" t="s">
        <v>1958</v>
      </c>
      <c r="G320" s="7" t="s">
        <v>645</v>
      </c>
      <c r="H320" s="7" t="s">
        <v>1959</v>
      </c>
      <c r="I320" s="7" t="s">
        <v>1960</v>
      </c>
      <c r="J320" s="7" t="s">
        <v>648</v>
      </c>
    </row>
    <row r="321" spans="1:10">
      <c r="A321" s="7" t="s">
        <v>1961</v>
      </c>
      <c r="B321" s="7" t="s">
        <v>45</v>
      </c>
      <c r="C321" s="7" t="s">
        <v>690</v>
      </c>
      <c r="D321" s="7" t="s">
        <v>605</v>
      </c>
      <c r="E321" s="7" t="s">
        <v>1136</v>
      </c>
      <c r="F321" s="7" t="s">
        <v>1568</v>
      </c>
      <c r="G321" s="7" t="s">
        <v>672</v>
      </c>
      <c r="H321" s="7" t="s">
        <v>1962</v>
      </c>
      <c r="I321" s="7" t="s">
        <v>1625</v>
      </c>
      <c r="J321" s="7" t="s">
        <v>682</v>
      </c>
    </row>
    <row r="322" spans="1:10">
      <c r="A322" s="7" t="s">
        <v>1963</v>
      </c>
      <c r="B322" s="7" t="s">
        <v>295</v>
      </c>
      <c r="C322" s="7" t="s">
        <v>683</v>
      </c>
      <c r="D322" s="7" t="s">
        <v>607</v>
      </c>
      <c r="E322" s="7" t="s">
        <v>672</v>
      </c>
      <c r="F322" s="7" t="s">
        <v>1964</v>
      </c>
      <c r="G322" s="7" t="s">
        <v>1297</v>
      </c>
      <c r="H322" s="7" t="s">
        <v>1965</v>
      </c>
      <c r="I322" s="7" t="s">
        <v>1966</v>
      </c>
      <c r="J322" s="7" t="s">
        <v>613</v>
      </c>
    </row>
    <row r="323" spans="1:10">
      <c r="A323" s="7" t="s">
        <v>1967</v>
      </c>
      <c r="B323" s="7" t="s">
        <v>334</v>
      </c>
      <c r="C323" s="7" t="s">
        <v>700</v>
      </c>
      <c r="D323" s="7" t="s">
        <v>605</v>
      </c>
      <c r="E323" s="7" t="s">
        <v>1877</v>
      </c>
      <c r="F323" s="7" t="s">
        <v>1968</v>
      </c>
      <c r="G323" s="7" t="s">
        <v>793</v>
      </c>
      <c r="H323" s="7" t="s">
        <v>1969</v>
      </c>
      <c r="I323" s="7" t="s">
        <v>1970</v>
      </c>
      <c r="J323" s="7" t="s">
        <v>613</v>
      </c>
    </row>
    <row r="324" spans="1:10">
      <c r="A324" s="7" t="s">
        <v>1971</v>
      </c>
      <c r="B324" s="7" t="s">
        <v>80</v>
      </c>
      <c r="C324" s="7" t="s">
        <v>716</v>
      </c>
      <c r="D324" s="7" t="s">
        <v>614</v>
      </c>
      <c r="E324" s="7" t="s">
        <v>733</v>
      </c>
      <c r="F324" s="7" t="s">
        <v>1972</v>
      </c>
      <c r="G324" s="7" t="s">
        <v>812</v>
      </c>
      <c r="H324" s="7" t="s">
        <v>1973</v>
      </c>
      <c r="I324" s="7" t="s">
        <v>521</v>
      </c>
      <c r="J324" s="7" t="s">
        <v>613</v>
      </c>
    </row>
    <row r="325" spans="1:10">
      <c r="A325" s="7" t="s">
        <v>1974</v>
      </c>
      <c r="B325" s="7" t="s">
        <v>431</v>
      </c>
      <c r="C325" s="7" t="s">
        <v>628</v>
      </c>
      <c r="D325" s="7" t="s">
        <v>614</v>
      </c>
      <c r="E325" s="7" t="s">
        <v>1975</v>
      </c>
      <c r="F325" s="7" t="s">
        <v>1976</v>
      </c>
      <c r="G325" s="7" t="s">
        <v>635</v>
      </c>
      <c r="H325" s="7" t="s">
        <v>1977</v>
      </c>
      <c r="I325" s="7" t="s">
        <v>387</v>
      </c>
      <c r="J325" s="7" t="s">
        <v>633</v>
      </c>
    </row>
    <row r="326" spans="1:10">
      <c r="A326" s="7" t="s">
        <v>1978</v>
      </c>
      <c r="B326" s="7" t="s">
        <v>537</v>
      </c>
      <c r="C326" s="7" t="s">
        <v>664</v>
      </c>
      <c r="D326" s="7" t="s">
        <v>607</v>
      </c>
      <c r="E326" s="7" t="s">
        <v>950</v>
      </c>
      <c r="F326" s="7" t="s">
        <v>1979</v>
      </c>
      <c r="G326" s="7" t="s">
        <v>1503</v>
      </c>
      <c r="H326" s="7" t="s">
        <v>1980</v>
      </c>
      <c r="I326" s="7" t="s">
        <v>1263</v>
      </c>
      <c r="J326" s="7" t="s">
        <v>648</v>
      </c>
    </row>
    <row r="327" spans="1:10">
      <c r="A327" s="7" t="s">
        <v>1981</v>
      </c>
      <c r="B327" s="7" t="s">
        <v>519</v>
      </c>
      <c r="C327" s="7" t="s">
        <v>797</v>
      </c>
      <c r="D327" s="7" t="s">
        <v>622</v>
      </c>
      <c r="E327" s="7" t="s">
        <v>888</v>
      </c>
      <c r="F327" s="7" t="s">
        <v>1982</v>
      </c>
      <c r="G327" s="7" t="s">
        <v>1289</v>
      </c>
      <c r="H327" s="7" t="s">
        <v>1983</v>
      </c>
      <c r="I327" s="7" t="s">
        <v>9</v>
      </c>
      <c r="J327" s="7" t="s">
        <v>648</v>
      </c>
    </row>
    <row r="328" spans="1:10">
      <c r="A328" s="7" t="s">
        <v>1984</v>
      </c>
      <c r="B328" s="7" t="s">
        <v>289</v>
      </c>
      <c r="C328" s="7" t="s">
        <v>876</v>
      </c>
      <c r="D328" s="7" t="s">
        <v>605</v>
      </c>
      <c r="E328" s="7" t="s">
        <v>1985</v>
      </c>
      <c r="F328" s="7" t="s">
        <v>1986</v>
      </c>
      <c r="G328" s="7" t="s">
        <v>1987</v>
      </c>
      <c r="H328" s="7" t="s">
        <v>1988</v>
      </c>
      <c r="I328" s="7" t="s">
        <v>1847</v>
      </c>
      <c r="J328" s="7" t="s">
        <v>754</v>
      </c>
    </row>
    <row r="329" spans="1:10">
      <c r="A329" s="7" t="s">
        <v>1989</v>
      </c>
      <c r="B329" s="7" t="s">
        <v>146</v>
      </c>
      <c r="C329" s="7" t="s">
        <v>716</v>
      </c>
      <c r="D329" s="7" t="s">
        <v>622</v>
      </c>
      <c r="E329" s="7" t="s">
        <v>1490</v>
      </c>
      <c r="F329" s="7" t="s">
        <v>1990</v>
      </c>
      <c r="G329" s="7" t="s">
        <v>1223</v>
      </c>
      <c r="H329" s="7" t="s">
        <v>1991</v>
      </c>
      <c r="I329" s="7" t="s">
        <v>273</v>
      </c>
      <c r="J329" s="7" t="s">
        <v>613</v>
      </c>
    </row>
    <row r="330" spans="1:10">
      <c r="A330" s="7" t="s">
        <v>1992</v>
      </c>
      <c r="B330" s="7" t="s">
        <v>560</v>
      </c>
      <c r="C330" s="7" t="s">
        <v>711</v>
      </c>
      <c r="D330" s="7" t="s">
        <v>622</v>
      </c>
      <c r="E330" s="7" t="s">
        <v>645</v>
      </c>
      <c r="F330" s="7" t="s">
        <v>1993</v>
      </c>
      <c r="G330" s="7" t="s">
        <v>1503</v>
      </c>
      <c r="H330" s="7" t="s">
        <v>1994</v>
      </c>
      <c r="I330" s="7" t="s">
        <v>1995</v>
      </c>
      <c r="J330" s="7" t="s">
        <v>613</v>
      </c>
    </row>
    <row r="331" spans="1:10">
      <c r="A331" s="7" t="s">
        <v>1996</v>
      </c>
      <c r="B331" s="7" t="s">
        <v>350</v>
      </c>
      <c r="C331" s="7" t="s">
        <v>909</v>
      </c>
      <c r="D331" s="7" t="s">
        <v>614</v>
      </c>
      <c r="E331" s="7" t="s">
        <v>1426</v>
      </c>
      <c r="F331" s="7" t="s">
        <v>1997</v>
      </c>
      <c r="G331" s="7" t="s">
        <v>937</v>
      </c>
      <c r="H331" s="7" t="s">
        <v>1998</v>
      </c>
      <c r="I331" s="7" t="s">
        <v>1051</v>
      </c>
      <c r="J331" s="7" t="s">
        <v>648</v>
      </c>
    </row>
    <row r="332" spans="1:10">
      <c r="A332" s="7" t="s">
        <v>1999</v>
      </c>
      <c r="B332" s="7" t="s">
        <v>140</v>
      </c>
      <c r="C332" s="7" t="s">
        <v>615</v>
      </c>
      <c r="D332" s="7" t="s">
        <v>607</v>
      </c>
      <c r="E332" s="7" t="s">
        <v>712</v>
      </c>
      <c r="F332" s="7" t="s">
        <v>2000</v>
      </c>
      <c r="G332" s="7" t="s">
        <v>827</v>
      </c>
      <c r="H332" s="7" t="s">
        <v>2001</v>
      </c>
      <c r="I332" s="7" t="s">
        <v>1785</v>
      </c>
      <c r="J332" s="7" t="s">
        <v>621</v>
      </c>
    </row>
    <row r="333" spans="1:10">
      <c r="A333" s="7" t="s">
        <v>2002</v>
      </c>
      <c r="B333" s="7" t="s">
        <v>312</v>
      </c>
      <c r="C333" s="7" t="s">
        <v>691</v>
      </c>
      <c r="D333" s="7" t="s">
        <v>607</v>
      </c>
      <c r="E333" s="7" t="s">
        <v>1877</v>
      </c>
      <c r="F333" s="7" t="s">
        <v>2003</v>
      </c>
      <c r="G333" s="7" t="s">
        <v>856</v>
      </c>
      <c r="H333" s="7" t="s">
        <v>2004</v>
      </c>
      <c r="I333" s="7" t="s">
        <v>710</v>
      </c>
      <c r="J333" s="7" t="s">
        <v>613</v>
      </c>
    </row>
    <row r="334" spans="1:10">
      <c r="A334" s="7" t="s">
        <v>2005</v>
      </c>
      <c r="B334" s="7" t="s">
        <v>589</v>
      </c>
      <c r="C334" s="7" t="s">
        <v>738</v>
      </c>
      <c r="D334" s="7" t="s">
        <v>607</v>
      </c>
      <c r="E334" s="7" t="s">
        <v>733</v>
      </c>
      <c r="F334" s="7" t="s">
        <v>2006</v>
      </c>
      <c r="G334" s="7" t="s">
        <v>812</v>
      </c>
      <c r="H334" s="7" t="s">
        <v>2007</v>
      </c>
      <c r="I334" s="7" t="s">
        <v>2008</v>
      </c>
      <c r="J334" s="7" t="s">
        <v>754</v>
      </c>
    </row>
    <row r="335" spans="1:10">
      <c r="A335" s="7" t="s">
        <v>2009</v>
      </c>
      <c r="B335" s="7" t="s">
        <v>391</v>
      </c>
      <c r="C335" s="7" t="s">
        <v>886</v>
      </c>
      <c r="D335" s="7" t="s">
        <v>605</v>
      </c>
      <c r="E335" s="7" t="s">
        <v>966</v>
      </c>
      <c r="F335" s="7" t="s">
        <v>2010</v>
      </c>
      <c r="G335" s="7" t="s">
        <v>937</v>
      </c>
      <c r="H335" s="7" t="s">
        <v>2011</v>
      </c>
      <c r="I335" s="7" t="s">
        <v>1400</v>
      </c>
      <c r="J335" s="7" t="s">
        <v>648</v>
      </c>
    </row>
    <row r="336" spans="1:10">
      <c r="A336" s="7" t="s">
        <v>2012</v>
      </c>
      <c r="B336" s="7" t="s">
        <v>80</v>
      </c>
      <c r="C336" s="7" t="s">
        <v>711</v>
      </c>
      <c r="D336" s="7" t="s">
        <v>614</v>
      </c>
      <c r="E336" s="7" t="s">
        <v>1107</v>
      </c>
      <c r="F336" s="7" t="s">
        <v>2013</v>
      </c>
      <c r="G336" s="7" t="s">
        <v>658</v>
      </c>
      <c r="H336" s="7" t="s">
        <v>2014</v>
      </c>
      <c r="I336" s="7" t="s">
        <v>574</v>
      </c>
      <c r="J336" s="7" t="s">
        <v>613</v>
      </c>
    </row>
    <row r="337" spans="1:10">
      <c r="A337" s="7" t="s">
        <v>2015</v>
      </c>
      <c r="B337" s="7" t="s">
        <v>408</v>
      </c>
      <c r="C337" s="7" t="s">
        <v>886</v>
      </c>
      <c r="D337" s="7" t="s">
        <v>605</v>
      </c>
      <c r="E337" s="7" t="s">
        <v>643</v>
      </c>
      <c r="F337" s="7" t="s">
        <v>2016</v>
      </c>
      <c r="G337" s="7" t="s">
        <v>950</v>
      </c>
      <c r="H337" s="7" t="s">
        <v>2017</v>
      </c>
      <c r="I337" s="7" t="s">
        <v>498</v>
      </c>
      <c r="J337" s="7" t="s">
        <v>648</v>
      </c>
    </row>
    <row r="338" spans="1:10">
      <c r="A338" s="7" t="s">
        <v>2018</v>
      </c>
      <c r="B338" s="7" t="s">
        <v>51</v>
      </c>
      <c r="C338" s="7" t="s">
        <v>747</v>
      </c>
      <c r="D338" s="7" t="s">
        <v>622</v>
      </c>
      <c r="E338" s="7" t="s">
        <v>1261</v>
      </c>
      <c r="F338" s="7" t="s">
        <v>2019</v>
      </c>
      <c r="G338" s="7" t="s">
        <v>2020</v>
      </c>
      <c r="H338" s="7" t="s">
        <v>2021</v>
      </c>
      <c r="I338" s="7" t="s">
        <v>1677</v>
      </c>
      <c r="J338" s="7" t="s">
        <v>633</v>
      </c>
    </row>
    <row r="339" spans="1:10">
      <c r="A339" s="7" t="s">
        <v>2022</v>
      </c>
      <c r="B339" s="7" t="s">
        <v>514</v>
      </c>
      <c r="C339" s="7" t="s">
        <v>701</v>
      </c>
      <c r="D339" s="7" t="s">
        <v>622</v>
      </c>
      <c r="E339" s="7" t="s">
        <v>643</v>
      </c>
      <c r="F339" s="7" t="s">
        <v>2023</v>
      </c>
      <c r="G339" s="7" t="s">
        <v>966</v>
      </c>
      <c r="H339" s="7" t="s">
        <v>2024</v>
      </c>
      <c r="I339" s="7" t="s">
        <v>9</v>
      </c>
      <c r="J339" s="7" t="s">
        <v>648</v>
      </c>
    </row>
    <row r="340" spans="1:10">
      <c r="A340" s="7" t="s">
        <v>2025</v>
      </c>
      <c r="B340" s="7" t="s">
        <v>490</v>
      </c>
      <c r="C340" s="7" t="s">
        <v>656</v>
      </c>
      <c r="D340" s="7" t="s">
        <v>605</v>
      </c>
      <c r="E340" s="7" t="s">
        <v>2026</v>
      </c>
      <c r="F340" s="7" t="s">
        <v>2027</v>
      </c>
      <c r="G340" s="7" t="s">
        <v>2028</v>
      </c>
      <c r="H340" s="7" t="s">
        <v>2029</v>
      </c>
      <c r="I340" s="7" t="s">
        <v>647</v>
      </c>
      <c r="J340" s="7" t="s">
        <v>613</v>
      </c>
    </row>
    <row r="341" spans="1:10">
      <c r="A341" s="7" t="s">
        <v>2030</v>
      </c>
      <c r="B341" s="7" t="s">
        <v>449</v>
      </c>
      <c r="C341" s="7" t="s">
        <v>684</v>
      </c>
      <c r="D341" s="7" t="s">
        <v>622</v>
      </c>
      <c r="E341" s="7" t="s">
        <v>623</v>
      </c>
      <c r="F341" s="7" t="s">
        <v>2031</v>
      </c>
      <c r="G341" s="7" t="s">
        <v>1935</v>
      </c>
      <c r="H341" s="7" t="s">
        <v>2032</v>
      </c>
      <c r="I341" s="7" t="s">
        <v>226</v>
      </c>
      <c r="J341" s="7" t="s">
        <v>633</v>
      </c>
    </row>
    <row r="342" spans="1:10">
      <c r="A342" s="7" t="s">
        <v>2033</v>
      </c>
      <c r="B342" s="7" t="s">
        <v>170</v>
      </c>
      <c r="C342" s="7" t="s">
        <v>663</v>
      </c>
      <c r="D342" s="7" t="s">
        <v>614</v>
      </c>
      <c r="E342" s="7" t="s">
        <v>643</v>
      </c>
      <c r="F342" s="7" t="s">
        <v>2034</v>
      </c>
      <c r="G342" s="7" t="s">
        <v>703</v>
      </c>
      <c r="H342" s="7" t="s">
        <v>2035</v>
      </c>
      <c r="I342" s="7" t="s">
        <v>2036</v>
      </c>
      <c r="J342" s="7" t="s">
        <v>648</v>
      </c>
    </row>
    <row r="343" spans="1:10">
      <c r="A343" s="7" t="s">
        <v>2037</v>
      </c>
      <c r="B343" s="7" t="s">
        <v>367</v>
      </c>
      <c r="C343" s="7" t="s">
        <v>806</v>
      </c>
      <c r="D343" s="7" t="s">
        <v>607</v>
      </c>
      <c r="E343" s="7" t="s">
        <v>1081</v>
      </c>
      <c r="F343" s="7" t="s">
        <v>2038</v>
      </c>
      <c r="G343" s="7" t="s">
        <v>658</v>
      </c>
      <c r="H343" s="7" t="s">
        <v>2039</v>
      </c>
      <c r="I343" s="7" t="s">
        <v>1010</v>
      </c>
      <c r="J343" s="7" t="s">
        <v>633</v>
      </c>
    </row>
    <row r="344" spans="1:10">
      <c r="A344" s="7" t="s">
        <v>2040</v>
      </c>
      <c r="B344" s="7" t="s">
        <v>39</v>
      </c>
      <c r="C344" s="7" t="s">
        <v>807</v>
      </c>
      <c r="D344" s="7" t="s">
        <v>622</v>
      </c>
      <c r="E344" s="7" t="s">
        <v>763</v>
      </c>
      <c r="F344" s="7" t="s">
        <v>2041</v>
      </c>
      <c r="G344" s="7" t="s">
        <v>1918</v>
      </c>
      <c r="H344" s="7" t="s">
        <v>2042</v>
      </c>
      <c r="I344" s="7" t="s">
        <v>433</v>
      </c>
      <c r="J344" s="7" t="s">
        <v>682</v>
      </c>
    </row>
    <row r="345" spans="1:10">
      <c r="A345" s="7" t="s">
        <v>2043</v>
      </c>
      <c r="B345" s="7" t="s">
        <v>122</v>
      </c>
      <c r="C345" s="7" t="s">
        <v>642</v>
      </c>
      <c r="D345" s="7" t="s">
        <v>607</v>
      </c>
      <c r="E345" s="7" t="s">
        <v>666</v>
      </c>
      <c r="F345" s="7" t="s">
        <v>2044</v>
      </c>
      <c r="G345" s="7" t="s">
        <v>1289</v>
      </c>
      <c r="H345" s="7" t="s">
        <v>2045</v>
      </c>
      <c r="I345" s="7" t="s">
        <v>1396</v>
      </c>
      <c r="J345" s="7" t="s">
        <v>648</v>
      </c>
    </row>
    <row r="346" spans="1:10">
      <c r="A346" s="7" t="s">
        <v>2046</v>
      </c>
      <c r="B346" s="7" t="s">
        <v>334</v>
      </c>
      <c r="C346" s="7" t="s">
        <v>650</v>
      </c>
      <c r="D346" s="7" t="s">
        <v>627</v>
      </c>
      <c r="E346" s="7" t="s">
        <v>2047</v>
      </c>
      <c r="F346" s="7" t="s">
        <v>2048</v>
      </c>
      <c r="G346" s="7" t="s">
        <v>2049</v>
      </c>
      <c r="H346" s="7" t="s">
        <v>2050</v>
      </c>
      <c r="I346" s="7" t="s">
        <v>1913</v>
      </c>
      <c r="J346" s="7" t="s">
        <v>633</v>
      </c>
    </row>
    <row r="347" spans="1:10">
      <c r="A347" s="7" t="s">
        <v>2051</v>
      </c>
      <c r="B347" s="7" t="s">
        <v>531</v>
      </c>
      <c r="C347" s="7" t="s">
        <v>872</v>
      </c>
      <c r="D347" s="7" t="s">
        <v>605</v>
      </c>
      <c r="E347" s="7" t="s">
        <v>693</v>
      </c>
      <c r="F347" s="7" t="s">
        <v>2052</v>
      </c>
      <c r="G347" s="7" t="s">
        <v>765</v>
      </c>
      <c r="H347" s="7" t="s">
        <v>2053</v>
      </c>
      <c r="I347" s="7" t="s">
        <v>1486</v>
      </c>
      <c r="J347" s="7" t="s">
        <v>682</v>
      </c>
    </row>
    <row r="348" spans="1:10">
      <c r="A348" s="7" t="s">
        <v>2054</v>
      </c>
      <c r="B348" s="7" t="s">
        <v>206</v>
      </c>
      <c r="C348" s="7" t="s">
        <v>797</v>
      </c>
      <c r="D348" s="7" t="s">
        <v>614</v>
      </c>
      <c r="E348" s="7" t="s">
        <v>666</v>
      </c>
      <c r="F348" s="7" t="s">
        <v>2055</v>
      </c>
      <c r="G348" s="7" t="s">
        <v>957</v>
      </c>
      <c r="H348" s="7" t="s">
        <v>2056</v>
      </c>
      <c r="I348" s="7" t="s">
        <v>2057</v>
      </c>
      <c r="J348" s="7" t="s">
        <v>648</v>
      </c>
    </row>
    <row r="349" spans="1:10">
      <c r="A349" s="7" t="s">
        <v>2058</v>
      </c>
      <c r="B349" s="7" t="s">
        <v>356</v>
      </c>
      <c r="C349" s="7" t="s">
        <v>756</v>
      </c>
      <c r="D349" s="7" t="s">
        <v>614</v>
      </c>
      <c r="E349" s="7" t="s">
        <v>2059</v>
      </c>
      <c r="F349" s="7" t="s">
        <v>2060</v>
      </c>
      <c r="G349" s="7" t="s">
        <v>1304</v>
      </c>
      <c r="H349" s="7" t="s">
        <v>2061</v>
      </c>
      <c r="I349" s="7" t="s">
        <v>352</v>
      </c>
      <c r="J349" s="7" t="s">
        <v>613</v>
      </c>
    </row>
    <row r="350" spans="1:10">
      <c r="A350" s="7" t="s">
        <v>2062</v>
      </c>
      <c r="B350" s="7" t="s">
        <v>104</v>
      </c>
      <c r="C350" s="7" t="s">
        <v>843</v>
      </c>
      <c r="D350" s="7" t="s">
        <v>627</v>
      </c>
      <c r="E350" s="7" t="s">
        <v>817</v>
      </c>
      <c r="F350" s="7" t="s">
        <v>2063</v>
      </c>
      <c r="G350" s="7" t="s">
        <v>864</v>
      </c>
      <c r="H350" s="7" t="s">
        <v>2064</v>
      </c>
      <c r="I350" s="7" t="s">
        <v>1629</v>
      </c>
      <c r="J350" s="7" t="s">
        <v>621</v>
      </c>
    </row>
    <row r="351" spans="1:10">
      <c r="A351" s="7" t="s">
        <v>2065</v>
      </c>
      <c r="B351" s="7" t="s">
        <v>122</v>
      </c>
      <c r="C351" s="7" t="s">
        <v>722</v>
      </c>
      <c r="D351" s="7" t="s">
        <v>622</v>
      </c>
      <c r="E351" s="7" t="s">
        <v>897</v>
      </c>
      <c r="F351" s="7" t="s">
        <v>2066</v>
      </c>
      <c r="G351" s="7" t="s">
        <v>1012</v>
      </c>
      <c r="H351" s="7" t="s">
        <v>2067</v>
      </c>
      <c r="I351" s="7" t="s">
        <v>94</v>
      </c>
      <c r="J351" s="7" t="s">
        <v>640</v>
      </c>
    </row>
    <row r="352" spans="1:10">
      <c r="A352" s="7" t="s">
        <v>2068</v>
      </c>
      <c r="B352" s="7" t="s">
        <v>584</v>
      </c>
      <c r="C352" s="7" t="s">
        <v>605</v>
      </c>
      <c r="D352" s="7" t="s">
        <v>605</v>
      </c>
      <c r="E352" s="7" t="s">
        <v>2069</v>
      </c>
      <c r="F352" s="7" t="s">
        <v>2070</v>
      </c>
      <c r="G352" s="7" t="s">
        <v>1197</v>
      </c>
      <c r="H352" s="7" t="s">
        <v>2071</v>
      </c>
      <c r="I352" s="7" t="s">
        <v>468</v>
      </c>
      <c r="J352" s="7" t="s">
        <v>754</v>
      </c>
    </row>
    <row r="353" spans="1:10">
      <c r="A353" s="7" t="s">
        <v>2072</v>
      </c>
      <c r="B353" s="7" t="s">
        <v>472</v>
      </c>
      <c r="C353" s="7" t="s">
        <v>642</v>
      </c>
      <c r="D353" s="7" t="s">
        <v>605</v>
      </c>
      <c r="E353" s="7" t="s">
        <v>1021</v>
      </c>
      <c r="F353" s="7" t="s">
        <v>2073</v>
      </c>
      <c r="G353" s="7" t="s">
        <v>955</v>
      </c>
      <c r="H353" s="7" t="s">
        <v>2074</v>
      </c>
      <c r="I353" s="7" t="s">
        <v>1913</v>
      </c>
      <c r="J353" s="7" t="s">
        <v>648</v>
      </c>
    </row>
    <row r="354" spans="1:10">
      <c r="A354" s="7" t="s">
        <v>2075</v>
      </c>
      <c r="B354" s="7" t="s">
        <v>525</v>
      </c>
      <c r="C354" s="7" t="s">
        <v>894</v>
      </c>
      <c r="D354" s="7" t="s">
        <v>614</v>
      </c>
      <c r="E354" s="7" t="s">
        <v>1476</v>
      </c>
      <c r="F354" s="7" t="s">
        <v>2076</v>
      </c>
      <c r="G354" s="7" t="s">
        <v>1426</v>
      </c>
      <c r="H354" s="7" t="s">
        <v>2077</v>
      </c>
      <c r="I354" s="7" t="s">
        <v>1706</v>
      </c>
      <c r="J354" s="7" t="s">
        <v>648</v>
      </c>
    </row>
    <row r="355" spans="1:10">
      <c r="A355" s="7" t="s">
        <v>2078</v>
      </c>
      <c r="B355" s="7" t="s">
        <v>514</v>
      </c>
      <c r="C355" s="7" t="s">
        <v>690</v>
      </c>
      <c r="D355" s="7" t="s">
        <v>607</v>
      </c>
      <c r="E355" s="7" t="s">
        <v>670</v>
      </c>
      <c r="F355" s="7" t="s">
        <v>2079</v>
      </c>
      <c r="G355" s="7" t="s">
        <v>763</v>
      </c>
      <c r="H355" s="7" t="s">
        <v>2080</v>
      </c>
      <c r="I355" s="7" t="s">
        <v>1074</v>
      </c>
      <c r="J355" s="7" t="s">
        <v>682</v>
      </c>
    </row>
    <row r="356" spans="1:10">
      <c r="A356" s="7" t="s">
        <v>2081</v>
      </c>
      <c r="B356" s="7" t="s">
        <v>584</v>
      </c>
      <c r="C356" s="7" t="s">
        <v>668</v>
      </c>
      <c r="D356" s="7" t="s">
        <v>605</v>
      </c>
      <c r="E356" s="7" t="s">
        <v>2082</v>
      </c>
      <c r="F356" s="7" t="s">
        <v>2083</v>
      </c>
      <c r="G356" s="7" t="s">
        <v>2084</v>
      </c>
      <c r="H356" s="7" t="s">
        <v>2085</v>
      </c>
      <c r="I356" s="7" t="s">
        <v>358</v>
      </c>
      <c r="J356" s="7" t="s">
        <v>633</v>
      </c>
    </row>
    <row r="357" spans="1:10">
      <c r="A357" s="7" t="s">
        <v>2086</v>
      </c>
      <c r="B357" s="7" t="s">
        <v>170</v>
      </c>
      <c r="C357" s="7" t="s">
        <v>628</v>
      </c>
      <c r="D357" s="7" t="s">
        <v>605</v>
      </c>
      <c r="E357" s="7" t="s">
        <v>1394</v>
      </c>
      <c r="F357" s="7" t="s">
        <v>2087</v>
      </c>
      <c r="G357" s="7" t="s">
        <v>1529</v>
      </c>
      <c r="H357" s="7" t="s">
        <v>2088</v>
      </c>
      <c r="I357" s="7" t="s">
        <v>88</v>
      </c>
      <c r="J357" s="7" t="s">
        <v>633</v>
      </c>
    </row>
    <row r="358" spans="1:10">
      <c r="A358" s="7" t="s">
        <v>2089</v>
      </c>
      <c r="B358" s="7" t="s">
        <v>373</v>
      </c>
      <c r="C358" s="7" t="s">
        <v>723</v>
      </c>
      <c r="D358" s="7" t="s">
        <v>627</v>
      </c>
      <c r="E358" s="7" t="s">
        <v>679</v>
      </c>
      <c r="F358" s="7" t="s">
        <v>2090</v>
      </c>
      <c r="G358" s="7" t="s">
        <v>1140</v>
      </c>
      <c r="H358" s="7" t="s">
        <v>2091</v>
      </c>
      <c r="I358" s="7" t="s">
        <v>148</v>
      </c>
      <c r="J358" s="7" t="s">
        <v>682</v>
      </c>
    </row>
    <row r="359" spans="1:10">
      <c r="A359" s="7" t="s">
        <v>2092</v>
      </c>
      <c r="B359" s="7" t="s">
        <v>242</v>
      </c>
      <c r="C359" s="7" t="s">
        <v>894</v>
      </c>
      <c r="D359" s="7" t="s">
        <v>605</v>
      </c>
      <c r="E359" s="7" t="s">
        <v>643</v>
      </c>
      <c r="F359" s="7" t="s">
        <v>2093</v>
      </c>
      <c r="G359" s="7" t="s">
        <v>950</v>
      </c>
      <c r="H359" s="7" t="s">
        <v>2094</v>
      </c>
      <c r="I359" s="7" t="s">
        <v>2095</v>
      </c>
      <c r="J359" s="7" t="s">
        <v>648</v>
      </c>
    </row>
    <row r="360" spans="1:10">
      <c r="A360" s="7" t="s">
        <v>2096</v>
      </c>
      <c r="B360" s="7" t="s">
        <v>312</v>
      </c>
      <c r="C360" s="7" t="s">
        <v>860</v>
      </c>
      <c r="D360" s="7" t="s">
        <v>614</v>
      </c>
      <c r="E360" s="7" t="s">
        <v>785</v>
      </c>
      <c r="F360" s="7" t="s">
        <v>2097</v>
      </c>
      <c r="G360" s="7" t="s">
        <v>610</v>
      </c>
      <c r="H360" s="7" t="s">
        <v>2098</v>
      </c>
      <c r="I360" s="7" t="s">
        <v>369</v>
      </c>
      <c r="J360" s="7" t="s">
        <v>682</v>
      </c>
    </row>
    <row r="361" spans="1:10">
      <c r="A361" s="7" t="s">
        <v>2099</v>
      </c>
      <c r="B361" s="7" t="s">
        <v>584</v>
      </c>
      <c r="C361" s="7" t="s">
        <v>615</v>
      </c>
      <c r="D361" s="7" t="s">
        <v>605</v>
      </c>
      <c r="E361" s="7" t="s">
        <v>1107</v>
      </c>
      <c r="F361" s="7" t="s">
        <v>2100</v>
      </c>
      <c r="G361" s="7" t="s">
        <v>739</v>
      </c>
      <c r="H361" s="7" t="s">
        <v>2101</v>
      </c>
      <c r="I361" s="7" t="s">
        <v>681</v>
      </c>
      <c r="J361" s="7" t="s">
        <v>621</v>
      </c>
    </row>
    <row r="362" spans="1:10">
      <c r="A362" s="7" t="s">
        <v>2102</v>
      </c>
      <c r="B362" s="7" t="s">
        <v>295</v>
      </c>
      <c r="C362" s="7" t="s">
        <v>860</v>
      </c>
      <c r="D362" s="7" t="s">
        <v>627</v>
      </c>
      <c r="E362" s="7" t="s">
        <v>679</v>
      </c>
      <c r="F362" s="7" t="s">
        <v>2103</v>
      </c>
      <c r="G362" s="7" t="s">
        <v>974</v>
      </c>
      <c r="H362" s="7" t="s">
        <v>2104</v>
      </c>
      <c r="I362" s="7" t="s">
        <v>639</v>
      </c>
      <c r="J362" s="7" t="s">
        <v>682</v>
      </c>
    </row>
    <row r="363" spans="1:10">
      <c r="A363" s="7" t="s">
        <v>2105</v>
      </c>
      <c r="B363" s="7" t="s">
        <v>248</v>
      </c>
      <c r="C363" s="7" t="s">
        <v>784</v>
      </c>
      <c r="D363" s="7" t="s">
        <v>614</v>
      </c>
      <c r="E363" s="7" t="s">
        <v>1269</v>
      </c>
      <c r="F363" s="7" t="s">
        <v>2106</v>
      </c>
      <c r="G363" s="7" t="s">
        <v>1297</v>
      </c>
      <c r="H363" s="7" t="s">
        <v>2107</v>
      </c>
      <c r="I363" s="7" t="s">
        <v>1995</v>
      </c>
      <c r="J363" s="7" t="s">
        <v>754</v>
      </c>
    </row>
    <row r="364" spans="1:10">
      <c r="A364" s="7" t="s">
        <v>2108</v>
      </c>
      <c r="B364" s="7" t="s">
        <v>134</v>
      </c>
      <c r="C364" s="7" t="s">
        <v>700</v>
      </c>
      <c r="D364" s="7" t="s">
        <v>614</v>
      </c>
      <c r="E364" s="7" t="s">
        <v>2109</v>
      </c>
      <c r="F364" s="7" t="s">
        <v>2110</v>
      </c>
      <c r="G364" s="7" t="s">
        <v>1302</v>
      </c>
      <c r="H364" s="7" t="s">
        <v>2111</v>
      </c>
      <c r="I364" s="7" t="s">
        <v>848</v>
      </c>
      <c r="J364" s="7" t="s">
        <v>613</v>
      </c>
    </row>
    <row r="365" spans="1:10">
      <c r="A365" s="7" t="s">
        <v>2112</v>
      </c>
      <c r="B365" s="7" t="s">
        <v>20</v>
      </c>
      <c r="C365" s="7" t="s">
        <v>657</v>
      </c>
      <c r="D365" s="7" t="s">
        <v>622</v>
      </c>
      <c r="E365" s="7" t="s">
        <v>658</v>
      </c>
      <c r="F365" s="7" t="s">
        <v>2113</v>
      </c>
      <c r="G365" s="7" t="s">
        <v>739</v>
      </c>
      <c r="H365" s="7" t="s">
        <v>2114</v>
      </c>
      <c r="I365" s="7" t="s">
        <v>358</v>
      </c>
      <c r="J365" s="7" t="s">
        <v>621</v>
      </c>
    </row>
    <row r="366" spans="1:10">
      <c r="A366" s="7" t="s">
        <v>2115</v>
      </c>
      <c r="B366" s="7" t="s">
        <v>170</v>
      </c>
      <c r="C366" s="7" t="s">
        <v>656</v>
      </c>
      <c r="D366" s="7" t="s">
        <v>607</v>
      </c>
      <c r="E366" s="7" t="s">
        <v>1000</v>
      </c>
      <c r="F366" s="7" t="s">
        <v>2116</v>
      </c>
      <c r="G366" s="7" t="s">
        <v>2117</v>
      </c>
      <c r="H366" s="7" t="s">
        <v>2118</v>
      </c>
      <c r="I366" s="7" t="s">
        <v>267</v>
      </c>
      <c r="J366" s="7" t="s">
        <v>613</v>
      </c>
    </row>
    <row r="367" spans="1:10">
      <c r="A367" s="7" t="s">
        <v>2119</v>
      </c>
      <c r="B367" s="7" t="s">
        <v>200</v>
      </c>
      <c r="C367" s="7" t="s">
        <v>622</v>
      </c>
      <c r="D367" s="7" t="s">
        <v>622</v>
      </c>
      <c r="E367" s="7" t="s">
        <v>895</v>
      </c>
      <c r="F367" s="7" t="s">
        <v>2120</v>
      </c>
      <c r="G367" s="7" t="s">
        <v>706</v>
      </c>
      <c r="H367" s="7" t="s">
        <v>2121</v>
      </c>
      <c r="I367" s="7" t="s">
        <v>94</v>
      </c>
      <c r="J367" s="7" t="s">
        <v>640</v>
      </c>
    </row>
    <row r="368" spans="1:10">
      <c r="A368" s="7" t="s">
        <v>2122</v>
      </c>
      <c r="B368" s="7" t="s">
        <v>63</v>
      </c>
      <c r="C368" s="7" t="s">
        <v>860</v>
      </c>
      <c r="D368" s="7" t="s">
        <v>607</v>
      </c>
      <c r="E368" s="7" t="s">
        <v>679</v>
      </c>
      <c r="F368" s="7" t="s">
        <v>2123</v>
      </c>
      <c r="G368" s="7" t="s">
        <v>765</v>
      </c>
      <c r="H368" s="7" t="s">
        <v>2124</v>
      </c>
      <c r="I368" s="7" t="s">
        <v>2008</v>
      </c>
      <c r="J368" s="7" t="s">
        <v>682</v>
      </c>
    </row>
    <row r="369" spans="1:10">
      <c r="A369" s="7" t="s">
        <v>2125</v>
      </c>
      <c r="B369" s="7" t="s">
        <v>254</v>
      </c>
      <c r="C369" s="7" t="s">
        <v>641</v>
      </c>
      <c r="D369" s="7" t="s">
        <v>622</v>
      </c>
      <c r="E369" s="7" t="s">
        <v>693</v>
      </c>
      <c r="F369" s="7" t="s">
        <v>2126</v>
      </c>
      <c r="G369" s="7" t="s">
        <v>763</v>
      </c>
      <c r="H369" s="7" t="s">
        <v>2127</v>
      </c>
      <c r="I369" s="7" t="s">
        <v>1995</v>
      </c>
      <c r="J369" s="7" t="s">
        <v>682</v>
      </c>
    </row>
    <row r="370" spans="1:10">
      <c r="A370" s="7" t="s">
        <v>2128</v>
      </c>
      <c r="B370" s="7" t="s">
        <v>86</v>
      </c>
      <c r="C370" s="7" t="s">
        <v>926</v>
      </c>
      <c r="D370" s="7" t="s">
        <v>622</v>
      </c>
      <c r="E370" s="7" t="s">
        <v>2129</v>
      </c>
      <c r="F370" s="7" t="s">
        <v>2130</v>
      </c>
      <c r="G370" s="7" t="s">
        <v>2131</v>
      </c>
      <c r="H370" s="7" t="s">
        <v>2132</v>
      </c>
      <c r="I370" s="7" t="s">
        <v>1660</v>
      </c>
      <c r="J370" s="7" t="s">
        <v>754</v>
      </c>
    </row>
    <row r="371" spans="1:10">
      <c r="A371" s="7" t="s">
        <v>2133</v>
      </c>
      <c r="B371" s="7" t="s">
        <v>431</v>
      </c>
      <c r="C371" s="7" t="s">
        <v>830</v>
      </c>
      <c r="D371" s="7" t="s">
        <v>614</v>
      </c>
      <c r="E371" s="7" t="s">
        <v>1529</v>
      </c>
      <c r="F371" s="7" t="s">
        <v>2134</v>
      </c>
      <c r="G371" s="7" t="s">
        <v>2135</v>
      </c>
      <c r="H371" s="7" t="s">
        <v>2136</v>
      </c>
      <c r="I371" s="7" t="s">
        <v>118</v>
      </c>
      <c r="J371" s="7" t="s">
        <v>613</v>
      </c>
    </row>
    <row r="372" spans="1:10">
      <c r="A372" s="7" t="s">
        <v>2137</v>
      </c>
      <c r="B372" s="7" t="s">
        <v>531</v>
      </c>
      <c r="C372" s="7" t="s">
        <v>716</v>
      </c>
      <c r="D372" s="7" t="s">
        <v>627</v>
      </c>
      <c r="E372" s="7" t="s">
        <v>1057</v>
      </c>
      <c r="F372" s="7" t="s">
        <v>2138</v>
      </c>
      <c r="G372" s="7" t="s">
        <v>2139</v>
      </c>
      <c r="H372" s="7" t="s">
        <v>2140</v>
      </c>
      <c r="I372" s="7" t="s">
        <v>226</v>
      </c>
      <c r="J372" s="7" t="s">
        <v>613</v>
      </c>
    </row>
    <row r="373" spans="1:10">
      <c r="A373" s="7" t="s">
        <v>2141</v>
      </c>
      <c r="B373" s="7" t="s">
        <v>39</v>
      </c>
      <c r="C373" s="7" t="s">
        <v>755</v>
      </c>
      <c r="D373" s="7" t="s">
        <v>622</v>
      </c>
      <c r="E373" s="7" t="s">
        <v>658</v>
      </c>
      <c r="F373" s="7" t="s">
        <v>2142</v>
      </c>
      <c r="G373" s="7" t="s">
        <v>869</v>
      </c>
      <c r="H373" s="7" t="s">
        <v>2143</v>
      </c>
      <c r="I373" s="7" t="s">
        <v>238</v>
      </c>
      <c r="J373" s="7" t="s">
        <v>613</v>
      </c>
    </row>
    <row r="374" spans="1:10">
      <c r="A374" s="7" t="s">
        <v>2144</v>
      </c>
      <c r="B374" s="7" t="s">
        <v>158</v>
      </c>
      <c r="C374" s="7" t="s">
        <v>863</v>
      </c>
      <c r="D374" s="7" t="s">
        <v>614</v>
      </c>
      <c r="E374" s="7" t="s">
        <v>2145</v>
      </c>
      <c r="F374" s="7" t="s">
        <v>2146</v>
      </c>
      <c r="G374" s="7" t="s">
        <v>833</v>
      </c>
      <c r="H374" s="7" t="s">
        <v>2147</v>
      </c>
      <c r="I374" s="7" t="s">
        <v>387</v>
      </c>
      <c r="J374" s="7" t="s">
        <v>754</v>
      </c>
    </row>
    <row r="375" spans="1:10">
      <c r="A375" s="7" t="s">
        <v>2148</v>
      </c>
      <c r="B375" s="7" t="s">
        <v>514</v>
      </c>
      <c r="C375" s="7" t="s">
        <v>627</v>
      </c>
      <c r="D375" s="7" t="s">
        <v>605</v>
      </c>
      <c r="E375" s="7" t="s">
        <v>616</v>
      </c>
      <c r="F375" s="7" t="s">
        <v>2149</v>
      </c>
      <c r="G375" s="7" t="s">
        <v>739</v>
      </c>
      <c r="H375" s="7" t="s">
        <v>2150</v>
      </c>
      <c r="I375" s="7" t="s">
        <v>279</v>
      </c>
      <c r="J375" s="7" t="s">
        <v>621</v>
      </c>
    </row>
    <row r="376" spans="1:10">
      <c r="A376" s="7" t="s">
        <v>2151</v>
      </c>
      <c r="B376" s="7" t="s">
        <v>537</v>
      </c>
      <c r="C376" s="7" t="s">
        <v>855</v>
      </c>
      <c r="D376" s="7" t="s">
        <v>605</v>
      </c>
      <c r="E376" s="7" t="s">
        <v>635</v>
      </c>
      <c r="F376" s="7" t="s">
        <v>2152</v>
      </c>
      <c r="G376" s="7" t="s">
        <v>708</v>
      </c>
      <c r="H376" s="7" t="s">
        <v>2153</v>
      </c>
      <c r="I376" s="7" t="s">
        <v>2154</v>
      </c>
      <c r="J376" s="7" t="s">
        <v>613</v>
      </c>
    </row>
    <row r="377" spans="1:10">
      <c r="A377" s="7" t="s">
        <v>2155</v>
      </c>
      <c r="B377" s="7" t="s">
        <v>572</v>
      </c>
      <c r="C377" s="7" t="s">
        <v>668</v>
      </c>
      <c r="D377" s="7" t="s">
        <v>614</v>
      </c>
      <c r="E377" s="7" t="s">
        <v>2156</v>
      </c>
      <c r="F377" s="7" t="s">
        <v>2157</v>
      </c>
      <c r="G377" s="7" t="s">
        <v>2139</v>
      </c>
      <c r="H377" s="7" t="s">
        <v>2158</v>
      </c>
      <c r="I377" s="7" t="s">
        <v>16</v>
      </c>
      <c r="J377" s="7" t="s">
        <v>633</v>
      </c>
    </row>
    <row r="378" spans="1:10">
      <c r="A378" s="7" t="s">
        <v>2159</v>
      </c>
      <c r="B378" s="7" t="s">
        <v>80</v>
      </c>
      <c r="C378" s="7" t="s">
        <v>894</v>
      </c>
      <c r="D378" s="7" t="s">
        <v>627</v>
      </c>
      <c r="E378" s="7" t="s">
        <v>645</v>
      </c>
      <c r="F378" s="7" t="s">
        <v>2160</v>
      </c>
      <c r="G378" s="7" t="s">
        <v>952</v>
      </c>
      <c r="H378" s="7" t="s">
        <v>2161</v>
      </c>
      <c r="I378" s="7" t="s">
        <v>2162</v>
      </c>
      <c r="J378" s="7" t="s">
        <v>648</v>
      </c>
    </row>
    <row r="379" spans="1:10">
      <c r="A379" s="7" t="s">
        <v>2163</v>
      </c>
      <c r="B379" s="7" t="s">
        <v>242</v>
      </c>
      <c r="C379" s="7" t="s">
        <v>641</v>
      </c>
      <c r="D379" s="7" t="s">
        <v>614</v>
      </c>
      <c r="E379" s="7" t="s">
        <v>1136</v>
      </c>
      <c r="F379" s="7" t="s">
        <v>2164</v>
      </c>
      <c r="G379" s="7" t="s">
        <v>672</v>
      </c>
      <c r="H379" s="7" t="s">
        <v>2165</v>
      </c>
      <c r="I379" s="7" t="s">
        <v>2166</v>
      </c>
      <c r="J379" s="7" t="s">
        <v>682</v>
      </c>
    </row>
    <row r="380" spans="1:10">
      <c r="A380" s="7" t="s">
        <v>2167</v>
      </c>
      <c r="B380" s="7" t="s">
        <v>460</v>
      </c>
      <c r="C380" s="7" t="s">
        <v>807</v>
      </c>
      <c r="D380" s="7" t="s">
        <v>605</v>
      </c>
      <c r="E380" s="7" t="s">
        <v>679</v>
      </c>
      <c r="F380" s="7" t="s">
        <v>2168</v>
      </c>
      <c r="G380" s="7" t="s">
        <v>763</v>
      </c>
      <c r="H380" s="7" t="s">
        <v>2169</v>
      </c>
      <c r="I380" s="7" t="s">
        <v>848</v>
      </c>
      <c r="J380" s="7" t="s">
        <v>682</v>
      </c>
    </row>
    <row r="381" spans="1:10">
      <c r="A381" s="7" t="s">
        <v>2170</v>
      </c>
      <c r="B381" s="7" t="s">
        <v>57</v>
      </c>
      <c r="C381" s="7" t="s">
        <v>696</v>
      </c>
      <c r="D381" s="7" t="s">
        <v>627</v>
      </c>
      <c r="E381" s="7" t="s">
        <v>658</v>
      </c>
      <c r="F381" s="7" t="s">
        <v>2171</v>
      </c>
      <c r="G381" s="7" t="s">
        <v>698</v>
      </c>
      <c r="H381" s="7" t="s">
        <v>2172</v>
      </c>
      <c r="I381" s="7" t="s">
        <v>142</v>
      </c>
      <c r="J381" s="7" t="s">
        <v>621</v>
      </c>
    </row>
    <row r="382" spans="1:10">
      <c r="A382" s="7" t="s">
        <v>2173</v>
      </c>
      <c r="B382" s="7" t="s">
        <v>80</v>
      </c>
      <c r="C382" s="7" t="s">
        <v>755</v>
      </c>
      <c r="D382" s="7" t="s">
        <v>622</v>
      </c>
      <c r="E382" s="7" t="s">
        <v>1197</v>
      </c>
      <c r="F382" s="7" t="s">
        <v>2174</v>
      </c>
      <c r="G382" s="7" t="s">
        <v>2175</v>
      </c>
      <c r="H382" s="7" t="s">
        <v>2176</v>
      </c>
      <c r="I382" s="7" t="s">
        <v>498</v>
      </c>
      <c r="J382" s="7" t="s">
        <v>613</v>
      </c>
    </row>
    <row r="383" spans="1:10">
      <c r="A383" s="7" t="s">
        <v>2177</v>
      </c>
      <c r="B383" s="7" t="s">
        <v>20</v>
      </c>
      <c r="C383" s="7" t="s">
        <v>747</v>
      </c>
      <c r="D383" s="7" t="s">
        <v>605</v>
      </c>
      <c r="E383" s="7" t="s">
        <v>1072</v>
      </c>
      <c r="F383" s="7" t="s">
        <v>2178</v>
      </c>
      <c r="G383" s="7" t="s">
        <v>1583</v>
      </c>
      <c r="H383" s="7" t="s">
        <v>2179</v>
      </c>
      <c r="I383" s="7" t="s">
        <v>238</v>
      </c>
      <c r="J383" s="7" t="s">
        <v>633</v>
      </c>
    </row>
    <row r="384" spans="1:10">
      <c r="A384" s="7" t="s">
        <v>2180</v>
      </c>
      <c r="B384" s="7" t="s">
        <v>98</v>
      </c>
      <c r="C384" s="7" t="s">
        <v>811</v>
      </c>
      <c r="D384" s="7" t="s">
        <v>605</v>
      </c>
      <c r="E384" s="7" t="s">
        <v>1107</v>
      </c>
      <c r="F384" s="7" t="s">
        <v>2181</v>
      </c>
      <c r="G384" s="7" t="s">
        <v>658</v>
      </c>
      <c r="H384" s="7" t="s">
        <v>2182</v>
      </c>
      <c r="I384" s="7" t="s">
        <v>9</v>
      </c>
      <c r="J384" s="7" t="s">
        <v>621</v>
      </c>
    </row>
    <row r="385" spans="1:10">
      <c r="A385" s="7" t="s">
        <v>2183</v>
      </c>
      <c r="B385" s="7" t="s">
        <v>27</v>
      </c>
      <c r="C385" s="7" t="s">
        <v>755</v>
      </c>
      <c r="D385" s="7" t="s">
        <v>622</v>
      </c>
      <c r="E385" s="7" t="s">
        <v>1259</v>
      </c>
      <c r="F385" s="7" t="s">
        <v>2184</v>
      </c>
      <c r="G385" s="7" t="s">
        <v>1057</v>
      </c>
      <c r="H385" s="7" t="s">
        <v>2185</v>
      </c>
      <c r="I385" s="7" t="s">
        <v>468</v>
      </c>
      <c r="J385" s="7" t="s">
        <v>613</v>
      </c>
    </row>
    <row r="386" spans="1:10">
      <c r="A386" s="7" t="s">
        <v>2186</v>
      </c>
      <c r="B386" s="7" t="s">
        <v>14</v>
      </c>
      <c r="C386" s="7" t="s">
        <v>872</v>
      </c>
      <c r="D386" s="7" t="s">
        <v>627</v>
      </c>
      <c r="E386" s="7" t="s">
        <v>679</v>
      </c>
      <c r="F386" s="7" t="s">
        <v>2187</v>
      </c>
      <c r="G386" s="7" t="s">
        <v>672</v>
      </c>
      <c r="H386" s="7" t="s">
        <v>2188</v>
      </c>
      <c r="I386" s="7" t="s">
        <v>1697</v>
      </c>
      <c r="J386" s="7" t="s">
        <v>682</v>
      </c>
    </row>
    <row r="387" spans="1:10">
      <c r="A387" s="7" t="s">
        <v>2189</v>
      </c>
      <c r="B387" s="7" t="s">
        <v>537</v>
      </c>
      <c r="C387" s="7" t="s">
        <v>607</v>
      </c>
      <c r="D387" s="7" t="s">
        <v>627</v>
      </c>
      <c r="E387" s="7" t="s">
        <v>2117</v>
      </c>
      <c r="F387" s="7" t="s">
        <v>2190</v>
      </c>
      <c r="G387" s="7" t="s">
        <v>2191</v>
      </c>
      <c r="H387" s="7" t="s">
        <v>2192</v>
      </c>
      <c r="I387" s="7" t="s">
        <v>1594</v>
      </c>
      <c r="J387" s="7" t="s">
        <v>754</v>
      </c>
    </row>
    <row r="388" spans="1:10">
      <c r="A388" s="7" t="s">
        <v>2193</v>
      </c>
      <c r="B388" s="7" t="s">
        <v>362</v>
      </c>
      <c r="C388" s="7" t="s">
        <v>605</v>
      </c>
      <c r="D388" s="7" t="s">
        <v>614</v>
      </c>
      <c r="E388" s="7" t="s">
        <v>2194</v>
      </c>
      <c r="F388" s="7" t="s">
        <v>2195</v>
      </c>
      <c r="G388" s="7" t="s">
        <v>1094</v>
      </c>
      <c r="H388" s="7" t="s">
        <v>2196</v>
      </c>
      <c r="I388" s="7" t="s">
        <v>904</v>
      </c>
      <c r="J388" s="7" t="s">
        <v>754</v>
      </c>
    </row>
    <row r="389" spans="1:10">
      <c r="A389" s="7" t="s">
        <v>2197</v>
      </c>
      <c r="B389" s="7" t="s">
        <v>391</v>
      </c>
      <c r="C389" s="7" t="s">
        <v>806</v>
      </c>
      <c r="D389" s="7" t="s">
        <v>614</v>
      </c>
      <c r="E389" s="7" t="s">
        <v>921</v>
      </c>
      <c r="F389" s="7" t="s">
        <v>2198</v>
      </c>
      <c r="G389" s="7" t="s">
        <v>869</v>
      </c>
      <c r="H389" s="7" t="s">
        <v>2199</v>
      </c>
      <c r="I389" s="7" t="s">
        <v>1319</v>
      </c>
      <c r="J389" s="7" t="s">
        <v>633</v>
      </c>
    </row>
    <row r="390" spans="1:10">
      <c r="A390" s="7" t="s">
        <v>2200</v>
      </c>
      <c r="B390" s="7" t="s">
        <v>362</v>
      </c>
      <c r="C390" s="7" t="s">
        <v>774</v>
      </c>
      <c r="D390" s="7" t="s">
        <v>614</v>
      </c>
      <c r="E390" s="7" t="s">
        <v>763</v>
      </c>
      <c r="F390" s="7" t="s">
        <v>2201</v>
      </c>
      <c r="G390" s="7" t="s">
        <v>1414</v>
      </c>
      <c r="H390" s="7" t="s">
        <v>2202</v>
      </c>
      <c r="I390" s="7" t="s">
        <v>1055</v>
      </c>
      <c r="J390" s="7" t="s">
        <v>682</v>
      </c>
    </row>
    <row r="391" spans="1:10">
      <c r="A391" s="7" t="s">
        <v>2203</v>
      </c>
      <c r="B391" s="7" t="s">
        <v>260</v>
      </c>
      <c r="C391" s="7" t="s">
        <v>762</v>
      </c>
      <c r="D391" s="7" t="s">
        <v>627</v>
      </c>
      <c r="E391" s="7" t="s">
        <v>679</v>
      </c>
      <c r="F391" s="7" t="s">
        <v>2204</v>
      </c>
      <c r="G391" s="7" t="s">
        <v>1269</v>
      </c>
      <c r="H391" s="7" t="s">
        <v>2205</v>
      </c>
      <c r="I391" s="7" t="s">
        <v>1933</v>
      </c>
      <c r="J391" s="7" t="s">
        <v>682</v>
      </c>
    </row>
    <row r="392" spans="1:10">
      <c r="A392" s="7" t="s">
        <v>2206</v>
      </c>
      <c r="B392" s="7" t="s">
        <v>490</v>
      </c>
      <c r="C392" s="7" t="s">
        <v>738</v>
      </c>
      <c r="D392" s="7" t="s">
        <v>627</v>
      </c>
      <c r="E392" s="7" t="s">
        <v>1116</v>
      </c>
      <c r="F392" s="7" t="s">
        <v>2207</v>
      </c>
      <c r="G392" s="7" t="s">
        <v>2208</v>
      </c>
      <c r="H392" s="7" t="s">
        <v>2209</v>
      </c>
      <c r="I392" s="7" t="s">
        <v>1508</v>
      </c>
      <c r="J392" s="7" t="s">
        <v>754</v>
      </c>
    </row>
    <row r="393" spans="1:10">
      <c r="A393" s="7" t="s">
        <v>2210</v>
      </c>
      <c r="B393" s="7" t="s">
        <v>502</v>
      </c>
      <c r="C393" s="7" t="s">
        <v>627</v>
      </c>
      <c r="D393" s="7" t="s">
        <v>614</v>
      </c>
      <c r="E393" s="7" t="s">
        <v>827</v>
      </c>
      <c r="F393" s="7" t="s">
        <v>2211</v>
      </c>
      <c r="G393" s="7" t="s">
        <v>1107</v>
      </c>
      <c r="H393" s="7" t="s">
        <v>2212</v>
      </c>
      <c r="I393" s="7" t="s">
        <v>106</v>
      </c>
      <c r="J393" s="7" t="s">
        <v>621</v>
      </c>
    </row>
    <row r="394" spans="1:10">
      <c r="A394" s="7" t="s">
        <v>2213</v>
      </c>
      <c r="B394" s="7" t="s">
        <v>514</v>
      </c>
      <c r="C394" s="7" t="s">
        <v>711</v>
      </c>
      <c r="D394" s="7" t="s">
        <v>607</v>
      </c>
      <c r="E394" s="7" t="s">
        <v>660</v>
      </c>
      <c r="F394" s="7" t="s">
        <v>2214</v>
      </c>
      <c r="G394" s="7" t="s">
        <v>1463</v>
      </c>
      <c r="H394" s="7" t="s">
        <v>2215</v>
      </c>
      <c r="I394" s="7" t="s">
        <v>2216</v>
      </c>
      <c r="J394" s="7" t="s">
        <v>613</v>
      </c>
    </row>
    <row r="395" spans="1:10">
      <c r="A395" s="7" t="s">
        <v>2217</v>
      </c>
      <c r="B395" s="7" t="s">
        <v>170</v>
      </c>
      <c r="C395" s="7" t="s">
        <v>684</v>
      </c>
      <c r="D395" s="7" t="s">
        <v>607</v>
      </c>
      <c r="E395" s="7" t="s">
        <v>1077</v>
      </c>
      <c r="F395" s="7" t="s">
        <v>2218</v>
      </c>
      <c r="G395" s="7" t="s">
        <v>2219</v>
      </c>
      <c r="H395" s="7" t="s">
        <v>822</v>
      </c>
      <c r="I395" s="7" t="s">
        <v>1517</v>
      </c>
      <c r="J395" s="7" t="s">
        <v>633</v>
      </c>
    </row>
    <row r="396" spans="1:10">
      <c r="A396" s="7" t="s">
        <v>2220</v>
      </c>
      <c r="B396" s="7" t="s">
        <v>397</v>
      </c>
      <c r="C396" s="7" t="s">
        <v>762</v>
      </c>
      <c r="D396" s="7" t="s">
        <v>614</v>
      </c>
      <c r="E396" s="7" t="s">
        <v>679</v>
      </c>
      <c r="F396" s="7" t="s">
        <v>2221</v>
      </c>
      <c r="G396" s="7" t="s">
        <v>763</v>
      </c>
      <c r="H396" s="7" t="s">
        <v>2222</v>
      </c>
      <c r="I396" s="7" t="s">
        <v>1956</v>
      </c>
      <c r="J396" s="7" t="s">
        <v>682</v>
      </c>
    </row>
    <row r="397" spans="1:10">
      <c r="A397" s="7" t="s">
        <v>2223</v>
      </c>
      <c r="B397" s="7" t="s">
        <v>403</v>
      </c>
      <c r="C397" s="7" t="s">
        <v>668</v>
      </c>
      <c r="D397" s="7" t="s">
        <v>607</v>
      </c>
      <c r="E397" s="7" t="s">
        <v>877</v>
      </c>
      <c r="F397" s="7" t="s">
        <v>2224</v>
      </c>
      <c r="G397" s="7" t="s">
        <v>1414</v>
      </c>
      <c r="H397" s="7" t="s">
        <v>2225</v>
      </c>
      <c r="I397" s="7" t="s">
        <v>1396</v>
      </c>
      <c r="J397" s="7" t="s">
        <v>633</v>
      </c>
    </row>
    <row r="398" spans="1:10">
      <c r="A398" s="7" t="s">
        <v>2226</v>
      </c>
      <c r="B398" s="7" t="s">
        <v>206</v>
      </c>
      <c r="C398" s="7" t="s">
        <v>627</v>
      </c>
      <c r="D398" s="7" t="s">
        <v>607</v>
      </c>
      <c r="E398" s="7" t="s">
        <v>739</v>
      </c>
      <c r="F398" s="7" t="s">
        <v>2227</v>
      </c>
      <c r="G398" s="7" t="s">
        <v>660</v>
      </c>
      <c r="H398" s="7" t="s">
        <v>2228</v>
      </c>
      <c r="I398" s="7" t="s">
        <v>1629</v>
      </c>
      <c r="J398" s="7" t="s">
        <v>621</v>
      </c>
    </row>
    <row r="399" spans="1:10">
      <c r="A399" s="7" t="s">
        <v>2229</v>
      </c>
      <c r="B399" s="7" t="s">
        <v>472</v>
      </c>
      <c r="C399" s="7" t="s">
        <v>830</v>
      </c>
      <c r="D399" s="7" t="s">
        <v>605</v>
      </c>
      <c r="E399" s="7" t="s">
        <v>742</v>
      </c>
      <c r="F399" s="7" t="s">
        <v>2230</v>
      </c>
      <c r="G399" s="7" t="s">
        <v>1057</v>
      </c>
      <c r="H399" s="7" t="s">
        <v>2231</v>
      </c>
      <c r="I399" s="7" t="s">
        <v>1566</v>
      </c>
      <c r="J399" s="7" t="s">
        <v>613</v>
      </c>
    </row>
    <row r="400" spans="1:10">
      <c r="A400" s="7" t="s">
        <v>2232</v>
      </c>
      <c r="B400" s="7" t="s">
        <v>51</v>
      </c>
      <c r="C400" s="7" t="s">
        <v>949</v>
      </c>
      <c r="D400" s="7" t="s">
        <v>605</v>
      </c>
      <c r="E400" s="7" t="s">
        <v>895</v>
      </c>
      <c r="F400" s="7" t="s">
        <v>2233</v>
      </c>
      <c r="G400" s="7" t="s">
        <v>814</v>
      </c>
      <c r="H400" s="7" t="s">
        <v>2234</v>
      </c>
      <c r="I400" s="7" t="s">
        <v>1508</v>
      </c>
      <c r="J400" s="7" t="s">
        <v>640</v>
      </c>
    </row>
    <row r="401" spans="1:10">
      <c r="A401" s="7" t="s">
        <v>2235</v>
      </c>
      <c r="B401" s="7" t="s">
        <v>490</v>
      </c>
      <c r="C401" s="7" t="s">
        <v>650</v>
      </c>
      <c r="D401" s="7" t="s">
        <v>622</v>
      </c>
      <c r="E401" s="7" t="s">
        <v>1445</v>
      </c>
      <c r="F401" s="7" t="s">
        <v>2236</v>
      </c>
      <c r="G401" s="7" t="s">
        <v>1057</v>
      </c>
      <c r="H401" s="7" t="s">
        <v>2237</v>
      </c>
      <c r="I401" s="7" t="s">
        <v>1291</v>
      </c>
      <c r="J401" s="7" t="s">
        <v>633</v>
      </c>
    </row>
    <row r="402" spans="1:10">
      <c r="A402" s="7" t="s">
        <v>2238</v>
      </c>
      <c r="B402" s="7" t="s">
        <v>525</v>
      </c>
      <c r="C402" s="7" t="s">
        <v>663</v>
      </c>
      <c r="D402" s="7" t="s">
        <v>607</v>
      </c>
      <c r="E402" s="7" t="s">
        <v>666</v>
      </c>
      <c r="F402" s="7" t="s">
        <v>2239</v>
      </c>
      <c r="G402" s="7" t="s">
        <v>1503</v>
      </c>
      <c r="H402" s="7" t="s">
        <v>2240</v>
      </c>
      <c r="I402" s="7" t="s">
        <v>320</v>
      </c>
      <c r="J402" s="7" t="s">
        <v>648</v>
      </c>
    </row>
    <row r="403" spans="1:10">
      <c r="A403" s="7" t="s">
        <v>2241</v>
      </c>
      <c r="B403" s="7" t="s">
        <v>224</v>
      </c>
      <c r="C403" s="7" t="s">
        <v>774</v>
      </c>
      <c r="D403" s="7" t="s">
        <v>605</v>
      </c>
      <c r="E403" s="7" t="s">
        <v>610</v>
      </c>
      <c r="F403" s="7" t="s">
        <v>2242</v>
      </c>
      <c r="G403" s="7" t="s">
        <v>672</v>
      </c>
      <c r="H403" s="7" t="s">
        <v>2243</v>
      </c>
      <c r="I403" s="7" t="s">
        <v>948</v>
      </c>
      <c r="J403" s="7" t="s">
        <v>682</v>
      </c>
    </row>
    <row r="404" spans="1:10">
      <c r="A404" s="7" t="s">
        <v>2244</v>
      </c>
      <c r="B404" s="7" t="s">
        <v>443</v>
      </c>
      <c r="C404" s="7" t="s">
        <v>901</v>
      </c>
      <c r="D404" s="7" t="s">
        <v>605</v>
      </c>
      <c r="E404" s="7" t="s">
        <v>905</v>
      </c>
      <c r="F404" s="7" t="s">
        <v>2245</v>
      </c>
      <c r="G404" s="7" t="s">
        <v>2069</v>
      </c>
      <c r="H404" s="7" t="s">
        <v>2246</v>
      </c>
      <c r="I404" s="7" t="s">
        <v>2247</v>
      </c>
      <c r="J404" s="7" t="s">
        <v>633</v>
      </c>
    </row>
    <row r="405" spans="1:10">
      <c r="A405" s="7" t="s">
        <v>2248</v>
      </c>
      <c r="B405" s="7" t="s">
        <v>329</v>
      </c>
      <c r="C405" s="7" t="s">
        <v>701</v>
      </c>
      <c r="D405" s="7" t="s">
        <v>607</v>
      </c>
      <c r="E405" s="7" t="s">
        <v>768</v>
      </c>
      <c r="F405" s="7" t="s">
        <v>2249</v>
      </c>
      <c r="G405" s="7" t="s">
        <v>1426</v>
      </c>
      <c r="H405" s="7" t="s">
        <v>2250</v>
      </c>
      <c r="I405" s="7" t="s">
        <v>2008</v>
      </c>
      <c r="J405" s="7" t="s">
        <v>648</v>
      </c>
    </row>
    <row r="406" spans="1:10">
      <c r="A406" s="7" t="s">
        <v>2251</v>
      </c>
      <c r="B406" s="7" t="s">
        <v>200</v>
      </c>
      <c r="C406" s="7" t="s">
        <v>839</v>
      </c>
      <c r="D406" s="7" t="s">
        <v>605</v>
      </c>
      <c r="E406" s="7" t="s">
        <v>812</v>
      </c>
      <c r="F406" s="7" t="s">
        <v>2252</v>
      </c>
      <c r="G406" s="7" t="s">
        <v>637</v>
      </c>
      <c r="H406" s="7" t="s">
        <v>2253</v>
      </c>
      <c r="I406" s="7" t="s">
        <v>632</v>
      </c>
      <c r="J406" s="7" t="s">
        <v>640</v>
      </c>
    </row>
    <row r="407" spans="1:10">
      <c r="A407" s="7" t="s">
        <v>2254</v>
      </c>
      <c r="B407" s="7" t="s">
        <v>295</v>
      </c>
      <c r="C407" s="7" t="s">
        <v>894</v>
      </c>
      <c r="D407" s="7" t="s">
        <v>627</v>
      </c>
      <c r="E407" s="7" t="s">
        <v>950</v>
      </c>
      <c r="F407" s="7" t="s">
        <v>2255</v>
      </c>
      <c r="G407" s="7" t="s">
        <v>955</v>
      </c>
      <c r="H407" s="7" t="s">
        <v>2256</v>
      </c>
      <c r="I407" s="7" t="s">
        <v>381</v>
      </c>
      <c r="J407" s="7" t="s">
        <v>648</v>
      </c>
    </row>
    <row r="408" spans="1:10">
      <c r="A408" s="7" t="s">
        <v>2257</v>
      </c>
      <c r="B408" s="7" t="s">
        <v>437</v>
      </c>
      <c r="C408" s="7" t="s">
        <v>954</v>
      </c>
      <c r="D408" s="7" t="s">
        <v>622</v>
      </c>
      <c r="E408" s="7" t="s">
        <v>670</v>
      </c>
      <c r="F408" s="7" t="s">
        <v>2258</v>
      </c>
      <c r="G408" s="7" t="s">
        <v>785</v>
      </c>
      <c r="H408" s="7" t="s">
        <v>2259</v>
      </c>
      <c r="I408" s="7" t="s">
        <v>875</v>
      </c>
      <c r="J408" s="7" t="s">
        <v>682</v>
      </c>
    </row>
    <row r="409" spans="1:10">
      <c r="A409" s="7" t="s">
        <v>2260</v>
      </c>
      <c r="B409" s="7" t="s">
        <v>373</v>
      </c>
      <c r="C409" s="7" t="s">
        <v>784</v>
      </c>
      <c r="D409" s="7" t="s">
        <v>614</v>
      </c>
      <c r="E409" s="7" t="s">
        <v>610</v>
      </c>
      <c r="F409" s="7" t="s">
        <v>2261</v>
      </c>
      <c r="G409" s="7" t="s">
        <v>974</v>
      </c>
      <c r="H409" s="7" t="s">
        <v>2262</v>
      </c>
      <c r="I409" s="7" t="s">
        <v>854</v>
      </c>
      <c r="J409" s="7" t="s">
        <v>754</v>
      </c>
    </row>
    <row r="410" spans="1:10">
      <c r="A410" s="7" t="s">
        <v>2263</v>
      </c>
      <c r="B410" s="7" t="s">
        <v>295</v>
      </c>
      <c r="C410" s="7" t="s">
        <v>872</v>
      </c>
      <c r="D410" s="7" t="s">
        <v>627</v>
      </c>
      <c r="E410" s="7" t="s">
        <v>670</v>
      </c>
      <c r="F410" s="7" t="s">
        <v>2264</v>
      </c>
      <c r="G410" s="7" t="s">
        <v>785</v>
      </c>
      <c r="H410" s="7" t="s">
        <v>2265</v>
      </c>
      <c r="I410" s="7" t="s">
        <v>710</v>
      </c>
      <c r="J410" s="7" t="s">
        <v>682</v>
      </c>
    </row>
    <row r="411" spans="1:10">
      <c r="A411" s="7" t="s">
        <v>2266</v>
      </c>
      <c r="B411" s="7" t="s">
        <v>152</v>
      </c>
      <c r="C411" s="7" t="s">
        <v>747</v>
      </c>
      <c r="D411" s="7" t="s">
        <v>605</v>
      </c>
      <c r="E411" s="7" t="s">
        <v>977</v>
      </c>
      <c r="F411" s="7" t="s">
        <v>2267</v>
      </c>
      <c r="G411" s="7" t="s">
        <v>1006</v>
      </c>
      <c r="H411" s="7" t="s">
        <v>2268</v>
      </c>
      <c r="I411" s="7" t="s">
        <v>2269</v>
      </c>
      <c r="J411" s="7" t="s">
        <v>633</v>
      </c>
    </row>
    <row r="412" spans="1:10">
      <c r="A412" s="7" t="s">
        <v>2270</v>
      </c>
      <c r="B412" s="7" t="s">
        <v>39</v>
      </c>
      <c r="C412" s="7" t="s">
        <v>825</v>
      </c>
      <c r="D412" s="7" t="s">
        <v>605</v>
      </c>
      <c r="E412" s="7" t="s">
        <v>827</v>
      </c>
      <c r="F412" s="7" t="s">
        <v>2271</v>
      </c>
      <c r="G412" s="7" t="s">
        <v>658</v>
      </c>
      <c r="H412" s="7" t="s">
        <v>2272</v>
      </c>
      <c r="I412" s="7" t="s">
        <v>1640</v>
      </c>
      <c r="J412" s="7" t="s">
        <v>621</v>
      </c>
    </row>
    <row r="413" spans="1:10">
      <c r="A413" s="7" t="s">
        <v>2273</v>
      </c>
      <c r="B413" s="7" t="s">
        <v>478</v>
      </c>
      <c r="C413" s="7" t="s">
        <v>606</v>
      </c>
      <c r="D413" s="7" t="s">
        <v>614</v>
      </c>
      <c r="E413" s="7" t="s">
        <v>1105</v>
      </c>
      <c r="F413" s="7" t="s">
        <v>2274</v>
      </c>
      <c r="G413" s="7" t="s">
        <v>2275</v>
      </c>
      <c r="H413" s="7" t="s">
        <v>2276</v>
      </c>
      <c r="I413" s="7" t="s">
        <v>273</v>
      </c>
      <c r="J413" s="7" t="s">
        <v>613</v>
      </c>
    </row>
    <row r="414" spans="1:10">
      <c r="A414" s="7" t="s">
        <v>2277</v>
      </c>
      <c r="B414" s="7" t="s">
        <v>301</v>
      </c>
      <c r="C414" s="7" t="s">
        <v>909</v>
      </c>
      <c r="D414" s="7" t="s">
        <v>607</v>
      </c>
      <c r="E414" s="7" t="s">
        <v>768</v>
      </c>
      <c r="F414" s="7" t="s">
        <v>2278</v>
      </c>
      <c r="G414" s="7" t="s">
        <v>703</v>
      </c>
      <c r="H414" s="7" t="s">
        <v>2279</v>
      </c>
      <c r="I414" s="7" t="s">
        <v>1263</v>
      </c>
      <c r="J414" s="7" t="s">
        <v>648</v>
      </c>
    </row>
    <row r="415" spans="1:10">
      <c r="A415" s="7" t="s">
        <v>2280</v>
      </c>
      <c r="B415" s="7" t="s">
        <v>206</v>
      </c>
      <c r="C415" s="7" t="s">
        <v>649</v>
      </c>
      <c r="D415" s="7" t="s">
        <v>627</v>
      </c>
      <c r="E415" s="7" t="s">
        <v>785</v>
      </c>
      <c r="F415" s="7" t="s">
        <v>2281</v>
      </c>
      <c r="G415" s="7" t="s">
        <v>724</v>
      </c>
      <c r="H415" s="7" t="s">
        <v>2282</v>
      </c>
      <c r="I415" s="7" t="s">
        <v>492</v>
      </c>
      <c r="J415" s="7" t="s">
        <v>682</v>
      </c>
    </row>
    <row r="416" spans="1:10">
      <c r="A416" s="7" t="s">
        <v>2283</v>
      </c>
      <c r="B416" s="7" t="s">
        <v>385</v>
      </c>
      <c r="C416" s="7" t="s">
        <v>628</v>
      </c>
      <c r="D416" s="7" t="s">
        <v>627</v>
      </c>
      <c r="E416" s="7" t="s">
        <v>831</v>
      </c>
      <c r="F416" s="7" t="s">
        <v>2284</v>
      </c>
      <c r="G416" s="7" t="s">
        <v>833</v>
      </c>
      <c r="H416" s="7" t="s">
        <v>2285</v>
      </c>
      <c r="I416" s="7" t="s">
        <v>1552</v>
      </c>
      <c r="J416" s="7" t="s">
        <v>633</v>
      </c>
    </row>
    <row r="417" spans="1:10">
      <c r="A417" s="7" t="s">
        <v>2286</v>
      </c>
      <c r="B417" s="7" t="s">
        <v>39</v>
      </c>
      <c r="C417" s="7" t="s">
        <v>634</v>
      </c>
      <c r="D417" s="7" t="s">
        <v>607</v>
      </c>
      <c r="E417" s="7" t="s">
        <v>735</v>
      </c>
      <c r="F417" s="7" t="s">
        <v>2287</v>
      </c>
      <c r="G417" s="7" t="s">
        <v>1219</v>
      </c>
      <c r="H417" s="7" t="s">
        <v>2288</v>
      </c>
      <c r="I417" s="7" t="s">
        <v>2289</v>
      </c>
      <c r="J417" s="7" t="s">
        <v>640</v>
      </c>
    </row>
    <row r="418" spans="1:10">
      <c r="A418" s="7" t="s">
        <v>2290</v>
      </c>
      <c r="B418" s="7" t="s">
        <v>27</v>
      </c>
      <c r="C418" s="7" t="s">
        <v>723</v>
      </c>
      <c r="D418" s="7" t="s">
        <v>627</v>
      </c>
      <c r="E418" s="7" t="s">
        <v>724</v>
      </c>
      <c r="F418" s="7" t="s">
        <v>2291</v>
      </c>
      <c r="G418" s="7" t="s">
        <v>974</v>
      </c>
      <c r="H418" s="7" t="s">
        <v>2292</v>
      </c>
      <c r="I418" s="7" t="s">
        <v>710</v>
      </c>
      <c r="J418" s="7" t="s">
        <v>682</v>
      </c>
    </row>
    <row r="419" spans="1:10">
      <c r="A419" s="7" t="s">
        <v>2293</v>
      </c>
      <c r="B419" s="7" t="s">
        <v>408</v>
      </c>
      <c r="C419" s="7" t="s">
        <v>931</v>
      </c>
      <c r="D419" s="7" t="s">
        <v>622</v>
      </c>
      <c r="E419" s="7" t="s">
        <v>1426</v>
      </c>
      <c r="F419" s="7" t="s">
        <v>2294</v>
      </c>
      <c r="G419" s="7" t="s">
        <v>937</v>
      </c>
      <c r="H419" s="7" t="s">
        <v>2295</v>
      </c>
      <c r="I419" s="7" t="s">
        <v>41</v>
      </c>
      <c r="J419" s="7" t="s">
        <v>648</v>
      </c>
    </row>
    <row r="420" spans="1:10">
      <c r="A420" s="7" t="s">
        <v>2296</v>
      </c>
      <c r="B420" s="7" t="s">
        <v>385</v>
      </c>
      <c r="C420" s="7" t="s">
        <v>860</v>
      </c>
      <c r="D420" s="7" t="s">
        <v>622</v>
      </c>
      <c r="E420" s="7" t="s">
        <v>610</v>
      </c>
      <c r="F420" s="7" t="s">
        <v>2297</v>
      </c>
      <c r="G420" s="7" t="s">
        <v>974</v>
      </c>
      <c r="H420" s="7" t="s">
        <v>2298</v>
      </c>
      <c r="I420" s="7" t="s">
        <v>881</v>
      </c>
      <c r="J420" s="7" t="s">
        <v>682</v>
      </c>
    </row>
    <row r="421" spans="1:10">
      <c r="A421" s="7" t="s">
        <v>2299</v>
      </c>
      <c r="B421" s="7" t="s">
        <v>236</v>
      </c>
      <c r="C421" s="7" t="s">
        <v>641</v>
      </c>
      <c r="D421" s="7" t="s">
        <v>622</v>
      </c>
      <c r="E421" s="7" t="s">
        <v>943</v>
      </c>
      <c r="F421" s="7" t="s">
        <v>2300</v>
      </c>
      <c r="G421" s="7" t="s">
        <v>785</v>
      </c>
      <c r="H421" s="7" t="s">
        <v>2301</v>
      </c>
      <c r="I421" s="7" t="s">
        <v>308</v>
      </c>
      <c r="J421" s="7" t="s">
        <v>682</v>
      </c>
    </row>
    <row r="422" spans="1:10">
      <c r="A422" s="7" t="s">
        <v>2302</v>
      </c>
      <c r="B422" s="7" t="s">
        <v>391</v>
      </c>
      <c r="C422" s="7" t="s">
        <v>684</v>
      </c>
      <c r="D422" s="7" t="s">
        <v>627</v>
      </c>
      <c r="E422" s="7" t="s">
        <v>2303</v>
      </c>
      <c r="F422" s="7" t="s">
        <v>2304</v>
      </c>
      <c r="G422" s="7" t="s">
        <v>2305</v>
      </c>
      <c r="H422" s="7" t="s">
        <v>2306</v>
      </c>
      <c r="I422" s="7" t="s">
        <v>166</v>
      </c>
      <c r="J422" s="7" t="s">
        <v>633</v>
      </c>
    </row>
    <row r="423" spans="1:10">
      <c r="A423" s="7" t="s">
        <v>2307</v>
      </c>
      <c r="B423" s="7" t="s">
        <v>265</v>
      </c>
      <c r="C423" s="7" t="s">
        <v>886</v>
      </c>
      <c r="D423" s="7" t="s">
        <v>614</v>
      </c>
      <c r="E423" s="7" t="s">
        <v>643</v>
      </c>
      <c r="F423" s="7" t="s">
        <v>2308</v>
      </c>
      <c r="G423" s="7" t="s">
        <v>666</v>
      </c>
      <c r="H423" s="7" t="s">
        <v>2309</v>
      </c>
      <c r="I423" s="7" t="s">
        <v>2310</v>
      </c>
      <c r="J423" s="7" t="s">
        <v>648</v>
      </c>
    </row>
    <row r="424" spans="1:10">
      <c r="A424" s="7" t="s">
        <v>2311</v>
      </c>
      <c r="B424" s="7" t="s">
        <v>397</v>
      </c>
      <c r="C424" s="7" t="s">
        <v>722</v>
      </c>
      <c r="D424" s="7" t="s">
        <v>605</v>
      </c>
      <c r="E424" s="7" t="s">
        <v>635</v>
      </c>
      <c r="F424" s="7" t="s">
        <v>2312</v>
      </c>
      <c r="G424" s="7" t="s">
        <v>1219</v>
      </c>
      <c r="H424" s="7" t="s">
        <v>2313</v>
      </c>
      <c r="I424" s="7" t="s">
        <v>2314</v>
      </c>
      <c r="J424" s="7" t="s">
        <v>640</v>
      </c>
    </row>
    <row r="425" spans="1:10">
      <c r="A425" s="7" t="s">
        <v>2315</v>
      </c>
      <c r="B425" s="7" t="s">
        <v>425</v>
      </c>
      <c r="C425" s="7" t="s">
        <v>649</v>
      </c>
      <c r="D425" s="7" t="s">
        <v>627</v>
      </c>
      <c r="E425" s="7" t="s">
        <v>1136</v>
      </c>
      <c r="F425" s="7" t="s">
        <v>2316</v>
      </c>
      <c r="G425" s="7" t="s">
        <v>1918</v>
      </c>
      <c r="H425" s="7" t="s">
        <v>2317</v>
      </c>
      <c r="I425" s="7" t="s">
        <v>1142</v>
      </c>
      <c r="J425" s="7" t="s">
        <v>682</v>
      </c>
    </row>
    <row r="426" spans="1:10">
      <c r="A426" s="7" t="s">
        <v>2318</v>
      </c>
      <c r="B426" s="7" t="s">
        <v>419</v>
      </c>
      <c r="C426" s="7" t="s">
        <v>669</v>
      </c>
      <c r="D426" s="7" t="s">
        <v>605</v>
      </c>
      <c r="E426" s="7" t="s">
        <v>2319</v>
      </c>
      <c r="F426" s="7" t="s">
        <v>2320</v>
      </c>
      <c r="G426" s="7" t="s">
        <v>1310</v>
      </c>
      <c r="H426" s="7" t="s">
        <v>2321</v>
      </c>
      <c r="I426" s="7" t="s">
        <v>387</v>
      </c>
      <c r="J426" s="7" t="s">
        <v>613</v>
      </c>
    </row>
    <row r="427" spans="1:10">
      <c r="A427" s="7" t="s">
        <v>2322</v>
      </c>
      <c r="B427" s="7" t="s">
        <v>431</v>
      </c>
      <c r="C427" s="7" t="s">
        <v>614</v>
      </c>
      <c r="D427" s="7" t="s">
        <v>614</v>
      </c>
      <c r="E427" s="7" t="s">
        <v>897</v>
      </c>
      <c r="F427" s="7" t="s">
        <v>2323</v>
      </c>
      <c r="G427" s="7" t="s">
        <v>1219</v>
      </c>
      <c r="H427" s="7" t="s">
        <v>2324</v>
      </c>
      <c r="I427" s="7" t="s">
        <v>2325</v>
      </c>
      <c r="J427" s="7" t="s">
        <v>640</v>
      </c>
    </row>
    <row r="428" spans="1:10">
      <c r="A428" s="7" t="s">
        <v>2326</v>
      </c>
      <c r="B428" s="7" t="s">
        <v>254</v>
      </c>
      <c r="C428" s="7" t="s">
        <v>825</v>
      </c>
      <c r="D428" s="7" t="s">
        <v>607</v>
      </c>
      <c r="E428" s="7" t="s">
        <v>1081</v>
      </c>
      <c r="F428" s="7" t="s">
        <v>2327</v>
      </c>
      <c r="G428" s="7" t="s">
        <v>618</v>
      </c>
      <c r="H428" s="7" t="s">
        <v>2328</v>
      </c>
      <c r="I428" s="7" t="s">
        <v>1693</v>
      </c>
      <c r="J428" s="7" t="s">
        <v>621</v>
      </c>
    </row>
    <row r="429" spans="1:10">
      <c r="A429" s="7" t="s">
        <v>2329</v>
      </c>
      <c r="B429" s="7" t="s">
        <v>230</v>
      </c>
      <c r="C429" s="7" t="s">
        <v>668</v>
      </c>
      <c r="D429" s="7" t="s">
        <v>614</v>
      </c>
      <c r="E429" s="7" t="s">
        <v>2330</v>
      </c>
      <c r="F429" s="7" t="s">
        <v>2331</v>
      </c>
      <c r="G429" s="7" t="s">
        <v>2332</v>
      </c>
      <c r="H429" s="7" t="s">
        <v>2333</v>
      </c>
      <c r="I429" s="7" t="s">
        <v>521</v>
      </c>
      <c r="J429" s="7" t="s">
        <v>633</v>
      </c>
    </row>
    <row r="430" spans="1:10">
      <c r="A430" s="7" t="s">
        <v>2334</v>
      </c>
      <c r="B430" s="7" t="s">
        <v>45</v>
      </c>
      <c r="C430" s="7" t="s">
        <v>663</v>
      </c>
      <c r="D430" s="7" t="s">
        <v>607</v>
      </c>
      <c r="E430" s="7" t="s">
        <v>768</v>
      </c>
      <c r="F430" s="7" t="s">
        <v>2335</v>
      </c>
      <c r="G430" s="7" t="s">
        <v>952</v>
      </c>
      <c r="H430" s="7" t="s">
        <v>2336</v>
      </c>
      <c r="I430" s="7" t="s">
        <v>1440</v>
      </c>
      <c r="J430" s="7" t="s">
        <v>648</v>
      </c>
    </row>
    <row r="431" spans="1:10">
      <c r="A431" s="7" t="s">
        <v>2337</v>
      </c>
      <c r="B431" s="7" t="s">
        <v>271</v>
      </c>
      <c r="C431" s="7" t="s">
        <v>664</v>
      </c>
      <c r="D431" s="7" t="s">
        <v>614</v>
      </c>
      <c r="E431" s="7" t="s">
        <v>888</v>
      </c>
      <c r="F431" s="7" t="s">
        <v>2338</v>
      </c>
      <c r="G431" s="7" t="s">
        <v>952</v>
      </c>
      <c r="H431" s="7" t="s">
        <v>2339</v>
      </c>
      <c r="I431" s="7" t="s">
        <v>2340</v>
      </c>
      <c r="J431" s="7" t="s">
        <v>648</v>
      </c>
    </row>
    <row r="432" spans="1:10">
      <c r="A432" s="7" t="s">
        <v>2341</v>
      </c>
      <c r="B432" s="7" t="s">
        <v>339</v>
      </c>
      <c r="C432" s="7" t="s">
        <v>605</v>
      </c>
      <c r="D432" s="7" t="s">
        <v>627</v>
      </c>
      <c r="E432" s="7" t="s">
        <v>915</v>
      </c>
      <c r="F432" s="7" t="s">
        <v>2342</v>
      </c>
      <c r="G432" s="7" t="s">
        <v>2343</v>
      </c>
      <c r="H432" s="7" t="s">
        <v>2344</v>
      </c>
      <c r="I432" s="7" t="s">
        <v>1004</v>
      </c>
      <c r="J432" s="7" t="s">
        <v>754</v>
      </c>
    </row>
    <row r="433" spans="1:10">
      <c r="A433" s="7" t="s">
        <v>2345</v>
      </c>
      <c r="B433" s="7" t="s">
        <v>543</v>
      </c>
      <c r="C433" s="7" t="s">
        <v>683</v>
      </c>
      <c r="D433" s="7" t="s">
        <v>627</v>
      </c>
      <c r="E433" s="7" t="s">
        <v>2346</v>
      </c>
      <c r="F433" s="7" t="s">
        <v>2347</v>
      </c>
      <c r="G433" s="7" t="s">
        <v>780</v>
      </c>
      <c r="H433" s="7" t="s">
        <v>2348</v>
      </c>
      <c r="I433" s="7" t="s">
        <v>1814</v>
      </c>
      <c r="J433" s="7" t="s">
        <v>613</v>
      </c>
    </row>
    <row r="434" spans="1:10">
      <c r="A434" s="7" t="s">
        <v>2349</v>
      </c>
      <c r="B434" s="7" t="s">
        <v>403</v>
      </c>
      <c r="C434" s="7" t="s">
        <v>649</v>
      </c>
      <c r="D434" s="7" t="s">
        <v>607</v>
      </c>
      <c r="E434" s="7" t="s">
        <v>670</v>
      </c>
      <c r="F434" s="7" t="s">
        <v>2350</v>
      </c>
      <c r="G434" s="7" t="s">
        <v>677</v>
      </c>
      <c r="H434" s="7" t="s">
        <v>2351</v>
      </c>
      <c r="I434" s="7" t="s">
        <v>908</v>
      </c>
      <c r="J434" s="7" t="s">
        <v>682</v>
      </c>
    </row>
    <row r="435" spans="1:10">
      <c r="A435" s="7" t="s">
        <v>2352</v>
      </c>
      <c r="B435" s="7" t="s">
        <v>122</v>
      </c>
      <c r="C435" s="7" t="s">
        <v>876</v>
      </c>
      <c r="D435" s="7" t="s">
        <v>627</v>
      </c>
      <c r="E435" s="7" t="s">
        <v>2059</v>
      </c>
      <c r="F435" s="7" t="s">
        <v>2353</v>
      </c>
      <c r="G435" s="7" t="s">
        <v>1902</v>
      </c>
      <c r="H435" s="7" t="s">
        <v>2354</v>
      </c>
      <c r="I435" s="7" t="s">
        <v>1160</v>
      </c>
      <c r="J435" s="7" t="s">
        <v>754</v>
      </c>
    </row>
    <row r="436" spans="1:10">
      <c r="A436" s="7" t="s">
        <v>2355</v>
      </c>
      <c r="B436" s="7" t="s">
        <v>104</v>
      </c>
      <c r="C436" s="7" t="s">
        <v>886</v>
      </c>
      <c r="D436" s="7" t="s">
        <v>627</v>
      </c>
      <c r="E436" s="7" t="s">
        <v>768</v>
      </c>
      <c r="F436" s="7" t="s">
        <v>2356</v>
      </c>
      <c r="G436" s="7" t="s">
        <v>888</v>
      </c>
      <c r="H436" s="7" t="s">
        <v>2357</v>
      </c>
      <c r="I436" s="7" t="s">
        <v>2358</v>
      </c>
      <c r="J436" s="7" t="s">
        <v>648</v>
      </c>
    </row>
    <row r="437" spans="1:10">
      <c r="A437" s="7" t="s">
        <v>2359</v>
      </c>
      <c r="B437" s="7" t="s">
        <v>345</v>
      </c>
      <c r="C437" s="7" t="s">
        <v>656</v>
      </c>
      <c r="D437" s="7" t="s">
        <v>605</v>
      </c>
      <c r="E437" s="7" t="s">
        <v>2360</v>
      </c>
      <c r="F437" s="7" t="s">
        <v>2361</v>
      </c>
      <c r="G437" s="7" t="s">
        <v>1156</v>
      </c>
      <c r="H437" s="7" t="s">
        <v>2362</v>
      </c>
      <c r="I437" s="7" t="s">
        <v>1010</v>
      </c>
      <c r="J437" s="7" t="s">
        <v>613</v>
      </c>
    </row>
    <row r="438" spans="1:10">
      <c r="A438" s="7" t="s">
        <v>2363</v>
      </c>
      <c r="B438" s="7" t="s">
        <v>63</v>
      </c>
      <c r="C438" s="7" t="s">
        <v>894</v>
      </c>
      <c r="D438" s="7" t="s">
        <v>605</v>
      </c>
      <c r="E438" s="7" t="s">
        <v>1426</v>
      </c>
      <c r="F438" s="7" t="s">
        <v>2364</v>
      </c>
      <c r="G438" s="7" t="s">
        <v>888</v>
      </c>
      <c r="H438" s="7" t="s">
        <v>2365</v>
      </c>
      <c r="I438" s="7" t="s">
        <v>2366</v>
      </c>
      <c r="J438" s="7" t="s">
        <v>648</v>
      </c>
    </row>
    <row r="439" spans="1:10">
      <c r="A439" s="7" t="s">
        <v>2367</v>
      </c>
      <c r="B439" s="7" t="s">
        <v>224</v>
      </c>
      <c r="C439" s="7" t="s">
        <v>797</v>
      </c>
      <c r="D439" s="7" t="s">
        <v>614</v>
      </c>
      <c r="E439" s="7" t="s">
        <v>645</v>
      </c>
      <c r="F439" s="7" t="s">
        <v>2368</v>
      </c>
      <c r="G439" s="7" t="s">
        <v>888</v>
      </c>
      <c r="H439" s="7" t="s">
        <v>2369</v>
      </c>
      <c r="I439" s="7" t="s">
        <v>1874</v>
      </c>
      <c r="J439" s="7" t="s">
        <v>648</v>
      </c>
    </row>
    <row r="440" spans="1:10">
      <c r="A440" s="7" t="s">
        <v>2370</v>
      </c>
      <c r="B440" s="7" t="s">
        <v>224</v>
      </c>
      <c r="C440" s="7" t="s">
        <v>683</v>
      </c>
      <c r="D440" s="7" t="s">
        <v>622</v>
      </c>
      <c r="E440" s="7" t="s">
        <v>915</v>
      </c>
      <c r="F440" s="7" t="s">
        <v>2371</v>
      </c>
      <c r="G440" s="7" t="s">
        <v>1039</v>
      </c>
      <c r="H440" s="7" t="s">
        <v>2372</v>
      </c>
      <c r="I440" s="7" t="s">
        <v>427</v>
      </c>
      <c r="J440" s="7" t="s">
        <v>613</v>
      </c>
    </row>
    <row r="441" spans="1:10">
      <c r="A441" s="7" t="s">
        <v>2373</v>
      </c>
      <c r="B441" s="7" t="s">
        <v>110</v>
      </c>
      <c r="C441" s="7" t="s">
        <v>690</v>
      </c>
      <c r="D441" s="7" t="s">
        <v>627</v>
      </c>
      <c r="E441" s="7" t="s">
        <v>724</v>
      </c>
      <c r="F441" s="7" t="s">
        <v>2374</v>
      </c>
      <c r="G441" s="7" t="s">
        <v>1918</v>
      </c>
      <c r="H441" s="7" t="s">
        <v>2375</v>
      </c>
      <c r="I441" s="7" t="s">
        <v>1693</v>
      </c>
      <c r="J441" s="7" t="s">
        <v>682</v>
      </c>
    </row>
    <row r="442" spans="1:10">
      <c r="A442" s="7" t="s">
        <v>2376</v>
      </c>
      <c r="B442" s="7" t="s">
        <v>312</v>
      </c>
      <c r="C442" s="7" t="s">
        <v>762</v>
      </c>
      <c r="D442" s="7" t="s">
        <v>614</v>
      </c>
      <c r="E442" s="7" t="s">
        <v>670</v>
      </c>
      <c r="F442" s="7" t="s">
        <v>2377</v>
      </c>
      <c r="G442" s="7" t="s">
        <v>763</v>
      </c>
      <c r="H442" s="7" t="s">
        <v>2378</v>
      </c>
      <c r="I442" s="7" t="s">
        <v>2379</v>
      </c>
      <c r="J442" s="7" t="s">
        <v>682</v>
      </c>
    </row>
    <row r="443" spans="1:10">
      <c r="A443" s="7" t="s">
        <v>2380</v>
      </c>
      <c r="B443" s="7" t="s">
        <v>140</v>
      </c>
      <c r="C443" s="7" t="s">
        <v>622</v>
      </c>
      <c r="D443" s="7" t="s">
        <v>622</v>
      </c>
      <c r="E443" s="7" t="s">
        <v>895</v>
      </c>
      <c r="F443" s="7" t="s">
        <v>2381</v>
      </c>
      <c r="G443" s="7" t="s">
        <v>814</v>
      </c>
      <c r="H443" s="7" t="s">
        <v>2382</v>
      </c>
      <c r="I443" s="7" t="s">
        <v>136</v>
      </c>
      <c r="J443" s="7" t="s">
        <v>640</v>
      </c>
    </row>
    <row r="444" spans="1:10">
      <c r="A444" s="7" t="s">
        <v>2383</v>
      </c>
      <c r="B444" s="7" t="s">
        <v>277</v>
      </c>
      <c r="C444" s="7" t="s">
        <v>839</v>
      </c>
      <c r="D444" s="7" t="s">
        <v>622</v>
      </c>
      <c r="E444" s="7" t="s">
        <v>996</v>
      </c>
      <c r="F444" s="7" t="s">
        <v>2384</v>
      </c>
      <c r="G444" s="7" t="s">
        <v>897</v>
      </c>
      <c r="H444" s="7" t="s">
        <v>2385</v>
      </c>
      <c r="I444" s="7" t="s">
        <v>2095</v>
      </c>
      <c r="J444" s="7" t="s">
        <v>640</v>
      </c>
    </row>
    <row r="445" spans="1:10">
      <c r="A445" s="7" t="s">
        <v>2386</v>
      </c>
      <c r="B445" s="7" t="s">
        <v>128</v>
      </c>
      <c r="C445" s="7" t="s">
        <v>696</v>
      </c>
      <c r="D445" s="7" t="s">
        <v>622</v>
      </c>
      <c r="E445" s="7" t="s">
        <v>821</v>
      </c>
      <c r="F445" s="7" t="s">
        <v>2387</v>
      </c>
      <c r="G445" s="7" t="s">
        <v>739</v>
      </c>
      <c r="H445" s="7" t="s">
        <v>2388</v>
      </c>
      <c r="I445" s="7" t="s">
        <v>1319</v>
      </c>
      <c r="J445" s="7" t="s">
        <v>621</v>
      </c>
    </row>
    <row r="446" spans="1:10">
      <c r="A446" s="7" t="s">
        <v>2389</v>
      </c>
      <c r="B446" s="7" t="s">
        <v>283</v>
      </c>
      <c r="C446" s="7" t="s">
        <v>756</v>
      </c>
      <c r="D446" s="7" t="s">
        <v>607</v>
      </c>
      <c r="E446" s="7" t="s">
        <v>2191</v>
      </c>
      <c r="F446" s="7" t="s">
        <v>2390</v>
      </c>
      <c r="G446" s="7" t="s">
        <v>934</v>
      </c>
      <c r="H446" s="7" t="s">
        <v>2391</v>
      </c>
      <c r="I446" s="7" t="s">
        <v>689</v>
      </c>
      <c r="J446" s="7" t="s">
        <v>613</v>
      </c>
    </row>
    <row r="447" spans="1:10">
      <c r="A447" s="7" t="s">
        <v>2392</v>
      </c>
      <c r="B447" s="7" t="s">
        <v>466</v>
      </c>
      <c r="C447" s="7" t="s">
        <v>792</v>
      </c>
      <c r="D447" s="7" t="s">
        <v>607</v>
      </c>
      <c r="E447" s="7" t="s">
        <v>735</v>
      </c>
      <c r="F447" s="7" t="s">
        <v>2393</v>
      </c>
      <c r="G447" s="7" t="s">
        <v>814</v>
      </c>
      <c r="H447" s="7" t="s">
        <v>2394</v>
      </c>
      <c r="I447" s="7" t="s">
        <v>1244</v>
      </c>
      <c r="J447" s="7" t="s">
        <v>640</v>
      </c>
    </row>
    <row r="448" spans="1:10">
      <c r="A448" s="7" t="s">
        <v>2395</v>
      </c>
      <c r="B448" s="7" t="s">
        <v>194</v>
      </c>
      <c r="C448" s="7" t="s">
        <v>860</v>
      </c>
      <c r="D448" s="7" t="s">
        <v>627</v>
      </c>
      <c r="E448" s="7" t="s">
        <v>943</v>
      </c>
      <c r="F448" s="7" t="s">
        <v>2396</v>
      </c>
      <c r="G448" s="7" t="s">
        <v>693</v>
      </c>
      <c r="H448" s="7" t="s">
        <v>2397</v>
      </c>
      <c r="I448" s="7" t="s">
        <v>1203</v>
      </c>
      <c r="J448" s="7" t="s">
        <v>682</v>
      </c>
    </row>
    <row r="449" spans="1:10">
      <c r="A449" s="7" t="s">
        <v>2398</v>
      </c>
      <c r="B449" s="7" t="s">
        <v>508</v>
      </c>
      <c r="C449" s="7" t="s">
        <v>676</v>
      </c>
      <c r="D449" s="7" t="s">
        <v>605</v>
      </c>
      <c r="E449" s="7" t="s">
        <v>677</v>
      </c>
      <c r="F449" s="7" t="s">
        <v>2399</v>
      </c>
      <c r="G449" s="7" t="s">
        <v>679</v>
      </c>
      <c r="H449" s="7" t="s">
        <v>2400</v>
      </c>
      <c r="I449" s="7" t="s">
        <v>16</v>
      </c>
      <c r="J449" s="7" t="s">
        <v>682</v>
      </c>
    </row>
    <row r="450" spans="1:10">
      <c r="A450" s="7" t="s">
        <v>2401</v>
      </c>
      <c r="B450" s="7" t="s">
        <v>271</v>
      </c>
      <c r="C450" s="7" t="s">
        <v>839</v>
      </c>
      <c r="D450" s="7" t="s">
        <v>627</v>
      </c>
      <c r="E450" s="7" t="s">
        <v>897</v>
      </c>
      <c r="F450" s="7" t="s">
        <v>2402</v>
      </c>
      <c r="G450" s="7" t="s">
        <v>706</v>
      </c>
      <c r="H450" s="7" t="s">
        <v>2403</v>
      </c>
      <c r="I450" s="7" t="s">
        <v>1114</v>
      </c>
      <c r="J450" s="7" t="s">
        <v>640</v>
      </c>
    </row>
    <row r="451" spans="1:10">
      <c r="A451" s="7" t="s">
        <v>2404</v>
      </c>
      <c r="B451" s="7" t="s">
        <v>566</v>
      </c>
      <c r="C451" s="7" t="s">
        <v>820</v>
      </c>
      <c r="D451" s="7" t="s">
        <v>607</v>
      </c>
      <c r="E451" s="7" t="s">
        <v>2405</v>
      </c>
      <c r="F451" s="7" t="s">
        <v>2406</v>
      </c>
      <c r="G451" s="7" t="s">
        <v>2332</v>
      </c>
      <c r="H451" s="7" t="s">
        <v>2407</v>
      </c>
      <c r="I451" s="7" t="s">
        <v>574</v>
      </c>
      <c r="J451" s="7" t="s">
        <v>754</v>
      </c>
    </row>
    <row r="452" spans="1:10">
      <c r="A452" s="7" t="s">
        <v>2408</v>
      </c>
      <c r="B452" s="7" t="s">
        <v>466</v>
      </c>
      <c r="C452" s="7" t="s">
        <v>792</v>
      </c>
      <c r="D452" s="7" t="s">
        <v>607</v>
      </c>
      <c r="E452" s="7" t="s">
        <v>1158</v>
      </c>
      <c r="F452" s="7" t="s">
        <v>2409</v>
      </c>
      <c r="G452" s="7" t="s">
        <v>897</v>
      </c>
      <c r="H452" s="7" t="s">
        <v>2410</v>
      </c>
      <c r="I452" s="7" t="s">
        <v>1362</v>
      </c>
      <c r="J452" s="7" t="s">
        <v>640</v>
      </c>
    </row>
    <row r="453" spans="1:10">
      <c r="A453" s="7" t="s">
        <v>2411</v>
      </c>
      <c r="B453" s="7" t="s">
        <v>271</v>
      </c>
      <c r="C453" s="7" t="s">
        <v>959</v>
      </c>
      <c r="D453" s="7" t="s">
        <v>622</v>
      </c>
      <c r="E453" s="7" t="s">
        <v>1529</v>
      </c>
      <c r="F453" s="7" t="s">
        <v>2412</v>
      </c>
      <c r="G453" s="7" t="s">
        <v>844</v>
      </c>
      <c r="H453" s="7" t="s">
        <v>2413</v>
      </c>
      <c r="I453" s="7" t="s">
        <v>1055</v>
      </c>
      <c r="J453" s="7" t="s">
        <v>633</v>
      </c>
    </row>
    <row r="454" spans="1:10">
      <c r="A454" s="7" t="s">
        <v>2414</v>
      </c>
      <c r="B454" s="7" t="s">
        <v>194</v>
      </c>
      <c r="C454" s="7" t="s">
        <v>664</v>
      </c>
      <c r="D454" s="7" t="s">
        <v>614</v>
      </c>
      <c r="E454" s="7" t="s">
        <v>1476</v>
      </c>
      <c r="F454" s="7" t="s">
        <v>2415</v>
      </c>
      <c r="G454" s="7" t="s">
        <v>952</v>
      </c>
      <c r="H454" s="7" t="s">
        <v>2416</v>
      </c>
      <c r="I454" s="7" t="s">
        <v>1004</v>
      </c>
      <c r="J454" s="7" t="s">
        <v>648</v>
      </c>
    </row>
    <row r="455" spans="1:10">
      <c r="A455" s="7" t="s">
        <v>2417</v>
      </c>
      <c r="B455" s="7" t="s">
        <v>519</v>
      </c>
      <c r="C455" s="7" t="s">
        <v>622</v>
      </c>
      <c r="D455" s="7" t="s">
        <v>614</v>
      </c>
      <c r="E455" s="7" t="s">
        <v>1158</v>
      </c>
      <c r="F455" s="7" t="s">
        <v>2418</v>
      </c>
      <c r="G455" s="7" t="s">
        <v>733</v>
      </c>
      <c r="H455" s="7" t="s">
        <v>2419</v>
      </c>
      <c r="I455" s="7" t="s">
        <v>1609</v>
      </c>
      <c r="J455" s="7" t="s">
        <v>640</v>
      </c>
    </row>
    <row r="456" spans="1:10">
      <c r="A456" s="7" t="s">
        <v>2420</v>
      </c>
      <c r="B456" s="7" t="s">
        <v>425</v>
      </c>
      <c r="C456" s="7" t="s">
        <v>605</v>
      </c>
      <c r="D456" s="7" t="s">
        <v>614</v>
      </c>
      <c r="E456" s="7" t="s">
        <v>1409</v>
      </c>
      <c r="F456" s="7" t="s">
        <v>2421</v>
      </c>
      <c r="G456" s="7" t="s">
        <v>1774</v>
      </c>
      <c r="H456" s="7" t="s">
        <v>2422</v>
      </c>
      <c r="I456" s="7" t="s">
        <v>2310</v>
      </c>
      <c r="J456" s="7" t="s">
        <v>754</v>
      </c>
    </row>
    <row r="457" spans="1:10">
      <c r="A457" s="7" t="s">
        <v>2423</v>
      </c>
      <c r="B457" s="7" t="s">
        <v>419</v>
      </c>
      <c r="C457" s="7" t="s">
        <v>792</v>
      </c>
      <c r="D457" s="7" t="s">
        <v>614</v>
      </c>
      <c r="E457" s="7" t="s">
        <v>735</v>
      </c>
      <c r="F457" s="7" t="s">
        <v>1113</v>
      </c>
      <c r="G457" s="7" t="s">
        <v>814</v>
      </c>
      <c r="H457" s="7" t="s">
        <v>2424</v>
      </c>
      <c r="I457" s="7" t="s">
        <v>871</v>
      </c>
      <c r="J457" s="7" t="s">
        <v>640</v>
      </c>
    </row>
    <row r="458" spans="1:10">
      <c r="A458" s="7" t="s">
        <v>2425</v>
      </c>
      <c r="B458" s="7" t="s">
        <v>218</v>
      </c>
      <c r="C458" s="7" t="s">
        <v>738</v>
      </c>
      <c r="D458" s="7" t="s">
        <v>607</v>
      </c>
      <c r="E458" s="7" t="s">
        <v>2426</v>
      </c>
      <c r="F458" s="7" t="s">
        <v>2427</v>
      </c>
      <c r="G458" s="7" t="s">
        <v>1070</v>
      </c>
      <c r="H458" s="7" t="s">
        <v>2428</v>
      </c>
      <c r="I458" s="7" t="s">
        <v>2429</v>
      </c>
      <c r="J458" s="7" t="s">
        <v>754</v>
      </c>
    </row>
    <row r="459" spans="1:10">
      <c r="A459" s="7" t="s">
        <v>2430</v>
      </c>
      <c r="B459" s="7" t="s">
        <v>324</v>
      </c>
      <c r="C459" s="7" t="s">
        <v>732</v>
      </c>
      <c r="D459" s="7" t="s">
        <v>614</v>
      </c>
      <c r="E459" s="7" t="s">
        <v>625</v>
      </c>
      <c r="F459" s="7" t="s">
        <v>2431</v>
      </c>
      <c r="G459" s="7" t="s">
        <v>759</v>
      </c>
      <c r="H459" s="7" t="s">
        <v>2432</v>
      </c>
      <c r="I459" s="7" t="s">
        <v>1146</v>
      </c>
      <c r="J459" s="7" t="s">
        <v>633</v>
      </c>
    </row>
    <row r="460" spans="1:10">
      <c r="A460" s="7" t="s">
        <v>2433</v>
      </c>
      <c r="B460" s="7" t="s">
        <v>548</v>
      </c>
      <c r="C460" s="7" t="s">
        <v>683</v>
      </c>
      <c r="D460" s="7" t="s">
        <v>614</v>
      </c>
      <c r="E460" s="7" t="s">
        <v>2434</v>
      </c>
      <c r="F460" s="7" t="s">
        <v>2435</v>
      </c>
      <c r="G460" s="7" t="s">
        <v>1666</v>
      </c>
      <c r="H460" s="7" t="s">
        <v>2436</v>
      </c>
      <c r="I460" s="7" t="s">
        <v>1800</v>
      </c>
      <c r="J460" s="7" t="s">
        <v>613</v>
      </c>
    </row>
    <row r="461" spans="1:10">
      <c r="A461" s="7" t="s">
        <v>2437</v>
      </c>
      <c r="B461" s="7" t="s">
        <v>45</v>
      </c>
      <c r="C461" s="7" t="s">
        <v>774</v>
      </c>
      <c r="D461" s="7" t="s">
        <v>614</v>
      </c>
      <c r="E461" s="7" t="s">
        <v>693</v>
      </c>
      <c r="F461" s="7" t="s">
        <v>2438</v>
      </c>
      <c r="G461" s="7" t="s">
        <v>763</v>
      </c>
      <c r="H461" s="7" t="s">
        <v>2439</v>
      </c>
      <c r="I461" s="7" t="s">
        <v>2440</v>
      </c>
      <c r="J461" s="7" t="s">
        <v>682</v>
      </c>
    </row>
    <row r="462" spans="1:10">
      <c r="A462" s="7" t="s">
        <v>2441</v>
      </c>
      <c r="B462" s="7" t="s">
        <v>490</v>
      </c>
      <c r="C462" s="7" t="s">
        <v>683</v>
      </c>
      <c r="D462" s="7" t="s">
        <v>627</v>
      </c>
      <c r="E462" s="7" t="s">
        <v>1548</v>
      </c>
      <c r="F462" s="7" t="s">
        <v>2442</v>
      </c>
      <c r="G462" s="7" t="s">
        <v>2443</v>
      </c>
      <c r="H462" s="7" t="s">
        <v>2444</v>
      </c>
      <c r="I462" s="7" t="s">
        <v>1286</v>
      </c>
      <c r="J462" s="7" t="s">
        <v>613</v>
      </c>
    </row>
    <row r="463" spans="1:10">
      <c r="A463" s="7" t="s">
        <v>2445</v>
      </c>
      <c r="B463" s="7" t="s">
        <v>408</v>
      </c>
      <c r="C463" s="7" t="s">
        <v>696</v>
      </c>
      <c r="D463" s="7" t="s">
        <v>607</v>
      </c>
      <c r="E463" s="7" t="s">
        <v>712</v>
      </c>
      <c r="F463" s="7" t="s">
        <v>2446</v>
      </c>
      <c r="G463" s="7" t="s">
        <v>618</v>
      </c>
      <c r="H463" s="7" t="s">
        <v>2447</v>
      </c>
      <c r="I463" s="7" t="s">
        <v>1160</v>
      </c>
      <c r="J463" s="7" t="s">
        <v>621</v>
      </c>
    </row>
    <row r="464" spans="1:10">
      <c r="A464" s="7" t="s">
        <v>2448</v>
      </c>
      <c r="B464" s="7" t="s">
        <v>460</v>
      </c>
      <c r="C464" s="7" t="s">
        <v>715</v>
      </c>
      <c r="D464" s="7" t="s">
        <v>622</v>
      </c>
      <c r="E464" s="7" t="s">
        <v>1985</v>
      </c>
      <c r="F464" s="7" t="s">
        <v>2449</v>
      </c>
      <c r="G464" s="7" t="s">
        <v>2319</v>
      </c>
      <c r="H464" s="7" t="s">
        <v>2450</v>
      </c>
      <c r="I464" s="7" t="s">
        <v>2451</v>
      </c>
      <c r="J464" s="7" t="s">
        <v>633</v>
      </c>
    </row>
    <row r="465" spans="1:10">
      <c r="A465" s="7" t="s">
        <v>2452</v>
      </c>
      <c r="B465" s="7" t="s">
        <v>86</v>
      </c>
      <c r="C465" s="7" t="s">
        <v>715</v>
      </c>
      <c r="D465" s="7" t="s">
        <v>622</v>
      </c>
      <c r="E465" s="7" t="s">
        <v>2453</v>
      </c>
      <c r="F465" s="7" t="s">
        <v>2454</v>
      </c>
      <c r="G465" s="7" t="s">
        <v>1394</v>
      </c>
      <c r="H465" s="7" t="s">
        <v>2455</v>
      </c>
      <c r="I465" s="7" t="s">
        <v>2456</v>
      </c>
      <c r="J465" s="7" t="s">
        <v>633</v>
      </c>
    </row>
    <row r="466" spans="1:10">
      <c r="A466" s="7" t="s">
        <v>2457</v>
      </c>
      <c r="B466" s="7" t="s">
        <v>176</v>
      </c>
      <c r="C466" s="7" t="s">
        <v>894</v>
      </c>
      <c r="D466" s="7" t="s">
        <v>607</v>
      </c>
      <c r="E466" s="7" t="s">
        <v>1021</v>
      </c>
      <c r="F466" s="7" t="s">
        <v>2458</v>
      </c>
      <c r="G466" s="7" t="s">
        <v>645</v>
      </c>
      <c r="H466" s="7" t="s">
        <v>2459</v>
      </c>
      <c r="I466" s="7" t="s">
        <v>59</v>
      </c>
      <c r="J466" s="7" t="s">
        <v>648</v>
      </c>
    </row>
    <row r="467" spans="1:10">
      <c r="A467" s="7" t="s">
        <v>2460</v>
      </c>
      <c r="B467" s="7" t="s">
        <v>318</v>
      </c>
      <c r="C467" s="7" t="s">
        <v>716</v>
      </c>
      <c r="D467" s="7" t="s">
        <v>605</v>
      </c>
      <c r="E467" s="7" t="s">
        <v>962</v>
      </c>
      <c r="F467" s="7" t="s">
        <v>2461</v>
      </c>
      <c r="G467" s="7" t="s">
        <v>1689</v>
      </c>
      <c r="H467" s="7" t="s">
        <v>2462</v>
      </c>
      <c r="I467" s="7" t="s">
        <v>971</v>
      </c>
      <c r="J467" s="7" t="s">
        <v>613</v>
      </c>
    </row>
    <row r="468" spans="1:10">
      <c r="A468" s="7" t="s">
        <v>2463</v>
      </c>
      <c r="B468" s="7" t="s">
        <v>334</v>
      </c>
      <c r="C468" s="7" t="s">
        <v>886</v>
      </c>
      <c r="D468" s="7" t="s">
        <v>605</v>
      </c>
      <c r="E468" s="7" t="s">
        <v>966</v>
      </c>
      <c r="F468" s="7" t="s">
        <v>2464</v>
      </c>
      <c r="G468" s="7" t="s">
        <v>955</v>
      </c>
      <c r="H468" s="7" t="s">
        <v>2465</v>
      </c>
      <c r="I468" s="7" t="s">
        <v>695</v>
      </c>
      <c r="J468" s="7" t="s">
        <v>648</v>
      </c>
    </row>
    <row r="469" spans="1:10">
      <c r="A469" s="7" t="s">
        <v>2466</v>
      </c>
      <c r="B469" s="7" t="s">
        <v>45</v>
      </c>
      <c r="C469" s="7" t="s">
        <v>607</v>
      </c>
      <c r="D469" s="7" t="s">
        <v>614</v>
      </c>
      <c r="E469" s="7" t="s">
        <v>749</v>
      </c>
      <c r="F469" s="7" t="s">
        <v>2467</v>
      </c>
      <c r="G469" s="7" t="s">
        <v>1016</v>
      </c>
      <c r="H469" s="7" t="s">
        <v>2468</v>
      </c>
      <c r="I469" s="7" t="s">
        <v>2469</v>
      </c>
      <c r="J469" s="7" t="s">
        <v>754</v>
      </c>
    </row>
    <row r="470" spans="1:10">
      <c r="A470" s="7" t="s">
        <v>2470</v>
      </c>
      <c r="B470" s="7" t="s">
        <v>306</v>
      </c>
      <c r="C470" s="7" t="s">
        <v>748</v>
      </c>
      <c r="D470" s="7" t="s">
        <v>627</v>
      </c>
      <c r="E470" s="7" t="s">
        <v>917</v>
      </c>
      <c r="F470" s="7" t="s">
        <v>2471</v>
      </c>
      <c r="G470" s="7" t="s">
        <v>2343</v>
      </c>
      <c r="H470" s="7" t="s">
        <v>2472</v>
      </c>
      <c r="I470" s="7" t="s">
        <v>238</v>
      </c>
      <c r="J470" s="7" t="s">
        <v>754</v>
      </c>
    </row>
    <row r="471" spans="1:10">
      <c r="A471" s="7" t="s">
        <v>2473</v>
      </c>
      <c r="B471" s="7" t="s">
        <v>188</v>
      </c>
      <c r="C471" s="7" t="s">
        <v>860</v>
      </c>
      <c r="D471" s="7" t="s">
        <v>607</v>
      </c>
      <c r="E471" s="7" t="s">
        <v>785</v>
      </c>
      <c r="F471" s="7" t="s">
        <v>2474</v>
      </c>
      <c r="G471" s="7" t="s">
        <v>763</v>
      </c>
      <c r="H471" s="7" t="s">
        <v>2475</v>
      </c>
      <c r="I471" s="7" t="s">
        <v>848</v>
      </c>
      <c r="J471" s="7" t="s">
        <v>682</v>
      </c>
    </row>
    <row r="472" spans="1:10">
      <c r="A472" s="7" t="s">
        <v>2476</v>
      </c>
      <c r="B472" s="7" t="s">
        <v>543</v>
      </c>
      <c r="C472" s="7" t="s">
        <v>716</v>
      </c>
      <c r="D472" s="7" t="s">
        <v>614</v>
      </c>
      <c r="E472" s="7" t="s">
        <v>2477</v>
      </c>
      <c r="F472" s="7" t="s">
        <v>2478</v>
      </c>
      <c r="G472" s="7" t="s">
        <v>812</v>
      </c>
      <c r="H472" s="7" t="s">
        <v>2479</v>
      </c>
      <c r="I472" s="7" t="s">
        <v>1750</v>
      </c>
      <c r="J472" s="7" t="s">
        <v>613</v>
      </c>
    </row>
    <row r="473" spans="1:10">
      <c r="A473" s="7" t="s">
        <v>2480</v>
      </c>
      <c r="B473" s="7" t="s">
        <v>92</v>
      </c>
      <c r="C473" s="7" t="s">
        <v>669</v>
      </c>
      <c r="D473" s="7" t="s">
        <v>605</v>
      </c>
      <c r="E473" s="7" t="s">
        <v>2082</v>
      </c>
      <c r="F473" s="7" t="s">
        <v>2481</v>
      </c>
      <c r="G473" s="7" t="s">
        <v>2482</v>
      </c>
      <c r="H473" s="7" t="s">
        <v>2483</v>
      </c>
      <c r="I473" s="7" t="s">
        <v>710</v>
      </c>
      <c r="J473" s="7" t="s">
        <v>613</v>
      </c>
    </row>
    <row r="474" spans="1:10">
      <c r="A474" s="7" t="s">
        <v>2484</v>
      </c>
      <c r="B474" s="7" t="s">
        <v>362</v>
      </c>
      <c r="C474" s="7" t="s">
        <v>738</v>
      </c>
      <c r="D474" s="7" t="s">
        <v>622</v>
      </c>
      <c r="E474" s="7" t="s">
        <v>2485</v>
      </c>
      <c r="F474" s="7" t="s">
        <v>2486</v>
      </c>
      <c r="G474" s="7" t="s">
        <v>2487</v>
      </c>
      <c r="H474" s="7" t="s">
        <v>2488</v>
      </c>
      <c r="I474" s="7" t="s">
        <v>2489</v>
      </c>
      <c r="J474" s="7" t="s">
        <v>754</v>
      </c>
    </row>
    <row r="475" spans="1:10">
      <c r="A475" s="7" t="s">
        <v>2490</v>
      </c>
      <c r="B475" s="7" t="s">
        <v>306</v>
      </c>
      <c r="C475" s="7" t="s">
        <v>605</v>
      </c>
      <c r="D475" s="7" t="s">
        <v>627</v>
      </c>
      <c r="E475" s="7" t="s">
        <v>1158</v>
      </c>
      <c r="F475" s="7" t="s">
        <v>2491</v>
      </c>
      <c r="G475" s="7" t="s">
        <v>730</v>
      </c>
      <c r="H475" s="7" t="s">
        <v>2492</v>
      </c>
      <c r="I475" s="7" t="s">
        <v>220</v>
      </c>
      <c r="J475" s="7" t="s">
        <v>754</v>
      </c>
    </row>
    <row r="476" spans="1:10">
      <c r="A476" s="7" t="s">
        <v>2493</v>
      </c>
      <c r="B476" s="7" t="s">
        <v>584</v>
      </c>
      <c r="C476" s="7" t="s">
        <v>855</v>
      </c>
      <c r="D476" s="7" t="s">
        <v>614</v>
      </c>
      <c r="E476" s="7" t="s">
        <v>2494</v>
      </c>
      <c r="F476" s="7" t="s">
        <v>2495</v>
      </c>
      <c r="G476" s="7" t="s">
        <v>2496</v>
      </c>
      <c r="H476" s="7" t="s">
        <v>2497</v>
      </c>
      <c r="I476" s="7" t="s">
        <v>2498</v>
      </c>
      <c r="J476" s="7" t="s">
        <v>613</v>
      </c>
    </row>
    <row r="477" spans="1:10">
      <c r="A477" s="7" t="s">
        <v>2499</v>
      </c>
      <c r="B477" s="7" t="s">
        <v>397</v>
      </c>
      <c r="C477" s="7" t="s">
        <v>824</v>
      </c>
      <c r="D477" s="7" t="s">
        <v>614</v>
      </c>
      <c r="E477" s="7" t="s">
        <v>1456</v>
      </c>
      <c r="F477" s="7" t="s">
        <v>2500</v>
      </c>
      <c r="G477" s="7" t="s">
        <v>2026</v>
      </c>
      <c r="H477" s="7" t="s">
        <v>2501</v>
      </c>
      <c r="I477" s="7" t="s">
        <v>721</v>
      </c>
      <c r="J477" s="7" t="s">
        <v>613</v>
      </c>
    </row>
    <row r="478" spans="1:10">
      <c r="A478" s="7" t="s">
        <v>2502</v>
      </c>
      <c r="B478" s="7" t="s">
        <v>584</v>
      </c>
      <c r="C478" s="7" t="s">
        <v>792</v>
      </c>
      <c r="D478" s="7" t="s">
        <v>627</v>
      </c>
      <c r="E478" s="7" t="s">
        <v>735</v>
      </c>
      <c r="F478" s="7" t="s">
        <v>2503</v>
      </c>
      <c r="G478" s="7" t="s">
        <v>730</v>
      </c>
      <c r="H478" s="7" t="s">
        <v>2504</v>
      </c>
      <c r="I478" s="7" t="s">
        <v>106</v>
      </c>
      <c r="J478" s="7" t="s">
        <v>640</v>
      </c>
    </row>
    <row r="479" spans="1:10">
      <c r="A479" s="7" t="s">
        <v>2505</v>
      </c>
      <c r="B479" s="7" t="s">
        <v>20</v>
      </c>
      <c r="C479" s="7" t="s">
        <v>675</v>
      </c>
      <c r="D479" s="7" t="s">
        <v>607</v>
      </c>
      <c r="E479" s="7" t="s">
        <v>895</v>
      </c>
      <c r="F479" s="7" t="s">
        <v>2506</v>
      </c>
      <c r="G479" s="7" t="s">
        <v>733</v>
      </c>
      <c r="H479" s="7" t="s">
        <v>2507</v>
      </c>
      <c r="I479" s="7" t="s">
        <v>2508</v>
      </c>
      <c r="J479" s="7" t="s">
        <v>640</v>
      </c>
    </row>
    <row r="480" spans="1:10">
      <c r="A480" s="7" t="s">
        <v>2509</v>
      </c>
      <c r="B480" s="7" t="s">
        <v>419</v>
      </c>
      <c r="C480" s="7" t="s">
        <v>675</v>
      </c>
      <c r="D480" s="7" t="s">
        <v>605</v>
      </c>
      <c r="E480" s="7" t="s">
        <v>1158</v>
      </c>
      <c r="F480" s="7" t="s">
        <v>2510</v>
      </c>
      <c r="G480" s="7" t="s">
        <v>635</v>
      </c>
      <c r="H480" s="7" t="s">
        <v>2511</v>
      </c>
      <c r="I480" s="7" t="s">
        <v>2162</v>
      </c>
      <c r="J480" s="7" t="s">
        <v>640</v>
      </c>
    </row>
    <row r="481" spans="1:10">
      <c r="A481" s="7" t="s">
        <v>2512</v>
      </c>
      <c r="B481" s="7" t="s">
        <v>350</v>
      </c>
      <c r="C481" s="7" t="s">
        <v>723</v>
      </c>
      <c r="D481" s="7" t="s">
        <v>627</v>
      </c>
      <c r="E481" s="7" t="s">
        <v>763</v>
      </c>
      <c r="F481" s="7" t="s">
        <v>2513</v>
      </c>
      <c r="G481" s="7" t="s">
        <v>1414</v>
      </c>
      <c r="H481" s="7" t="s">
        <v>2514</v>
      </c>
      <c r="I481" s="7" t="s">
        <v>2515</v>
      </c>
      <c r="J481" s="7" t="s">
        <v>682</v>
      </c>
    </row>
    <row r="482" spans="1:10">
      <c r="A482" s="7" t="s">
        <v>2516</v>
      </c>
      <c r="B482" s="7" t="s">
        <v>265</v>
      </c>
      <c r="C482" s="7" t="s">
        <v>683</v>
      </c>
      <c r="D482" s="7" t="s">
        <v>607</v>
      </c>
      <c r="E482" s="7" t="s">
        <v>1476</v>
      </c>
      <c r="F482" s="7" t="s">
        <v>2517</v>
      </c>
      <c r="G482" s="7" t="s">
        <v>950</v>
      </c>
      <c r="H482" s="7" t="s">
        <v>2518</v>
      </c>
      <c r="I482" s="7" t="s">
        <v>2519</v>
      </c>
      <c r="J482" s="7" t="s">
        <v>613</v>
      </c>
    </row>
    <row r="483" spans="1:10">
      <c r="A483" s="7" t="s">
        <v>2520</v>
      </c>
      <c r="B483" s="7" t="s">
        <v>301</v>
      </c>
      <c r="C483" s="7" t="s">
        <v>716</v>
      </c>
      <c r="D483" s="7" t="s">
        <v>622</v>
      </c>
      <c r="E483" s="7" t="s">
        <v>2521</v>
      </c>
      <c r="F483" s="7" t="s">
        <v>2522</v>
      </c>
      <c r="G483" s="7" t="s">
        <v>2191</v>
      </c>
      <c r="H483" s="7" t="s">
        <v>2523</v>
      </c>
      <c r="I483" s="7" t="s">
        <v>746</v>
      </c>
      <c r="J483" s="7" t="s">
        <v>613</v>
      </c>
    </row>
    <row r="484" spans="1:10">
      <c r="A484" s="7" t="s">
        <v>2524</v>
      </c>
      <c r="B484" s="7" t="s">
        <v>45</v>
      </c>
      <c r="C484" s="7" t="s">
        <v>909</v>
      </c>
      <c r="D484" s="7" t="s">
        <v>614</v>
      </c>
      <c r="E484" s="7" t="s">
        <v>966</v>
      </c>
      <c r="F484" s="7" t="s">
        <v>2525</v>
      </c>
      <c r="G484" s="7" t="s">
        <v>952</v>
      </c>
      <c r="H484" s="7" t="s">
        <v>2526</v>
      </c>
      <c r="I484" s="7" t="s">
        <v>244</v>
      </c>
      <c r="J484" s="7" t="s">
        <v>648</v>
      </c>
    </row>
    <row r="485" spans="1:10">
      <c r="A485" s="7" t="s">
        <v>2527</v>
      </c>
      <c r="B485" s="7" t="s">
        <v>206</v>
      </c>
      <c r="C485" s="7" t="s">
        <v>605</v>
      </c>
      <c r="D485" s="7" t="s">
        <v>607</v>
      </c>
      <c r="E485" s="7" t="s">
        <v>2528</v>
      </c>
      <c r="F485" s="7" t="s">
        <v>2529</v>
      </c>
      <c r="G485" s="7" t="s">
        <v>1072</v>
      </c>
      <c r="H485" s="7" t="s">
        <v>2530</v>
      </c>
      <c r="I485" s="7" t="s">
        <v>662</v>
      </c>
      <c r="J485" s="7" t="s">
        <v>754</v>
      </c>
    </row>
    <row r="486" spans="1:10">
      <c r="A486" s="7" t="s">
        <v>2531</v>
      </c>
      <c r="B486" s="7" t="s">
        <v>176</v>
      </c>
      <c r="C486" s="7" t="s">
        <v>657</v>
      </c>
      <c r="D486" s="7" t="s">
        <v>627</v>
      </c>
      <c r="E486" s="7" t="s">
        <v>1107</v>
      </c>
      <c r="F486" s="7" t="s">
        <v>2532</v>
      </c>
      <c r="G486" s="7" t="s">
        <v>660</v>
      </c>
      <c r="H486" s="7" t="s">
        <v>2533</v>
      </c>
      <c r="I486" s="7" t="s">
        <v>462</v>
      </c>
      <c r="J486" s="7" t="s">
        <v>621</v>
      </c>
    </row>
    <row r="487" spans="1:10">
      <c r="A487" s="7" t="s">
        <v>2534</v>
      </c>
      <c r="B487" s="7" t="s">
        <v>182</v>
      </c>
      <c r="C487" s="7" t="s">
        <v>747</v>
      </c>
      <c r="D487" s="7" t="s">
        <v>605</v>
      </c>
      <c r="E487" s="7" t="s">
        <v>749</v>
      </c>
      <c r="F487" s="7" t="s">
        <v>2535</v>
      </c>
      <c r="G487" s="7" t="s">
        <v>2536</v>
      </c>
      <c r="H487" s="7" t="s">
        <v>2537</v>
      </c>
      <c r="I487" s="7" t="s">
        <v>1946</v>
      </c>
      <c r="J487" s="7" t="s">
        <v>633</v>
      </c>
    </row>
    <row r="488" spans="1:10">
      <c r="A488" s="7" t="s">
        <v>2538</v>
      </c>
      <c r="B488" s="7" t="s">
        <v>318</v>
      </c>
      <c r="C488" s="7" t="s">
        <v>876</v>
      </c>
      <c r="D488" s="7" t="s">
        <v>605</v>
      </c>
      <c r="E488" s="7" t="s">
        <v>2346</v>
      </c>
      <c r="F488" s="7" t="s">
        <v>2539</v>
      </c>
      <c r="G488" s="7" t="s">
        <v>2540</v>
      </c>
      <c r="H488" s="7" t="s">
        <v>2541</v>
      </c>
      <c r="I488" s="7" t="s">
        <v>190</v>
      </c>
      <c r="J488" s="7" t="s">
        <v>754</v>
      </c>
    </row>
    <row r="489" spans="1:10">
      <c r="A489" s="7" t="s">
        <v>2542</v>
      </c>
      <c r="B489" s="7" t="s">
        <v>152</v>
      </c>
      <c r="C489" s="7" t="s">
        <v>701</v>
      </c>
      <c r="D489" s="7" t="s">
        <v>627</v>
      </c>
      <c r="E489" s="7" t="s">
        <v>966</v>
      </c>
      <c r="F489" s="7" t="s">
        <v>2543</v>
      </c>
      <c r="G489" s="7" t="s">
        <v>666</v>
      </c>
      <c r="H489" s="7" t="s">
        <v>2544</v>
      </c>
      <c r="I489" s="7" t="s">
        <v>112</v>
      </c>
      <c r="J489" s="7" t="s">
        <v>648</v>
      </c>
    </row>
    <row r="490" spans="1:10">
      <c r="A490" s="7" t="s">
        <v>2545</v>
      </c>
      <c r="B490" s="7" t="s">
        <v>425</v>
      </c>
      <c r="C490" s="7" t="s">
        <v>668</v>
      </c>
      <c r="D490" s="7" t="s">
        <v>605</v>
      </c>
      <c r="E490" s="7" t="s">
        <v>966</v>
      </c>
      <c r="F490" s="7" t="s">
        <v>2546</v>
      </c>
      <c r="G490" s="7" t="s">
        <v>955</v>
      </c>
      <c r="H490" s="7" t="s">
        <v>2547</v>
      </c>
      <c r="I490" s="7" t="s">
        <v>1160</v>
      </c>
      <c r="J490" s="7" t="s">
        <v>633</v>
      </c>
    </row>
    <row r="491" spans="1:10">
      <c r="A491" s="7" t="s">
        <v>2548</v>
      </c>
      <c r="B491" s="7" t="s">
        <v>443</v>
      </c>
      <c r="C491" s="7" t="s">
        <v>614</v>
      </c>
      <c r="D491" s="7" t="s">
        <v>605</v>
      </c>
      <c r="E491" s="7" t="s">
        <v>735</v>
      </c>
      <c r="F491" s="7" t="s">
        <v>2549</v>
      </c>
      <c r="G491" s="7" t="s">
        <v>730</v>
      </c>
      <c r="H491" s="7" t="s">
        <v>2550</v>
      </c>
      <c r="I491" s="7" t="s">
        <v>2310</v>
      </c>
      <c r="J491" s="7" t="s">
        <v>640</v>
      </c>
    </row>
    <row r="492" spans="1:10">
      <c r="A492" s="7" t="s">
        <v>2551</v>
      </c>
      <c r="B492" s="7" t="s">
        <v>560</v>
      </c>
      <c r="C492" s="7" t="s">
        <v>756</v>
      </c>
      <c r="D492" s="7" t="s">
        <v>605</v>
      </c>
      <c r="E492" s="7" t="s">
        <v>1897</v>
      </c>
      <c r="F492" s="7" t="s">
        <v>2552</v>
      </c>
      <c r="G492" s="7" t="s">
        <v>821</v>
      </c>
      <c r="H492" s="7" t="s">
        <v>2553</v>
      </c>
      <c r="I492" s="7" t="s">
        <v>1847</v>
      </c>
      <c r="J492" s="7" t="s">
        <v>613</v>
      </c>
    </row>
    <row r="493" spans="1:10">
      <c r="A493" s="7" t="s">
        <v>2554</v>
      </c>
      <c r="B493" s="7" t="s">
        <v>283</v>
      </c>
      <c r="C493" s="7" t="s">
        <v>792</v>
      </c>
      <c r="D493" s="7" t="s">
        <v>614</v>
      </c>
      <c r="E493" s="7" t="s">
        <v>996</v>
      </c>
      <c r="F493" s="7" t="s">
        <v>2555</v>
      </c>
      <c r="G493" s="7" t="s">
        <v>897</v>
      </c>
      <c r="H493" s="7" t="s">
        <v>2556</v>
      </c>
      <c r="I493" s="7" t="s">
        <v>1010</v>
      </c>
      <c r="J493" s="7" t="s">
        <v>640</v>
      </c>
    </row>
    <row r="494" spans="1:10">
      <c r="A494" s="7" t="s">
        <v>2557</v>
      </c>
      <c r="B494" s="7" t="s">
        <v>212</v>
      </c>
      <c r="C494" s="7" t="s">
        <v>675</v>
      </c>
      <c r="D494" s="7" t="s">
        <v>605</v>
      </c>
      <c r="E494" s="7" t="s">
        <v>1186</v>
      </c>
      <c r="F494" s="7" t="s">
        <v>2558</v>
      </c>
      <c r="G494" s="7" t="s">
        <v>1383</v>
      </c>
      <c r="H494" s="7" t="s">
        <v>2559</v>
      </c>
      <c r="I494" s="7" t="s">
        <v>1306</v>
      </c>
      <c r="J494" s="7" t="s">
        <v>640</v>
      </c>
    </row>
    <row r="495" spans="1:10">
      <c r="A495" s="7" t="s">
        <v>2560</v>
      </c>
      <c r="B495" s="7" t="s">
        <v>484</v>
      </c>
      <c r="C495" s="7" t="s">
        <v>649</v>
      </c>
      <c r="D495" s="7" t="s">
        <v>627</v>
      </c>
      <c r="E495" s="7" t="s">
        <v>785</v>
      </c>
      <c r="F495" s="7" t="s">
        <v>2561</v>
      </c>
      <c r="G495" s="7" t="s">
        <v>672</v>
      </c>
      <c r="H495" s="7" t="s">
        <v>2562</v>
      </c>
      <c r="I495" s="7" t="s">
        <v>1326</v>
      </c>
      <c r="J495" s="7" t="s">
        <v>682</v>
      </c>
    </row>
    <row r="496" spans="1:10">
      <c r="A496" s="7" t="s">
        <v>2563</v>
      </c>
      <c r="B496" s="7" t="s">
        <v>45</v>
      </c>
      <c r="C496" s="7" t="s">
        <v>691</v>
      </c>
      <c r="D496" s="7" t="s">
        <v>605</v>
      </c>
      <c r="E496" s="7" t="s">
        <v>966</v>
      </c>
      <c r="F496" s="7" t="s">
        <v>2564</v>
      </c>
      <c r="G496" s="7" t="s">
        <v>666</v>
      </c>
      <c r="H496" s="7" t="s">
        <v>2565</v>
      </c>
      <c r="I496" s="7" t="s">
        <v>2566</v>
      </c>
      <c r="J496" s="7" t="s">
        <v>613</v>
      </c>
    </row>
    <row r="497" spans="1:10">
      <c r="A497" s="7" t="s">
        <v>2567</v>
      </c>
      <c r="B497" s="7" t="s">
        <v>128</v>
      </c>
      <c r="C497" s="7" t="s">
        <v>675</v>
      </c>
      <c r="D497" s="7" t="s">
        <v>627</v>
      </c>
      <c r="E497" s="7" t="s">
        <v>733</v>
      </c>
      <c r="F497" s="7" t="s">
        <v>2568</v>
      </c>
      <c r="G497" s="7" t="s">
        <v>706</v>
      </c>
      <c r="H497" s="7" t="s">
        <v>2569</v>
      </c>
      <c r="I497" s="7" t="s">
        <v>184</v>
      </c>
      <c r="J497" s="7" t="s">
        <v>640</v>
      </c>
    </row>
    <row r="498" spans="1:10">
      <c r="A498" s="7" t="s">
        <v>2570</v>
      </c>
      <c r="B498" s="7" t="s">
        <v>478</v>
      </c>
      <c r="C498" s="7" t="s">
        <v>931</v>
      </c>
      <c r="D498" s="7" t="s">
        <v>614</v>
      </c>
      <c r="E498" s="7" t="s">
        <v>666</v>
      </c>
      <c r="F498" s="7" t="s">
        <v>2571</v>
      </c>
      <c r="G498" s="7" t="s">
        <v>937</v>
      </c>
      <c r="H498" s="7" t="s">
        <v>2572</v>
      </c>
      <c r="I498" s="7" t="s">
        <v>1697</v>
      </c>
      <c r="J498" s="7" t="s">
        <v>648</v>
      </c>
    </row>
    <row r="499" spans="1:10">
      <c r="A499" s="7" t="s">
        <v>2573</v>
      </c>
      <c r="B499" s="7" t="s">
        <v>589</v>
      </c>
      <c r="C499" s="7" t="s">
        <v>722</v>
      </c>
      <c r="D499" s="7" t="s">
        <v>627</v>
      </c>
      <c r="E499" s="7" t="s">
        <v>897</v>
      </c>
      <c r="F499" s="7" t="s">
        <v>2574</v>
      </c>
      <c r="G499" s="7" t="s">
        <v>708</v>
      </c>
      <c r="H499" s="7" t="s">
        <v>2575</v>
      </c>
      <c r="I499" s="7" t="s">
        <v>2576</v>
      </c>
      <c r="J499" s="7" t="s">
        <v>640</v>
      </c>
    </row>
    <row r="500" spans="1:10">
      <c r="A500" s="7" t="s">
        <v>2577</v>
      </c>
      <c r="B500" s="7" t="s">
        <v>188</v>
      </c>
      <c r="C500" s="7" t="s">
        <v>909</v>
      </c>
      <c r="D500" s="7" t="s">
        <v>605</v>
      </c>
      <c r="E500" s="7" t="s">
        <v>888</v>
      </c>
      <c r="F500" s="7" t="s">
        <v>2578</v>
      </c>
      <c r="G500" s="7" t="s">
        <v>955</v>
      </c>
      <c r="H500" s="7" t="s">
        <v>2339</v>
      </c>
      <c r="I500" s="7" t="s">
        <v>1114</v>
      </c>
      <c r="J500" s="7" t="s">
        <v>648</v>
      </c>
    </row>
    <row r="501" spans="1:10">
      <c r="A501" s="7" t="s">
        <v>2579</v>
      </c>
      <c r="B501" s="7" t="s">
        <v>80</v>
      </c>
      <c r="C501" s="7" t="s">
        <v>849</v>
      </c>
      <c r="D501" s="7" t="s">
        <v>614</v>
      </c>
      <c r="E501" s="7" t="s">
        <v>2580</v>
      </c>
      <c r="F501" s="7" t="s">
        <v>2581</v>
      </c>
      <c r="G501" s="7" t="s">
        <v>2453</v>
      </c>
      <c r="H501" s="7" t="s">
        <v>2582</v>
      </c>
      <c r="I501" s="7" t="s">
        <v>2583</v>
      </c>
      <c r="J501" s="7" t="s">
        <v>613</v>
      </c>
    </row>
    <row r="502" spans="1:10">
      <c r="A502" s="7" t="s">
        <v>2584</v>
      </c>
      <c r="B502" s="7" t="s">
        <v>391</v>
      </c>
      <c r="C502" s="7" t="s">
        <v>855</v>
      </c>
      <c r="D502" s="7" t="s">
        <v>614</v>
      </c>
      <c r="E502" s="7" t="s">
        <v>955</v>
      </c>
      <c r="F502" s="7" t="s">
        <v>2585</v>
      </c>
      <c r="G502" s="7" t="s">
        <v>957</v>
      </c>
      <c r="H502" s="7" t="s">
        <v>2586</v>
      </c>
      <c r="I502" s="7" t="s">
        <v>1411</v>
      </c>
      <c r="J502" s="7" t="s">
        <v>613</v>
      </c>
    </row>
    <row r="503" spans="1:10">
      <c r="A503" s="7" t="s">
        <v>2587</v>
      </c>
      <c r="B503" s="7" t="s">
        <v>584</v>
      </c>
      <c r="C503" s="7" t="s">
        <v>738</v>
      </c>
      <c r="D503" s="7" t="s">
        <v>607</v>
      </c>
      <c r="E503" s="7" t="s">
        <v>1812</v>
      </c>
      <c r="F503" s="7" t="s">
        <v>2588</v>
      </c>
      <c r="G503" s="7" t="s">
        <v>1392</v>
      </c>
      <c r="H503" s="7" t="s">
        <v>2589</v>
      </c>
      <c r="I503" s="7" t="s">
        <v>930</v>
      </c>
      <c r="J503" s="7" t="s">
        <v>754</v>
      </c>
    </row>
    <row r="504" spans="1:10">
      <c r="A504" s="7" t="s">
        <v>2590</v>
      </c>
      <c r="B504" s="7" t="s">
        <v>122</v>
      </c>
      <c r="C504" s="7" t="s">
        <v>797</v>
      </c>
      <c r="D504" s="7" t="s">
        <v>605</v>
      </c>
      <c r="E504" s="7" t="s">
        <v>666</v>
      </c>
      <c r="F504" s="7" t="s">
        <v>2591</v>
      </c>
      <c r="G504" s="7" t="s">
        <v>1431</v>
      </c>
      <c r="H504" s="7" t="s">
        <v>2592</v>
      </c>
      <c r="I504" s="7" t="s">
        <v>2593</v>
      </c>
      <c r="J504" s="7" t="s">
        <v>648</v>
      </c>
    </row>
    <row r="505" spans="1:10">
      <c r="A505" s="7" t="s">
        <v>2594</v>
      </c>
      <c r="B505" s="7" t="s">
        <v>345</v>
      </c>
      <c r="C505" s="7" t="s">
        <v>755</v>
      </c>
      <c r="D505" s="7" t="s">
        <v>605</v>
      </c>
      <c r="E505" s="7" t="s">
        <v>623</v>
      </c>
      <c r="F505" s="7" t="s">
        <v>2595</v>
      </c>
      <c r="G505" s="7" t="s">
        <v>759</v>
      </c>
      <c r="H505" s="7" t="s">
        <v>2596</v>
      </c>
      <c r="I505" s="7" t="s">
        <v>2597</v>
      </c>
      <c r="J505" s="7" t="s">
        <v>613</v>
      </c>
    </row>
    <row r="506" spans="1:10">
      <c r="A506" s="7" t="s">
        <v>2598</v>
      </c>
      <c r="B506" s="7" t="s">
        <v>170</v>
      </c>
      <c r="C506" s="7" t="s">
        <v>650</v>
      </c>
      <c r="D506" s="7" t="s">
        <v>622</v>
      </c>
      <c r="E506" s="7" t="s">
        <v>1348</v>
      </c>
      <c r="F506" s="7" t="s">
        <v>2599</v>
      </c>
      <c r="G506" s="7" t="s">
        <v>2521</v>
      </c>
      <c r="H506" s="7" t="s">
        <v>2600</v>
      </c>
      <c r="I506" s="7" t="s">
        <v>1271</v>
      </c>
      <c r="J506" s="7" t="s">
        <v>633</v>
      </c>
    </row>
    <row r="507" spans="1:10">
      <c r="A507" s="7" t="s">
        <v>2601</v>
      </c>
      <c r="B507" s="7" t="s">
        <v>345</v>
      </c>
      <c r="C507" s="7" t="s">
        <v>894</v>
      </c>
      <c r="D507" s="7" t="s">
        <v>627</v>
      </c>
      <c r="E507" s="7" t="s">
        <v>888</v>
      </c>
      <c r="F507" s="7" t="s">
        <v>2602</v>
      </c>
      <c r="G507" s="7" t="s">
        <v>955</v>
      </c>
      <c r="H507" s="7" t="s">
        <v>2603</v>
      </c>
      <c r="I507" s="7" t="s">
        <v>948</v>
      </c>
      <c r="J507" s="7" t="s">
        <v>648</v>
      </c>
    </row>
    <row r="508" spans="1:10">
      <c r="A508" s="7" t="s">
        <v>2604</v>
      </c>
      <c r="B508" s="7" t="s">
        <v>170</v>
      </c>
      <c r="C508" s="7" t="s">
        <v>690</v>
      </c>
      <c r="D508" s="7" t="s">
        <v>627</v>
      </c>
      <c r="E508" s="7" t="s">
        <v>724</v>
      </c>
      <c r="F508" s="7" t="s">
        <v>2605</v>
      </c>
      <c r="G508" s="7" t="s">
        <v>1140</v>
      </c>
      <c r="H508" s="7" t="s">
        <v>2606</v>
      </c>
      <c r="I508" s="7" t="s">
        <v>1037</v>
      </c>
      <c r="J508" s="7" t="s">
        <v>682</v>
      </c>
    </row>
    <row r="509" spans="1:10">
      <c r="A509" s="7" t="s">
        <v>2607</v>
      </c>
      <c r="B509" s="7" t="s">
        <v>212</v>
      </c>
      <c r="C509" s="7" t="s">
        <v>954</v>
      </c>
      <c r="D509" s="7" t="s">
        <v>605</v>
      </c>
      <c r="E509" s="7" t="s">
        <v>670</v>
      </c>
      <c r="F509" s="7" t="s">
        <v>2608</v>
      </c>
      <c r="G509" s="7" t="s">
        <v>693</v>
      </c>
      <c r="H509" s="7" t="s">
        <v>2609</v>
      </c>
      <c r="I509" s="7" t="s">
        <v>1004</v>
      </c>
      <c r="J509" s="7" t="s">
        <v>682</v>
      </c>
    </row>
    <row r="510" spans="1:10">
      <c r="A510" s="7" t="s">
        <v>2610</v>
      </c>
      <c r="B510" s="7" t="s">
        <v>20</v>
      </c>
      <c r="C510" s="7" t="s">
        <v>690</v>
      </c>
      <c r="D510" s="7" t="s">
        <v>607</v>
      </c>
      <c r="E510" s="7" t="s">
        <v>610</v>
      </c>
      <c r="F510" s="7" t="s">
        <v>2611</v>
      </c>
      <c r="G510" s="7" t="s">
        <v>1918</v>
      </c>
      <c r="H510" s="7" t="s">
        <v>2612</v>
      </c>
      <c r="I510" s="7" t="s">
        <v>2366</v>
      </c>
      <c r="J510" s="7" t="s">
        <v>682</v>
      </c>
    </row>
    <row r="511" spans="1:10">
      <c r="A511" s="7" t="s">
        <v>2613</v>
      </c>
      <c r="B511" s="7" t="s">
        <v>104</v>
      </c>
      <c r="C511" s="7" t="s">
        <v>830</v>
      </c>
      <c r="D511" s="7" t="s">
        <v>607</v>
      </c>
      <c r="E511" s="7" t="s">
        <v>2496</v>
      </c>
      <c r="F511" s="7" t="s">
        <v>2614</v>
      </c>
      <c r="G511" s="7" t="s">
        <v>2615</v>
      </c>
      <c r="H511" s="7" t="s">
        <v>2616</v>
      </c>
      <c r="I511" s="7" t="s">
        <v>761</v>
      </c>
      <c r="J511" s="7" t="s">
        <v>613</v>
      </c>
    </row>
    <row r="512" spans="1:10">
      <c r="A512" s="7" t="s">
        <v>2617</v>
      </c>
      <c r="B512" s="7" t="s">
        <v>329</v>
      </c>
      <c r="C512" s="7" t="s">
        <v>860</v>
      </c>
      <c r="D512" s="7" t="s">
        <v>614</v>
      </c>
      <c r="E512" s="7" t="s">
        <v>943</v>
      </c>
      <c r="F512" s="7" t="s">
        <v>2618</v>
      </c>
      <c r="G512" s="7" t="s">
        <v>693</v>
      </c>
      <c r="H512" s="7" t="s">
        <v>2619</v>
      </c>
      <c r="I512" s="7" t="s">
        <v>220</v>
      </c>
      <c r="J512" s="7" t="s">
        <v>682</v>
      </c>
    </row>
    <row r="513" spans="1:10">
      <c r="A513" s="7" t="s">
        <v>2620</v>
      </c>
      <c r="B513" s="7" t="s">
        <v>51</v>
      </c>
      <c r="C513" s="7" t="s">
        <v>615</v>
      </c>
      <c r="D513" s="7" t="s">
        <v>605</v>
      </c>
      <c r="E513" s="7" t="s">
        <v>827</v>
      </c>
      <c r="F513" s="7" t="s">
        <v>2621</v>
      </c>
      <c r="G513" s="7" t="s">
        <v>817</v>
      </c>
      <c r="H513" s="7" t="s">
        <v>2622</v>
      </c>
      <c r="I513" s="7" t="s">
        <v>1800</v>
      </c>
      <c r="J513" s="7" t="s">
        <v>621</v>
      </c>
    </row>
    <row r="514" spans="1:10">
      <c r="A514" s="7" t="s">
        <v>2623</v>
      </c>
      <c r="B514" s="7" t="s">
        <v>519</v>
      </c>
      <c r="C514" s="7" t="s">
        <v>605</v>
      </c>
      <c r="D514" s="7" t="s">
        <v>627</v>
      </c>
      <c r="E514" s="7" t="s">
        <v>1389</v>
      </c>
      <c r="F514" s="7" t="s">
        <v>2624</v>
      </c>
      <c r="G514" s="7" t="s">
        <v>1542</v>
      </c>
      <c r="H514" s="7" t="s">
        <v>2625</v>
      </c>
      <c r="I514" s="7" t="s">
        <v>788</v>
      </c>
      <c r="J514" s="7" t="s">
        <v>754</v>
      </c>
    </row>
    <row r="515" spans="1:10">
      <c r="A515" s="7" t="s">
        <v>2626</v>
      </c>
      <c r="B515" s="7" t="s">
        <v>531</v>
      </c>
      <c r="C515" s="7" t="s">
        <v>747</v>
      </c>
      <c r="D515" s="7" t="s">
        <v>605</v>
      </c>
      <c r="E515" s="7" t="s">
        <v>977</v>
      </c>
      <c r="F515" s="7" t="s">
        <v>2627</v>
      </c>
      <c r="G515" s="7" t="s">
        <v>2540</v>
      </c>
      <c r="H515" s="7" t="s">
        <v>2628</v>
      </c>
      <c r="I515" s="7" t="s">
        <v>1271</v>
      </c>
      <c r="J515" s="7" t="s">
        <v>633</v>
      </c>
    </row>
    <row r="516" spans="1:10">
      <c r="A516" s="7" t="s">
        <v>2629</v>
      </c>
      <c r="B516" s="7" t="s">
        <v>460</v>
      </c>
      <c r="C516" s="7" t="s">
        <v>628</v>
      </c>
      <c r="D516" s="7" t="s">
        <v>607</v>
      </c>
      <c r="E516" s="7" t="s">
        <v>2630</v>
      </c>
      <c r="F516" s="7" t="s">
        <v>2631</v>
      </c>
      <c r="G516" s="7" t="s">
        <v>1275</v>
      </c>
      <c r="H516" s="7" t="s">
        <v>2632</v>
      </c>
      <c r="I516" s="7" t="s">
        <v>2633</v>
      </c>
      <c r="J516" s="7" t="s">
        <v>633</v>
      </c>
    </row>
    <row r="517" spans="1:10">
      <c r="A517" s="7" t="s">
        <v>2634</v>
      </c>
      <c r="B517" s="7" t="s">
        <v>122</v>
      </c>
      <c r="C517" s="7" t="s">
        <v>738</v>
      </c>
      <c r="D517" s="7" t="s">
        <v>614</v>
      </c>
      <c r="E517" s="7" t="s">
        <v>2453</v>
      </c>
      <c r="F517" s="7" t="s">
        <v>2635</v>
      </c>
      <c r="G517" s="7" t="s">
        <v>945</v>
      </c>
      <c r="H517" s="7" t="s">
        <v>2636</v>
      </c>
      <c r="I517" s="7" t="s">
        <v>451</v>
      </c>
      <c r="J517" s="7" t="s">
        <v>754</v>
      </c>
    </row>
    <row r="518" spans="1:10">
      <c r="A518" s="7" t="s">
        <v>2637</v>
      </c>
      <c r="B518" s="7" t="s">
        <v>379</v>
      </c>
      <c r="C518" s="7" t="s">
        <v>696</v>
      </c>
      <c r="D518" s="7" t="s">
        <v>607</v>
      </c>
      <c r="E518" s="7" t="s">
        <v>739</v>
      </c>
      <c r="F518" s="7" t="s">
        <v>2387</v>
      </c>
      <c r="G518" s="7" t="s">
        <v>1887</v>
      </c>
      <c r="H518" s="7" t="s">
        <v>2638</v>
      </c>
      <c r="I518" s="7" t="s">
        <v>445</v>
      </c>
      <c r="J518" s="7" t="s">
        <v>621</v>
      </c>
    </row>
    <row r="519" spans="1:10">
      <c r="A519" s="7" t="s">
        <v>2639</v>
      </c>
      <c r="B519" s="7" t="s">
        <v>271</v>
      </c>
      <c r="C519" s="7" t="s">
        <v>650</v>
      </c>
      <c r="D519" s="7" t="s">
        <v>622</v>
      </c>
      <c r="E519" s="7" t="s">
        <v>985</v>
      </c>
      <c r="F519" s="7" t="s">
        <v>2640</v>
      </c>
      <c r="G519" s="7" t="s">
        <v>793</v>
      </c>
      <c r="H519" s="7" t="s">
        <v>2641</v>
      </c>
      <c r="I519" s="7" t="s">
        <v>486</v>
      </c>
      <c r="J519" s="7" t="s">
        <v>633</v>
      </c>
    </row>
    <row r="520" spans="1:10">
      <c r="A520" s="7" t="s">
        <v>2642</v>
      </c>
      <c r="B520" s="7" t="s">
        <v>86</v>
      </c>
      <c r="C520" s="7" t="s">
        <v>728</v>
      </c>
      <c r="D520" s="7" t="s">
        <v>627</v>
      </c>
      <c r="E520" s="7" t="s">
        <v>1158</v>
      </c>
      <c r="F520" s="7" t="s">
        <v>2643</v>
      </c>
      <c r="G520" s="7" t="s">
        <v>814</v>
      </c>
      <c r="H520" s="7" t="s">
        <v>2644</v>
      </c>
      <c r="I520" s="7" t="s">
        <v>2166</v>
      </c>
      <c r="J520" s="7" t="s">
        <v>640</v>
      </c>
    </row>
    <row r="521" spans="1:10">
      <c r="A521" s="7" t="s">
        <v>2645</v>
      </c>
      <c r="B521" s="7" t="s">
        <v>158</v>
      </c>
      <c r="C521" s="7" t="s">
        <v>628</v>
      </c>
      <c r="D521" s="7" t="s">
        <v>607</v>
      </c>
      <c r="E521" s="7" t="s">
        <v>2646</v>
      </c>
      <c r="F521" s="7" t="s">
        <v>2647</v>
      </c>
      <c r="G521" s="7" t="s">
        <v>1787</v>
      </c>
      <c r="H521" s="7" t="s">
        <v>2648</v>
      </c>
      <c r="I521" s="7" t="s">
        <v>2154</v>
      </c>
      <c r="J521" s="7" t="s">
        <v>633</v>
      </c>
    </row>
    <row r="522" spans="1:10">
      <c r="A522" s="7" t="s">
        <v>2649</v>
      </c>
      <c r="B522" s="7" t="s">
        <v>367</v>
      </c>
      <c r="C522" s="7" t="s">
        <v>792</v>
      </c>
      <c r="D522" s="7" t="s">
        <v>607</v>
      </c>
      <c r="E522" s="7" t="s">
        <v>996</v>
      </c>
      <c r="F522" s="7" t="s">
        <v>2650</v>
      </c>
      <c r="G522" s="7" t="s">
        <v>895</v>
      </c>
      <c r="H522" s="7" t="s">
        <v>2651</v>
      </c>
      <c r="I522" s="7" t="s">
        <v>172</v>
      </c>
      <c r="J522" s="7" t="s">
        <v>640</v>
      </c>
    </row>
    <row r="523" spans="1:10">
      <c r="A523" s="7" t="s">
        <v>2652</v>
      </c>
      <c r="B523" s="7" t="s">
        <v>69</v>
      </c>
      <c r="C523" s="7" t="s">
        <v>872</v>
      </c>
      <c r="D523" s="7" t="s">
        <v>622</v>
      </c>
      <c r="E523" s="7" t="s">
        <v>943</v>
      </c>
      <c r="F523" s="7" t="s">
        <v>2653</v>
      </c>
      <c r="G523" s="7" t="s">
        <v>672</v>
      </c>
      <c r="H523" s="7" t="s">
        <v>2654</v>
      </c>
      <c r="I523" s="7" t="s">
        <v>1043</v>
      </c>
      <c r="J523" s="7" t="s">
        <v>682</v>
      </c>
    </row>
    <row r="524" spans="1:10">
      <c r="A524" s="7" t="s">
        <v>2655</v>
      </c>
      <c r="B524" s="7" t="s">
        <v>419</v>
      </c>
      <c r="C524" s="7" t="s">
        <v>756</v>
      </c>
      <c r="D524" s="7" t="s">
        <v>622</v>
      </c>
      <c r="E524" s="7" t="s">
        <v>2656</v>
      </c>
      <c r="F524" s="7" t="s">
        <v>2657</v>
      </c>
      <c r="G524" s="7" t="s">
        <v>1529</v>
      </c>
      <c r="H524" s="7" t="s">
        <v>2658</v>
      </c>
      <c r="I524" s="7" t="s">
        <v>1805</v>
      </c>
      <c r="J524" s="7" t="s">
        <v>613</v>
      </c>
    </row>
    <row r="525" spans="1:10">
      <c r="A525" s="7" t="s">
        <v>2659</v>
      </c>
      <c r="B525" s="7" t="s">
        <v>496</v>
      </c>
      <c r="C525" s="7" t="s">
        <v>650</v>
      </c>
      <c r="D525" s="7" t="s">
        <v>605</v>
      </c>
      <c r="E525" s="7" t="s">
        <v>2131</v>
      </c>
      <c r="F525" s="7" t="s">
        <v>2660</v>
      </c>
      <c r="G525" s="7" t="s">
        <v>768</v>
      </c>
      <c r="H525" s="7" t="s">
        <v>2661</v>
      </c>
      <c r="I525" s="7" t="s">
        <v>1594</v>
      </c>
      <c r="J525" s="7" t="s">
        <v>633</v>
      </c>
    </row>
    <row r="526" spans="1:10">
      <c r="A526" s="7" t="s">
        <v>2662</v>
      </c>
      <c r="B526" s="7" t="s">
        <v>200</v>
      </c>
      <c r="C526" s="7" t="s">
        <v>676</v>
      </c>
      <c r="D526" s="7" t="s">
        <v>614</v>
      </c>
      <c r="E526" s="7" t="s">
        <v>677</v>
      </c>
      <c r="F526" s="7" t="s">
        <v>2663</v>
      </c>
      <c r="G526" s="7" t="s">
        <v>974</v>
      </c>
      <c r="H526" s="7" t="s">
        <v>2664</v>
      </c>
      <c r="I526" s="7" t="s">
        <v>2665</v>
      </c>
      <c r="J526" s="7" t="s">
        <v>682</v>
      </c>
    </row>
    <row r="527" spans="1:10">
      <c r="A527" s="7" t="s">
        <v>2666</v>
      </c>
      <c r="B527" s="7" t="s">
        <v>51</v>
      </c>
      <c r="C527" s="7" t="s">
        <v>690</v>
      </c>
      <c r="D527" s="7" t="s">
        <v>607</v>
      </c>
      <c r="E527" s="7" t="s">
        <v>677</v>
      </c>
      <c r="F527" s="7" t="s">
        <v>2667</v>
      </c>
      <c r="G527" s="7" t="s">
        <v>672</v>
      </c>
      <c r="H527" s="7" t="s">
        <v>2668</v>
      </c>
      <c r="I527" s="7" t="s">
        <v>1716</v>
      </c>
      <c r="J527" s="7" t="s">
        <v>682</v>
      </c>
    </row>
    <row r="528" spans="1:10">
      <c r="A528" s="7" t="s">
        <v>2669</v>
      </c>
      <c r="B528" s="7" t="s">
        <v>218</v>
      </c>
      <c r="C528" s="7" t="s">
        <v>792</v>
      </c>
      <c r="D528" s="7" t="s">
        <v>622</v>
      </c>
      <c r="E528" s="7" t="s">
        <v>635</v>
      </c>
      <c r="F528" s="7" t="s">
        <v>2670</v>
      </c>
      <c r="G528" s="7" t="s">
        <v>2671</v>
      </c>
      <c r="H528" s="7" t="s">
        <v>2672</v>
      </c>
      <c r="I528" s="7" t="s">
        <v>612</v>
      </c>
      <c r="J528" s="7" t="s">
        <v>640</v>
      </c>
    </row>
    <row r="529" spans="1:10">
      <c r="A529" s="7" t="s">
        <v>2673</v>
      </c>
      <c r="B529" s="7" t="s">
        <v>7</v>
      </c>
      <c r="C529" s="7" t="s">
        <v>664</v>
      </c>
      <c r="D529" s="7" t="s">
        <v>622</v>
      </c>
      <c r="E529" s="7" t="s">
        <v>888</v>
      </c>
      <c r="F529" s="7" t="s">
        <v>2674</v>
      </c>
      <c r="G529" s="7" t="s">
        <v>703</v>
      </c>
      <c r="H529" s="7" t="s">
        <v>2675</v>
      </c>
      <c r="I529" s="7" t="s">
        <v>1750</v>
      </c>
      <c r="J529" s="7" t="s">
        <v>648</v>
      </c>
    </row>
    <row r="530" spans="1:10">
      <c r="A530" s="7" t="s">
        <v>2676</v>
      </c>
      <c r="B530" s="7" t="s">
        <v>80</v>
      </c>
      <c r="C530" s="7" t="s">
        <v>931</v>
      </c>
      <c r="D530" s="7" t="s">
        <v>614</v>
      </c>
      <c r="E530" s="7" t="s">
        <v>950</v>
      </c>
      <c r="F530" s="7" t="s">
        <v>2677</v>
      </c>
      <c r="G530" s="7" t="s">
        <v>966</v>
      </c>
      <c r="H530" s="7" t="s">
        <v>2678</v>
      </c>
      <c r="I530" s="7" t="s">
        <v>59</v>
      </c>
      <c r="J530" s="7" t="s">
        <v>648</v>
      </c>
    </row>
    <row r="531" spans="1:10">
      <c r="A531" s="7" t="s">
        <v>2679</v>
      </c>
      <c r="B531" s="7" t="s">
        <v>51</v>
      </c>
      <c r="C531" s="7" t="s">
        <v>607</v>
      </c>
      <c r="D531" s="7" t="s">
        <v>614</v>
      </c>
      <c r="E531" s="7" t="s">
        <v>1481</v>
      </c>
      <c r="F531" s="7" t="s">
        <v>2680</v>
      </c>
      <c r="G531" s="7" t="s">
        <v>888</v>
      </c>
      <c r="H531" s="7" t="s">
        <v>2681</v>
      </c>
      <c r="I531" s="7" t="s">
        <v>341</v>
      </c>
      <c r="J531" s="7" t="s">
        <v>754</v>
      </c>
    </row>
    <row r="532" spans="1:10">
      <c r="A532" s="7" t="s">
        <v>2682</v>
      </c>
      <c r="B532" s="7" t="s">
        <v>176</v>
      </c>
      <c r="C532" s="7" t="s">
        <v>642</v>
      </c>
      <c r="D532" s="7" t="s">
        <v>607</v>
      </c>
      <c r="E532" s="7" t="s">
        <v>666</v>
      </c>
      <c r="F532" s="7" t="s">
        <v>2683</v>
      </c>
      <c r="G532" s="7" t="s">
        <v>883</v>
      </c>
      <c r="H532" s="7" t="s">
        <v>2684</v>
      </c>
      <c r="I532" s="7" t="s">
        <v>1566</v>
      </c>
      <c r="J532" s="7" t="s">
        <v>648</v>
      </c>
    </row>
    <row r="533" spans="1:10">
      <c r="A533" s="7" t="s">
        <v>2685</v>
      </c>
      <c r="B533" s="7" t="s">
        <v>218</v>
      </c>
      <c r="C533" s="7" t="s">
        <v>756</v>
      </c>
      <c r="D533" s="7" t="s">
        <v>607</v>
      </c>
      <c r="E533" s="7" t="s">
        <v>955</v>
      </c>
      <c r="F533" s="7" t="s">
        <v>2686</v>
      </c>
      <c r="G533" s="7" t="s">
        <v>1699</v>
      </c>
      <c r="H533" s="7" t="s">
        <v>2687</v>
      </c>
      <c r="I533" s="7" t="s">
        <v>320</v>
      </c>
      <c r="J533" s="7" t="s">
        <v>613</v>
      </c>
    </row>
    <row r="534" spans="1:10">
      <c r="A534" s="7" t="s">
        <v>2688</v>
      </c>
      <c r="B534" s="7" t="s">
        <v>39</v>
      </c>
      <c r="C534" s="7" t="s">
        <v>628</v>
      </c>
      <c r="D534" s="7" t="s">
        <v>622</v>
      </c>
      <c r="E534" s="7" t="s">
        <v>856</v>
      </c>
      <c r="F534" s="7" t="s">
        <v>2689</v>
      </c>
      <c r="G534" s="7" t="s">
        <v>1736</v>
      </c>
      <c r="H534" s="7" t="s">
        <v>2690</v>
      </c>
      <c r="I534" s="7" t="s">
        <v>492</v>
      </c>
      <c r="J534" s="7" t="s">
        <v>633</v>
      </c>
    </row>
    <row r="535" spans="1:10">
      <c r="A535" s="7" t="s">
        <v>2691</v>
      </c>
      <c r="B535" s="7" t="s">
        <v>362</v>
      </c>
      <c r="C535" s="7" t="s">
        <v>784</v>
      </c>
      <c r="D535" s="7" t="s">
        <v>614</v>
      </c>
      <c r="E535" s="7" t="s">
        <v>2109</v>
      </c>
      <c r="F535" s="7" t="s">
        <v>2692</v>
      </c>
      <c r="G535" s="7" t="s">
        <v>2494</v>
      </c>
      <c r="H535" s="7" t="s">
        <v>2693</v>
      </c>
      <c r="I535" s="7" t="s">
        <v>1598</v>
      </c>
      <c r="J535" s="7" t="s">
        <v>754</v>
      </c>
    </row>
    <row r="536" spans="1:10">
      <c r="A536" s="7" t="s">
        <v>2694</v>
      </c>
      <c r="B536" s="7" t="s">
        <v>104</v>
      </c>
      <c r="C536" s="7" t="s">
        <v>755</v>
      </c>
      <c r="D536" s="7" t="s">
        <v>622</v>
      </c>
      <c r="E536" s="7" t="s">
        <v>1394</v>
      </c>
      <c r="F536" s="7" t="s">
        <v>2695</v>
      </c>
      <c r="G536" s="7" t="s">
        <v>2696</v>
      </c>
      <c r="H536" s="7" t="s">
        <v>2697</v>
      </c>
      <c r="I536" s="7" t="s">
        <v>835</v>
      </c>
      <c r="J536" s="7" t="s">
        <v>613</v>
      </c>
    </row>
    <row r="537" spans="1:10">
      <c r="A537" s="7" t="s">
        <v>2698</v>
      </c>
      <c r="B537" s="7" t="s">
        <v>289</v>
      </c>
      <c r="C537" s="7" t="s">
        <v>909</v>
      </c>
      <c r="D537" s="7" t="s">
        <v>622</v>
      </c>
      <c r="E537" s="7" t="s">
        <v>950</v>
      </c>
      <c r="F537" s="7" t="s">
        <v>2699</v>
      </c>
      <c r="G537" s="7" t="s">
        <v>703</v>
      </c>
      <c r="H537" s="7" t="s">
        <v>2700</v>
      </c>
      <c r="I537" s="7" t="s">
        <v>308</v>
      </c>
      <c r="J537" s="7" t="s">
        <v>648</v>
      </c>
    </row>
    <row r="538" spans="1:10">
      <c r="A538" s="7" t="s">
        <v>2701</v>
      </c>
      <c r="B538" s="7" t="s">
        <v>379</v>
      </c>
      <c r="C538" s="7" t="s">
        <v>748</v>
      </c>
      <c r="D538" s="7" t="s">
        <v>622</v>
      </c>
      <c r="E538" s="7" t="s">
        <v>1471</v>
      </c>
      <c r="F538" s="7" t="s">
        <v>2702</v>
      </c>
      <c r="G538" s="7" t="s">
        <v>1774</v>
      </c>
      <c r="H538" s="7" t="s">
        <v>2703</v>
      </c>
      <c r="I538" s="7" t="s">
        <v>1706</v>
      </c>
      <c r="J538" s="7" t="s">
        <v>754</v>
      </c>
    </row>
    <row r="539" spans="1:10">
      <c r="A539" s="7" t="s">
        <v>2704</v>
      </c>
      <c r="B539" s="7" t="s">
        <v>572</v>
      </c>
      <c r="C539" s="7" t="s">
        <v>747</v>
      </c>
      <c r="D539" s="7" t="s">
        <v>607</v>
      </c>
      <c r="E539" s="7" t="s">
        <v>2705</v>
      </c>
      <c r="F539" s="7" t="s">
        <v>2706</v>
      </c>
      <c r="G539" s="7" t="s">
        <v>2139</v>
      </c>
      <c r="H539" s="7" t="s">
        <v>2707</v>
      </c>
      <c r="I539" s="7" t="s">
        <v>2162</v>
      </c>
      <c r="J539" s="7" t="s">
        <v>633</v>
      </c>
    </row>
    <row r="540" spans="1:10">
      <c r="A540" s="7" t="s">
        <v>2708</v>
      </c>
      <c r="B540" s="7" t="s">
        <v>334</v>
      </c>
      <c r="C540" s="7" t="s">
        <v>691</v>
      </c>
      <c r="D540" s="7" t="s">
        <v>622</v>
      </c>
      <c r="E540" s="7" t="s">
        <v>2709</v>
      </c>
      <c r="F540" s="7" t="s">
        <v>2710</v>
      </c>
      <c r="G540" s="7" t="s">
        <v>1585</v>
      </c>
      <c r="H540" s="7" t="s">
        <v>2711</v>
      </c>
      <c r="I540" s="7" t="s">
        <v>2712</v>
      </c>
      <c r="J540" s="7" t="s">
        <v>613</v>
      </c>
    </row>
    <row r="541" spans="1:10">
      <c r="A541" s="7" t="s">
        <v>2713</v>
      </c>
      <c r="B541" s="7" t="s">
        <v>484</v>
      </c>
      <c r="C541" s="7" t="s">
        <v>738</v>
      </c>
      <c r="D541" s="7" t="s">
        <v>627</v>
      </c>
      <c r="E541" s="7" t="s">
        <v>1431</v>
      </c>
      <c r="F541" s="7" t="s">
        <v>2714</v>
      </c>
      <c r="G541" s="7" t="s">
        <v>1248</v>
      </c>
      <c r="H541" s="7" t="s">
        <v>2715</v>
      </c>
      <c r="I541" s="7" t="s">
        <v>2716</v>
      </c>
      <c r="J541" s="7" t="s">
        <v>754</v>
      </c>
    </row>
    <row r="542" spans="1:10">
      <c r="A542" s="7" t="s">
        <v>2717</v>
      </c>
      <c r="B542" s="7" t="s">
        <v>45</v>
      </c>
      <c r="C542" s="7" t="s">
        <v>747</v>
      </c>
      <c r="D542" s="7" t="s">
        <v>622</v>
      </c>
      <c r="E542" s="7" t="s">
        <v>618</v>
      </c>
      <c r="F542" s="7" t="s">
        <v>2718</v>
      </c>
      <c r="G542" s="7" t="s">
        <v>866</v>
      </c>
      <c r="H542" s="7" t="s">
        <v>2719</v>
      </c>
      <c r="I542" s="7" t="s">
        <v>190</v>
      </c>
      <c r="J542" s="7" t="s">
        <v>633</v>
      </c>
    </row>
    <row r="543" spans="1:10">
      <c r="A543" s="7" t="s">
        <v>2720</v>
      </c>
      <c r="B543" s="7" t="s">
        <v>306</v>
      </c>
      <c r="C543" s="7" t="s">
        <v>830</v>
      </c>
      <c r="D543" s="7" t="s">
        <v>607</v>
      </c>
      <c r="E543" s="7" t="s">
        <v>1718</v>
      </c>
      <c r="F543" s="7" t="s">
        <v>2721</v>
      </c>
      <c r="G543" s="7" t="s">
        <v>685</v>
      </c>
      <c r="H543" s="7" t="s">
        <v>2722</v>
      </c>
      <c r="I543" s="7" t="s">
        <v>358</v>
      </c>
      <c r="J543" s="7" t="s">
        <v>613</v>
      </c>
    </row>
    <row r="544" spans="1:10">
      <c r="A544" s="7" t="s">
        <v>2723</v>
      </c>
      <c r="B544" s="7" t="s">
        <v>140</v>
      </c>
      <c r="C544" s="7" t="s">
        <v>876</v>
      </c>
      <c r="D544" s="7" t="s">
        <v>627</v>
      </c>
      <c r="E544" s="7" t="s">
        <v>735</v>
      </c>
      <c r="F544" s="7" t="s">
        <v>2724</v>
      </c>
      <c r="G544" s="7" t="s">
        <v>1219</v>
      </c>
      <c r="H544" s="7" t="s">
        <v>2725</v>
      </c>
      <c r="I544" s="7" t="s">
        <v>2289</v>
      </c>
      <c r="J544" s="7" t="s">
        <v>754</v>
      </c>
    </row>
    <row r="545" spans="1:10">
      <c r="A545" s="7" t="s">
        <v>2726</v>
      </c>
      <c r="B545" s="7" t="s">
        <v>182</v>
      </c>
      <c r="C545" s="7" t="s">
        <v>774</v>
      </c>
      <c r="D545" s="7" t="s">
        <v>614</v>
      </c>
      <c r="E545" s="7" t="s">
        <v>1136</v>
      </c>
      <c r="F545" s="7" t="s">
        <v>2727</v>
      </c>
      <c r="G545" s="7" t="s">
        <v>974</v>
      </c>
      <c r="H545" s="7" t="s">
        <v>2728</v>
      </c>
      <c r="I545" s="7" t="s">
        <v>681</v>
      </c>
      <c r="J545" s="7" t="s">
        <v>682</v>
      </c>
    </row>
    <row r="546" spans="1:10">
      <c r="A546" s="7" t="s">
        <v>2729</v>
      </c>
      <c r="B546" s="7" t="s">
        <v>490</v>
      </c>
      <c r="C546" s="7" t="s">
        <v>663</v>
      </c>
      <c r="D546" s="7" t="s">
        <v>607</v>
      </c>
      <c r="E546" s="7" t="s">
        <v>643</v>
      </c>
      <c r="F546" s="7" t="s">
        <v>2730</v>
      </c>
      <c r="G546" s="7" t="s">
        <v>645</v>
      </c>
      <c r="H546" s="7" t="s">
        <v>2731</v>
      </c>
      <c r="I546" s="7" t="s">
        <v>480</v>
      </c>
      <c r="J546" s="7" t="s">
        <v>648</v>
      </c>
    </row>
    <row r="547" spans="1:10">
      <c r="A547" s="7" t="s">
        <v>2732</v>
      </c>
      <c r="B547" s="7" t="s">
        <v>379</v>
      </c>
      <c r="C547" s="7" t="s">
        <v>755</v>
      </c>
      <c r="D547" s="7" t="s">
        <v>622</v>
      </c>
      <c r="E547" s="7" t="s">
        <v>1975</v>
      </c>
      <c r="F547" s="7" t="s">
        <v>2733</v>
      </c>
      <c r="G547" s="7" t="s">
        <v>635</v>
      </c>
      <c r="H547" s="7" t="s">
        <v>2734</v>
      </c>
      <c r="I547" s="7" t="s">
        <v>2735</v>
      </c>
      <c r="J547" s="7" t="s">
        <v>613</v>
      </c>
    </row>
    <row r="548" spans="1:10">
      <c r="A548" s="7" t="s">
        <v>2736</v>
      </c>
      <c r="B548" s="7" t="s">
        <v>519</v>
      </c>
      <c r="C548" s="7" t="s">
        <v>756</v>
      </c>
      <c r="D548" s="7" t="s">
        <v>607</v>
      </c>
      <c r="E548" s="7" t="s">
        <v>2737</v>
      </c>
      <c r="F548" s="7" t="s">
        <v>2738</v>
      </c>
      <c r="G548" s="7" t="s">
        <v>2739</v>
      </c>
      <c r="H548" s="7" t="s">
        <v>2625</v>
      </c>
      <c r="I548" s="7" t="s">
        <v>904</v>
      </c>
      <c r="J548" s="7" t="s">
        <v>613</v>
      </c>
    </row>
    <row r="549" spans="1:10">
      <c r="A549" s="7" t="s">
        <v>2740</v>
      </c>
      <c r="B549" s="7" t="s">
        <v>75</v>
      </c>
      <c r="C549" s="7" t="s">
        <v>755</v>
      </c>
      <c r="D549" s="7" t="s">
        <v>614</v>
      </c>
      <c r="E549" s="7" t="s">
        <v>1122</v>
      </c>
      <c r="F549" s="7" t="s">
        <v>2741</v>
      </c>
      <c r="G549" s="7" t="s">
        <v>1012</v>
      </c>
      <c r="H549" s="7" t="s">
        <v>2742</v>
      </c>
      <c r="I549" s="7" t="s">
        <v>1130</v>
      </c>
      <c r="J549" s="7" t="s">
        <v>613</v>
      </c>
    </row>
    <row r="550" spans="1:10">
      <c r="A550" s="7" t="s">
        <v>2743</v>
      </c>
      <c r="B550" s="7" t="s">
        <v>128</v>
      </c>
      <c r="C550" s="7" t="s">
        <v>931</v>
      </c>
      <c r="D550" s="7" t="s">
        <v>605</v>
      </c>
      <c r="E550" s="7" t="s">
        <v>768</v>
      </c>
      <c r="F550" s="7" t="s">
        <v>2744</v>
      </c>
      <c r="G550" s="7" t="s">
        <v>937</v>
      </c>
      <c r="H550" s="7" t="s">
        <v>2745</v>
      </c>
      <c r="I550" s="7" t="s">
        <v>1833</v>
      </c>
      <c r="J550" s="7" t="s">
        <v>648</v>
      </c>
    </row>
    <row r="551" spans="1:10">
      <c r="A551" s="7" t="s">
        <v>2746</v>
      </c>
      <c r="B551" s="7" t="s">
        <v>140</v>
      </c>
      <c r="C551" s="7" t="s">
        <v>774</v>
      </c>
      <c r="D551" s="7" t="s">
        <v>607</v>
      </c>
      <c r="E551" s="7" t="s">
        <v>943</v>
      </c>
      <c r="F551" s="7" t="s">
        <v>2747</v>
      </c>
      <c r="G551" s="7" t="s">
        <v>610</v>
      </c>
      <c r="H551" s="7" t="s">
        <v>2748</v>
      </c>
      <c r="I551" s="7" t="s">
        <v>2749</v>
      </c>
      <c r="J551" s="7" t="s">
        <v>682</v>
      </c>
    </row>
    <row r="552" spans="1:10">
      <c r="A552" s="7" t="s">
        <v>2750</v>
      </c>
      <c r="B552" s="7" t="s">
        <v>519</v>
      </c>
      <c r="C552" s="7" t="s">
        <v>606</v>
      </c>
      <c r="D552" s="7" t="s">
        <v>605</v>
      </c>
      <c r="E552" s="7" t="s">
        <v>2751</v>
      </c>
      <c r="F552" s="7" t="s">
        <v>2752</v>
      </c>
      <c r="G552" s="7" t="s">
        <v>858</v>
      </c>
      <c r="H552" s="7" t="s">
        <v>2753</v>
      </c>
      <c r="I552" s="7" t="s">
        <v>2379</v>
      </c>
      <c r="J552" s="7" t="s">
        <v>613</v>
      </c>
    </row>
    <row r="553" spans="1:10">
      <c r="A553" s="7" t="s">
        <v>2754</v>
      </c>
      <c r="B553" s="7" t="s">
        <v>379</v>
      </c>
      <c r="C553" s="7" t="s">
        <v>784</v>
      </c>
      <c r="D553" s="7" t="s">
        <v>622</v>
      </c>
      <c r="E553" s="7" t="s">
        <v>772</v>
      </c>
      <c r="F553" s="7" t="s">
        <v>2755</v>
      </c>
      <c r="G553" s="7" t="s">
        <v>1259</v>
      </c>
      <c r="H553" s="7" t="s">
        <v>2756</v>
      </c>
      <c r="I553" s="7" t="s">
        <v>1867</v>
      </c>
      <c r="J553" s="7" t="s">
        <v>754</v>
      </c>
    </row>
    <row r="554" spans="1:10">
      <c r="A554" s="7" t="s">
        <v>2757</v>
      </c>
      <c r="B554" s="7" t="s">
        <v>496</v>
      </c>
      <c r="C554" s="7" t="s">
        <v>820</v>
      </c>
      <c r="D554" s="7" t="s">
        <v>614</v>
      </c>
      <c r="E554" s="7" t="s">
        <v>768</v>
      </c>
      <c r="F554" s="7" t="s">
        <v>2758</v>
      </c>
      <c r="G554" s="7" t="s">
        <v>645</v>
      </c>
      <c r="H554" s="7" t="s">
        <v>2759</v>
      </c>
      <c r="I554" s="7" t="s">
        <v>1697</v>
      </c>
      <c r="J554" s="7" t="s">
        <v>754</v>
      </c>
    </row>
    <row r="555" spans="1:10">
      <c r="A555" s="7" t="s">
        <v>2760</v>
      </c>
      <c r="B555" s="7" t="s">
        <v>271</v>
      </c>
      <c r="C555" s="7" t="s">
        <v>774</v>
      </c>
      <c r="D555" s="7" t="s">
        <v>627</v>
      </c>
      <c r="E555" s="7" t="s">
        <v>785</v>
      </c>
      <c r="F555" s="7" t="s">
        <v>2761</v>
      </c>
      <c r="G555" s="7" t="s">
        <v>679</v>
      </c>
      <c r="H555" s="7" t="s">
        <v>2762</v>
      </c>
      <c r="I555" s="7" t="s">
        <v>2763</v>
      </c>
      <c r="J555" s="7" t="s">
        <v>682</v>
      </c>
    </row>
    <row r="556" spans="1:10">
      <c r="A556" s="7" t="s">
        <v>2764</v>
      </c>
      <c r="B556" s="7" t="s">
        <v>589</v>
      </c>
      <c r="C556" s="7" t="s">
        <v>669</v>
      </c>
      <c r="D556" s="7" t="s">
        <v>627</v>
      </c>
      <c r="E556" s="7" t="s">
        <v>912</v>
      </c>
      <c r="F556" s="7" t="s">
        <v>2765</v>
      </c>
      <c r="G556" s="7" t="s">
        <v>1392</v>
      </c>
      <c r="H556" s="7" t="s">
        <v>2766</v>
      </c>
      <c r="I556" s="7" t="s">
        <v>480</v>
      </c>
      <c r="J556" s="7" t="s">
        <v>613</v>
      </c>
    </row>
    <row r="557" spans="1:10">
      <c r="A557" s="7" t="s">
        <v>2767</v>
      </c>
      <c r="B557" s="7" t="s">
        <v>431</v>
      </c>
      <c r="C557" s="7" t="s">
        <v>711</v>
      </c>
      <c r="D557" s="7" t="s">
        <v>605</v>
      </c>
      <c r="E557" s="7" t="s">
        <v>915</v>
      </c>
      <c r="F557" s="7" t="s">
        <v>2768</v>
      </c>
      <c r="G557" s="7" t="s">
        <v>2769</v>
      </c>
      <c r="H557" s="7" t="s">
        <v>2770</v>
      </c>
      <c r="I557" s="7" t="s">
        <v>580</v>
      </c>
      <c r="J557" s="7" t="s">
        <v>613</v>
      </c>
    </row>
    <row r="558" spans="1:10">
      <c r="A558" s="7" t="s">
        <v>2771</v>
      </c>
      <c r="B558" s="7" t="s">
        <v>236</v>
      </c>
      <c r="C558" s="7" t="s">
        <v>860</v>
      </c>
      <c r="D558" s="7" t="s">
        <v>622</v>
      </c>
      <c r="E558" s="7" t="s">
        <v>1136</v>
      </c>
      <c r="F558" s="7" t="s">
        <v>2772</v>
      </c>
      <c r="G558" s="7" t="s">
        <v>672</v>
      </c>
      <c r="H558" s="7" t="s">
        <v>2773</v>
      </c>
      <c r="I558" s="7" t="s">
        <v>148</v>
      </c>
      <c r="J558" s="7" t="s">
        <v>682</v>
      </c>
    </row>
    <row r="559" spans="1:10">
      <c r="A559" s="7" t="s">
        <v>2774</v>
      </c>
      <c r="B559" s="7" t="s">
        <v>537</v>
      </c>
      <c r="C559" s="7" t="s">
        <v>931</v>
      </c>
      <c r="D559" s="7" t="s">
        <v>622</v>
      </c>
      <c r="E559" s="7" t="s">
        <v>768</v>
      </c>
      <c r="F559" s="7" t="s">
        <v>2775</v>
      </c>
      <c r="G559" s="7" t="s">
        <v>950</v>
      </c>
      <c r="H559" s="7" t="s">
        <v>2776</v>
      </c>
      <c r="I559" s="7" t="s">
        <v>1805</v>
      </c>
      <c r="J559" s="7" t="s">
        <v>648</v>
      </c>
    </row>
    <row r="560" spans="1:10">
      <c r="A560" s="7" t="s">
        <v>2777</v>
      </c>
      <c r="B560" s="7" t="s">
        <v>496</v>
      </c>
      <c r="C560" s="7" t="s">
        <v>650</v>
      </c>
      <c r="D560" s="7" t="s">
        <v>605</v>
      </c>
      <c r="E560" s="7" t="s">
        <v>2343</v>
      </c>
      <c r="F560" s="7" t="s">
        <v>2778</v>
      </c>
      <c r="G560" s="7" t="s">
        <v>1620</v>
      </c>
      <c r="H560" s="7" t="s">
        <v>2779</v>
      </c>
      <c r="I560" s="7" t="s">
        <v>2780</v>
      </c>
      <c r="J560" s="7" t="s">
        <v>633</v>
      </c>
    </row>
    <row r="561" spans="1:10">
      <c r="A561" s="7" t="s">
        <v>2781</v>
      </c>
      <c r="B561" s="7" t="s">
        <v>116</v>
      </c>
      <c r="C561" s="7" t="s">
        <v>820</v>
      </c>
      <c r="D561" s="7" t="s">
        <v>614</v>
      </c>
      <c r="E561" s="7" t="s">
        <v>1016</v>
      </c>
      <c r="F561" s="7" t="s">
        <v>1839</v>
      </c>
      <c r="G561" s="7" t="s">
        <v>2782</v>
      </c>
      <c r="H561" s="7" t="s">
        <v>2783</v>
      </c>
      <c r="I561" s="7" t="s">
        <v>1043</v>
      </c>
      <c r="J561" s="7" t="s">
        <v>754</v>
      </c>
    </row>
    <row r="562" spans="1:10">
      <c r="A562" s="7" t="s">
        <v>2784</v>
      </c>
      <c r="B562" s="7" t="s">
        <v>584</v>
      </c>
      <c r="C562" s="7" t="s">
        <v>839</v>
      </c>
      <c r="D562" s="7" t="s">
        <v>607</v>
      </c>
      <c r="E562" s="7" t="s">
        <v>735</v>
      </c>
      <c r="F562" s="7" t="s">
        <v>2785</v>
      </c>
      <c r="G562" s="7" t="s">
        <v>1122</v>
      </c>
      <c r="H562" s="7" t="s">
        <v>2786</v>
      </c>
      <c r="I562" s="7" t="s">
        <v>2162</v>
      </c>
      <c r="J562" s="7" t="s">
        <v>640</v>
      </c>
    </row>
    <row r="563" spans="1:10">
      <c r="A563" s="7" t="s">
        <v>2787</v>
      </c>
      <c r="B563" s="7" t="s">
        <v>391</v>
      </c>
      <c r="C563" s="7" t="s">
        <v>747</v>
      </c>
      <c r="D563" s="7" t="s">
        <v>627</v>
      </c>
      <c r="E563" s="7" t="s">
        <v>2782</v>
      </c>
      <c r="F563" s="7" t="s">
        <v>2788</v>
      </c>
      <c r="G563" s="7" t="s">
        <v>1479</v>
      </c>
      <c r="H563" s="7" t="s">
        <v>2024</v>
      </c>
      <c r="I563" s="7" t="s">
        <v>1800</v>
      </c>
      <c r="J563" s="7" t="s">
        <v>633</v>
      </c>
    </row>
    <row r="564" spans="1:10">
      <c r="A564" s="7" t="s">
        <v>2789</v>
      </c>
      <c r="B564" s="7" t="s">
        <v>455</v>
      </c>
      <c r="C564" s="7" t="s">
        <v>634</v>
      </c>
      <c r="D564" s="7" t="s">
        <v>607</v>
      </c>
      <c r="E564" s="7" t="s">
        <v>635</v>
      </c>
      <c r="F564" s="7" t="s">
        <v>2790</v>
      </c>
      <c r="G564" s="7" t="s">
        <v>2671</v>
      </c>
      <c r="H564" s="7" t="s">
        <v>2791</v>
      </c>
      <c r="I564" s="7" t="s">
        <v>285</v>
      </c>
      <c r="J564" s="7" t="s">
        <v>640</v>
      </c>
    </row>
    <row r="565" spans="1:10">
      <c r="A565" s="7" t="s">
        <v>2792</v>
      </c>
      <c r="B565" s="7" t="s">
        <v>45</v>
      </c>
      <c r="C565" s="7" t="s">
        <v>824</v>
      </c>
      <c r="D565" s="7" t="s">
        <v>605</v>
      </c>
      <c r="E565" s="7" t="s">
        <v>2646</v>
      </c>
      <c r="F565" s="7" t="s">
        <v>2793</v>
      </c>
      <c r="G565" s="7" t="s">
        <v>793</v>
      </c>
      <c r="H565" s="7" t="s">
        <v>2794</v>
      </c>
      <c r="I565" s="7" t="s">
        <v>2795</v>
      </c>
      <c r="J565" s="7" t="s">
        <v>613</v>
      </c>
    </row>
    <row r="566" spans="1:10">
      <c r="A566" s="7" t="s">
        <v>2796</v>
      </c>
      <c r="B566" s="7" t="s">
        <v>69</v>
      </c>
      <c r="C566" s="7" t="s">
        <v>872</v>
      </c>
      <c r="D566" s="7" t="s">
        <v>622</v>
      </c>
      <c r="E566" s="7" t="s">
        <v>763</v>
      </c>
      <c r="F566" s="7" t="s">
        <v>2797</v>
      </c>
      <c r="G566" s="7" t="s">
        <v>809</v>
      </c>
      <c r="H566" s="7" t="s">
        <v>2798</v>
      </c>
      <c r="I566" s="7" t="s">
        <v>130</v>
      </c>
      <c r="J566" s="7" t="s">
        <v>682</v>
      </c>
    </row>
    <row r="567" spans="1:10">
      <c r="A567" s="7" t="s">
        <v>2799</v>
      </c>
      <c r="B567" s="7" t="s">
        <v>324</v>
      </c>
      <c r="C567" s="7" t="s">
        <v>748</v>
      </c>
      <c r="D567" s="7" t="s">
        <v>627</v>
      </c>
      <c r="E567" s="7" t="s">
        <v>1761</v>
      </c>
      <c r="F567" s="7" t="s">
        <v>2800</v>
      </c>
      <c r="G567" s="7" t="s">
        <v>2156</v>
      </c>
      <c r="H567" s="7" t="s">
        <v>2801</v>
      </c>
      <c r="I567" s="7" t="s">
        <v>1785</v>
      </c>
      <c r="J567" s="7" t="s">
        <v>754</v>
      </c>
    </row>
    <row r="568" spans="1:10">
      <c r="A568" s="7" t="s">
        <v>2802</v>
      </c>
      <c r="B568" s="7" t="s">
        <v>531</v>
      </c>
      <c r="C568" s="7" t="s">
        <v>807</v>
      </c>
      <c r="D568" s="7" t="s">
        <v>605</v>
      </c>
      <c r="E568" s="7" t="s">
        <v>763</v>
      </c>
      <c r="F568" s="7" t="s">
        <v>2803</v>
      </c>
      <c r="G568" s="7" t="s">
        <v>877</v>
      </c>
      <c r="H568" s="7" t="s">
        <v>2804</v>
      </c>
      <c r="I568" s="7" t="s">
        <v>2633</v>
      </c>
      <c r="J568" s="7" t="s">
        <v>682</v>
      </c>
    </row>
    <row r="569" spans="1:10">
      <c r="A569" s="7" t="s">
        <v>2805</v>
      </c>
      <c r="B569" s="7" t="s">
        <v>334</v>
      </c>
      <c r="C569" s="7" t="s">
        <v>668</v>
      </c>
      <c r="D569" s="7" t="s">
        <v>605</v>
      </c>
      <c r="E569" s="7" t="s">
        <v>2580</v>
      </c>
      <c r="F569" s="7" t="s">
        <v>2806</v>
      </c>
      <c r="G569" s="7" t="s">
        <v>1394</v>
      </c>
      <c r="H569" s="7" t="s">
        <v>2807</v>
      </c>
      <c r="I569" s="7" t="s">
        <v>462</v>
      </c>
      <c r="J569" s="7" t="s">
        <v>633</v>
      </c>
    </row>
    <row r="570" spans="1:10">
      <c r="A570" s="7" t="s">
        <v>2808</v>
      </c>
      <c r="B570" s="7" t="s">
        <v>164</v>
      </c>
      <c r="C570" s="7" t="s">
        <v>886</v>
      </c>
      <c r="D570" s="7" t="s">
        <v>614</v>
      </c>
      <c r="E570" s="7" t="s">
        <v>966</v>
      </c>
      <c r="F570" s="7" t="s">
        <v>2809</v>
      </c>
      <c r="G570" s="7" t="s">
        <v>1503</v>
      </c>
      <c r="H570" s="7" t="s">
        <v>2810</v>
      </c>
      <c r="I570" s="7" t="s">
        <v>510</v>
      </c>
      <c r="J570" s="7" t="s">
        <v>648</v>
      </c>
    </row>
    <row r="571" spans="1:10">
      <c r="A571" s="7" t="s">
        <v>2811</v>
      </c>
      <c r="B571" s="7" t="s">
        <v>334</v>
      </c>
      <c r="C571" s="7" t="s">
        <v>954</v>
      </c>
      <c r="D571" s="7" t="s">
        <v>622</v>
      </c>
      <c r="E571" s="7" t="s">
        <v>785</v>
      </c>
      <c r="F571" s="7" t="s">
        <v>2812</v>
      </c>
      <c r="G571" s="7" t="s">
        <v>1918</v>
      </c>
      <c r="H571" s="7" t="s">
        <v>2813</v>
      </c>
      <c r="I571" s="7" t="s">
        <v>2814</v>
      </c>
      <c r="J571" s="7" t="s">
        <v>682</v>
      </c>
    </row>
    <row r="572" spans="1:10">
      <c r="A572" s="7" t="s">
        <v>2815</v>
      </c>
      <c r="B572" s="7" t="s">
        <v>277</v>
      </c>
      <c r="C572" s="7" t="s">
        <v>641</v>
      </c>
      <c r="D572" s="7" t="s">
        <v>605</v>
      </c>
      <c r="E572" s="7" t="s">
        <v>785</v>
      </c>
      <c r="F572" s="7" t="s">
        <v>2816</v>
      </c>
      <c r="G572" s="7" t="s">
        <v>1918</v>
      </c>
      <c r="H572" s="7" t="s">
        <v>2817</v>
      </c>
      <c r="I572" s="7" t="s">
        <v>208</v>
      </c>
      <c r="J572" s="7" t="s">
        <v>682</v>
      </c>
    </row>
    <row r="573" spans="1:10">
      <c r="A573" s="7" t="s">
        <v>2818</v>
      </c>
      <c r="B573" s="7" t="s">
        <v>356</v>
      </c>
      <c r="C573" s="7" t="s">
        <v>755</v>
      </c>
      <c r="D573" s="7" t="s">
        <v>607</v>
      </c>
      <c r="E573" s="7" t="s">
        <v>2117</v>
      </c>
      <c r="F573" s="7" t="s">
        <v>2819</v>
      </c>
      <c r="G573" s="7" t="s">
        <v>833</v>
      </c>
      <c r="H573" s="7" t="s">
        <v>2820</v>
      </c>
      <c r="I573" s="7" t="s">
        <v>238</v>
      </c>
      <c r="J573" s="7" t="s">
        <v>613</v>
      </c>
    </row>
    <row r="574" spans="1:10">
      <c r="A574" s="7" t="s">
        <v>2821</v>
      </c>
      <c r="B574" s="7" t="s">
        <v>242</v>
      </c>
      <c r="C574" s="7" t="s">
        <v>622</v>
      </c>
      <c r="D574" s="7" t="s">
        <v>607</v>
      </c>
      <c r="E574" s="7" t="s">
        <v>895</v>
      </c>
      <c r="F574" s="7" t="s">
        <v>2822</v>
      </c>
      <c r="G574" s="7" t="s">
        <v>730</v>
      </c>
      <c r="H574" s="7" t="s">
        <v>2823</v>
      </c>
      <c r="I574" s="7" t="s">
        <v>1939</v>
      </c>
      <c r="J574" s="7" t="s">
        <v>640</v>
      </c>
    </row>
    <row r="575" spans="1:10">
      <c r="A575" s="7" t="s">
        <v>2824</v>
      </c>
      <c r="B575" s="7" t="s">
        <v>379</v>
      </c>
      <c r="C575" s="7" t="s">
        <v>774</v>
      </c>
      <c r="D575" s="7" t="s">
        <v>622</v>
      </c>
      <c r="E575" s="7" t="s">
        <v>677</v>
      </c>
      <c r="F575" s="7" t="s">
        <v>2825</v>
      </c>
      <c r="G575" s="7" t="s">
        <v>763</v>
      </c>
      <c r="H575" s="7" t="s">
        <v>2826</v>
      </c>
      <c r="I575" s="7" t="s">
        <v>890</v>
      </c>
      <c r="J575" s="7" t="s">
        <v>682</v>
      </c>
    </row>
    <row r="576" spans="1:10">
      <c r="A576" s="7" t="s">
        <v>2827</v>
      </c>
      <c r="B576" s="7" t="s">
        <v>449</v>
      </c>
      <c r="C576" s="7" t="s">
        <v>839</v>
      </c>
      <c r="D576" s="7" t="s">
        <v>614</v>
      </c>
      <c r="E576" s="7" t="s">
        <v>1383</v>
      </c>
      <c r="F576" s="7" t="s">
        <v>2828</v>
      </c>
      <c r="G576" s="7" t="s">
        <v>733</v>
      </c>
      <c r="H576" s="7" t="s">
        <v>2829</v>
      </c>
      <c r="I576" s="7" t="s">
        <v>308</v>
      </c>
      <c r="J576" s="7" t="s">
        <v>640</v>
      </c>
    </row>
    <row r="577" spans="1:10">
      <c r="A577" s="7" t="s">
        <v>2830</v>
      </c>
      <c r="B577" s="7" t="s">
        <v>437</v>
      </c>
      <c r="C577" s="7" t="s">
        <v>886</v>
      </c>
      <c r="D577" s="7" t="s">
        <v>627</v>
      </c>
      <c r="E577" s="7" t="s">
        <v>643</v>
      </c>
      <c r="F577" s="7" t="s">
        <v>2831</v>
      </c>
      <c r="G577" s="7" t="s">
        <v>645</v>
      </c>
      <c r="H577" s="7" t="s">
        <v>2832</v>
      </c>
      <c r="I577" s="7" t="s">
        <v>1047</v>
      </c>
      <c r="J577" s="7" t="s">
        <v>648</v>
      </c>
    </row>
    <row r="578" spans="1:10">
      <c r="A578" s="7" t="s">
        <v>2833</v>
      </c>
      <c r="B578" s="7" t="s">
        <v>51</v>
      </c>
      <c r="C578" s="7" t="s">
        <v>691</v>
      </c>
      <c r="D578" s="7" t="s">
        <v>627</v>
      </c>
      <c r="E578" s="7" t="s">
        <v>1105</v>
      </c>
      <c r="F578" s="7" t="s">
        <v>2834</v>
      </c>
      <c r="G578" s="7" t="s">
        <v>827</v>
      </c>
      <c r="H578" s="7" t="s">
        <v>2835</v>
      </c>
      <c r="I578" s="7" t="s">
        <v>2451</v>
      </c>
      <c r="J578" s="7" t="s">
        <v>613</v>
      </c>
    </row>
    <row r="579" spans="1:10">
      <c r="A579" s="7" t="s">
        <v>2836</v>
      </c>
      <c r="B579" s="7" t="s">
        <v>51</v>
      </c>
      <c r="C579" s="7" t="s">
        <v>715</v>
      </c>
      <c r="D579" s="7" t="s">
        <v>627</v>
      </c>
      <c r="E579" s="7" t="s">
        <v>2837</v>
      </c>
      <c r="F579" s="7" t="s">
        <v>2838</v>
      </c>
      <c r="G579" s="7" t="s">
        <v>1367</v>
      </c>
      <c r="H579" s="7" t="s">
        <v>2839</v>
      </c>
      <c r="I579" s="7" t="s">
        <v>562</v>
      </c>
      <c r="J579" s="7" t="s">
        <v>633</v>
      </c>
    </row>
    <row r="580" spans="1:10">
      <c r="A580" s="7" t="s">
        <v>2840</v>
      </c>
      <c r="B580" s="7" t="s">
        <v>543</v>
      </c>
      <c r="C580" s="7" t="s">
        <v>774</v>
      </c>
      <c r="D580" s="7" t="s">
        <v>614</v>
      </c>
      <c r="E580" s="7" t="s">
        <v>724</v>
      </c>
      <c r="F580" s="7" t="s">
        <v>2841</v>
      </c>
      <c r="G580" s="7" t="s">
        <v>809</v>
      </c>
      <c r="H580" s="7" t="s">
        <v>2842</v>
      </c>
      <c r="I580" s="7" t="s">
        <v>273</v>
      </c>
      <c r="J580" s="7" t="s">
        <v>682</v>
      </c>
    </row>
    <row r="581" spans="1:10">
      <c r="A581" s="7" t="s">
        <v>2843</v>
      </c>
      <c r="B581" s="7" t="s">
        <v>548</v>
      </c>
      <c r="C581" s="7" t="s">
        <v>747</v>
      </c>
      <c r="D581" s="7" t="s">
        <v>627</v>
      </c>
      <c r="E581" s="7" t="s">
        <v>1585</v>
      </c>
      <c r="F581" s="7" t="s">
        <v>2844</v>
      </c>
      <c r="G581" s="7" t="s">
        <v>1810</v>
      </c>
      <c r="H581" s="7" t="s">
        <v>2845</v>
      </c>
      <c r="I581" s="7" t="s">
        <v>208</v>
      </c>
      <c r="J581" s="7" t="s">
        <v>633</v>
      </c>
    </row>
    <row r="582" spans="1:10">
      <c r="A582" s="7" t="s">
        <v>2846</v>
      </c>
      <c r="B582" s="7" t="s">
        <v>484</v>
      </c>
      <c r="C582" s="7" t="s">
        <v>715</v>
      </c>
      <c r="D582" s="7" t="s">
        <v>614</v>
      </c>
      <c r="E582" s="7" t="s">
        <v>2656</v>
      </c>
      <c r="F582" s="7" t="s">
        <v>2847</v>
      </c>
      <c r="G582" s="7" t="s">
        <v>2696</v>
      </c>
      <c r="H582" s="7" t="s">
        <v>2848</v>
      </c>
      <c r="I582" s="7" t="s">
        <v>399</v>
      </c>
      <c r="J582" s="7" t="s">
        <v>633</v>
      </c>
    </row>
    <row r="583" spans="1:10">
      <c r="A583" s="7" t="s">
        <v>2849</v>
      </c>
      <c r="B583" s="7" t="s">
        <v>116</v>
      </c>
      <c r="C583" s="7" t="s">
        <v>622</v>
      </c>
      <c r="D583" s="7" t="s">
        <v>627</v>
      </c>
      <c r="E583" s="7" t="s">
        <v>996</v>
      </c>
      <c r="F583" s="7" t="s">
        <v>2850</v>
      </c>
      <c r="G583" s="7" t="s">
        <v>1186</v>
      </c>
      <c r="H583" s="7" t="s">
        <v>2851</v>
      </c>
      <c r="I583" s="7" t="s">
        <v>1079</v>
      </c>
      <c r="J583" s="7" t="s">
        <v>640</v>
      </c>
    </row>
    <row r="584" spans="1:10">
      <c r="A584" s="7" t="s">
        <v>2852</v>
      </c>
      <c r="B584" s="7" t="s">
        <v>152</v>
      </c>
      <c r="C584" s="7" t="s">
        <v>669</v>
      </c>
      <c r="D584" s="7" t="s">
        <v>627</v>
      </c>
      <c r="E584" s="7" t="s">
        <v>1456</v>
      </c>
      <c r="F584" s="7" t="s">
        <v>2853</v>
      </c>
      <c r="G584" s="7" t="s">
        <v>775</v>
      </c>
      <c r="H584" s="7" t="s">
        <v>2854</v>
      </c>
      <c r="I584" s="7" t="s">
        <v>1956</v>
      </c>
      <c r="J584" s="7" t="s">
        <v>613</v>
      </c>
    </row>
    <row r="585" spans="1:10">
      <c r="A585" s="7" t="s">
        <v>2855</v>
      </c>
      <c r="B585" s="7" t="s">
        <v>525</v>
      </c>
      <c r="C585" s="7" t="s">
        <v>797</v>
      </c>
      <c r="D585" s="7" t="s">
        <v>614</v>
      </c>
      <c r="E585" s="7" t="s">
        <v>1021</v>
      </c>
      <c r="F585" s="7" t="s">
        <v>2856</v>
      </c>
      <c r="G585" s="7" t="s">
        <v>888</v>
      </c>
      <c r="H585" s="7" t="s">
        <v>2857</v>
      </c>
      <c r="I585" s="7" t="s">
        <v>2310</v>
      </c>
      <c r="J585" s="7" t="s">
        <v>648</v>
      </c>
    </row>
    <row r="586" spans="1:10">
      <c r="A586" s="7" t="s">
        <v>2858</v>
      </c>
      <c r="B586" s="7" t="s">
        <v>80</v>
      </c>
      <c r="C586" s="7" t="s">
        <v>926</v>
      </c>
      <c r="D586" s="7" t="s">
        <v>607</v>
      </c>
      <c r="E586" s="7" t="s">
        <v>2859</v>
      </c>
      <c r="F586" s="7" t="s">
        <v>2860</v>
      </c>
      <c r="G586" s="7" t="s">
        <v>1063</v>
      </c>
      <c r="H586" s="7" t="s">
        <v>2861</v>
      </c>
      <c r="I586" s="7" t="s">
        <v>462</v>
      </c>
      <c r="J586" s="7" t="s">
        <v>754</v>
      </c>
    </row>
    <row r="587" spans="1:10">
      <c r="A587" s="7" t="s">
        <v>2862</v>
      </c>
      <c r="B587" s="7" t="s">
        <v>403</v>
      </c>
      <c r="C587" s="7" t="s">
        <v>931</v>
      </c>
      <c r="D587" s="7" t="s">
        <v>607</v>
      </c>
      <c r="E587" s="7" t="s">
        <v>888</v>
      </c>
      <c r="F587" s="7" t="s">
        <v>2863</v>
      </c>
      <c r="G587" s="7" t="s">
        <v>1503</v>
      </c>
      <c r="H587" s="7" t="s">
        <v>2864</v>
      </c>
      <c r="I587" s="7" t="s">
        <v>22</v>
      </c>
      <c r="J587" s="7" t="s">
        <v>648</v>
      </c>
    </row>
    <row r="588" spans="1:10">
      <c r="A588" s="7" t="s">
        <v>2865</v>
      </c>
      <c r="B588" s="7" t="s">
        <v>110</v>
      </c>
      <c r="C588" s="7" t="s">
        <v>657</v>
      </c>
      <c r="D588" s="7" t="s">
        <v>605</v>
      </c>
      <c r="E588" s="7" t="s">
        <v>821</v>
      </c>
      <c r="F588" s="7" t="s">
        <v>2866</v>
      </c>
      <c r="G588" s="7" t="s">
        <v>1081</v>
      </c>
      <c r="H588" s="7" t="s">
        <v>2867</v>
      </c>
      <c r="I588" s="7" t="s">
        <v>9</v>
      </c>
      <c r="J588" s="7" t="s">
        <v>621</v>
      </c>
    </row>
    <row r="589" spans="1:10">
      <c r="A589" s="7" t="s">
        <v>2868</v>
      </c>
      <c r="B589" s="7" t="s">
        <v>334</v>
      </c>
      <c r="C589" s="7" t="s">
        <v>839</v>
      </c>
      <c r="D589" s="7" t="s">
        <v>607</v>
      </c>
      <c r="E589" s="7" t="s">
        <v>996</v>
      </c>
      <c r="F589" s="7" t="s">
        <v>2869</v>
      </c>
      <c r="G589" s="7" t="s">
        <v>1186</v>
      </c>
      <c r="H589" s="7" t="s">
        <v>2870</v>
      </c>
      <c r="I589" s="7" t="s">
        <v>1142</v>
      </c>
      <c r="J589" s="7" t="s">
        <v>640</v>
      </c>
    </row>
    <row r="590" spans="1:10">
      <c r="A590" s="7" t="s">
        <v>2871</v>
      </c>
      <c r="B590" s="7" t="s">
        <v>548</v>
      </c>
      <c r="C590" s="7" t="s">
        <v>824</v>
      </c>
      <c r="D590" s="7" t="s">
        <v>622</v>
      </c>
      <c r="E590" s="7" t="s">
        <v>2872</v>
      </c>
      <c r="F590" s="7" t="s">
        <v>2873</v>
      </c>
      <c r="G590" s="7" t="s">
        <v>2343</v>
      </c>
      <c r="H590" s="7" t="s">
        <v>2874</v>
      </c>
      <c r="I590" s="7" t="s">
        <v>1371</v>
      </c>
      <c r="J590" s="7" t="s">
        <v>613</v>
      </c>
    </row>
    <row r="591" spans="1:10">
      <c r="A591" s="7" t="s">
        <v>2875</v>
      </c>
      <c r="B591" s="7" t="s">
        <v>39</v>
      </c>
      <c r="C591" s="7" t="s">
        <v>716</v>
      </c>
      <c r="D591" s="7" t="s">
        <v>614</v>
      </c>
      <c r="E591" s="7" t="s">
        <v>2739</v>
      </c>
      <c r="F591" s="7" t="s">
        <v>2876</v>
      </c>
      <c r="G591" s="7" t="s">
        <v>1284</v>
      </c>
      <c r="H591" s="7" t="s">
        <v>2877</v>
      </c>
      <c r="I591" s="7" t="s">
        <v>753</v>
      </c>
      <c r="J591" s="7" t="s">
        <v>613</v>
      </c>
    </row>
    <row r="592" spans="1:10">
      <c r="A592" s="7" t="s">
        <v>2878</v>
      </c>
      <c r="B592" s="7" t="s">
        <v>14</v>
      </c>
      <c r="C592" s="7" t="s">
        <v>784</v>
      </c>
      <c r="D592" s="7" t="s">
        <v>622</v>
      </c>
      <c r="E592" s="7" t="s">
        <v>945</v>
      </c>
      <c r="F592" s="7" t="s">
        <v>2879</v>
      </c>
      <c r="G592" s="7" t="s">
        <v>623</v>
      </c>
      <c r="H592" s="7" t="s">
        <v>2880</v>
      </c>
      <c r="I592" s="7" t="s">
        <v>196</v>
      </c>
      <c r="J592" s="7" t="s">
        <v>754</v>
      </c>
    </row>
    <row r="593" spans="1:10">
      <c r="A593" s="7" t="s">
        <v>2881</v>
      </c>
      <c r="B593" s="7" t="s">
        <v>45</v>
      </c>
      <c r="C593" s="7" t="s">
        <v>860</v>
      </c>
      <c r="D593" s="7" t="s">
        <v>607</v>
      </c>
      <c r="E593" s="7" t="s">
        <v>724</v>
      </c>
      <c r="F593" s="7" t="s">
        <v>2882</v>
      </c>
      <c r="G593" s="7" t="s">
        <v>974</v>
      </c>
      <c r="H593" s="7" t="s">
        <v>2883</v>
      </c>
      <c r="I593" s="7" t="s">
        <v>2884</v>
      </c>
      <c r="J593" s="7" t="s">
        <v>682</v>
      </c>
    </row>
    <row r="594" spans="1:10">
      <c r="A594" s="7" t="s">
        <v>2885</v>
      </c>
      <c r="B594" s="7" t="s">
        <v>98</v>
      </c>
      <c r="C594" s="7" t="s">
        <v>634</v>
      </c>
      <c r="D594" s="7" t="s">
        <v>622</v>
      </c>
      <c r="E594" s="7" t="s">
        <v>1186</v>
      </c>
      <c r="F594" s="7" t="s">
        <v>2886</v>
      </c>
      <c r="G594" s="7" t="s">
        <v>735</v>
      </c>
      <c r="H594" s="7" t="s">
        <v>2887</v>
      </c>
      <c r="I594" s="7" t="s">
        <v>468</v>
      </c>
      <c r="J594" s="7" t="s">
        <v>640</v>
      </c>
    </row>
    <row r="595" spans="1:10">
      <c r="A595" s="7" t="s">
        <v>2888</v>
      </c>
      <c r="B595" s="7" t="s">
        <v>356</v>
      </c>
      <c r="C595" s="7" t="s">
        <v>691</v>
      </c>
      <c r="D595" s="7" t="s">
        <v>614</v>
      </c>
      <c r="E595" s="7" t="s">
        <v>2528</v>
      </c>
      <c r="F595" s="7" t="s">
        <v>2889</v>
      </c>
      <c r="G595" s="7" t="s">
        <v>1000</v>
      </c>
      <c r="H595" s="7" t="s">
        <v>2890</v>
      </c>
      <c r="I595" s="7" t="s">
        <v>1004</v>
      </c>
      <c r="J595" s="7" t="s">
        <v>613</v>
      </c>
    </row>
    <row r="596" spans="1:10">
      <c r="A596" s="7" t="s">
        <v>2891</v>
      </c>
      <c r="B596" s="7" t="s">
        <v>134</v>
      </c>
      <c r="C596" s="7" t="s">
        <v>876</v>
      </c>
      <c r="D596" s="7" t="s">
        <v>627</v>
      </c>
      <c r="E596" s="7" t="s">
        <v>658</v>
      </c>
      <c r="F596" s="7" t="s">
        <v>2892</v>
      </c>
      <c r="G596" s="7" t="s">
        <v>698</v>
      </c>
      <c r="H596" s="7" t="s">
        <v>2893</v>
      </c>
      <c r="I596" s="7" t="s">
        <v>314</v>
      </c>
      <c r="J596" s="7" t="s">
        <v>754</v>
      </c>
    </row>
    <row r="597" spans="1:10">
      <c r="A597" s="7" t="s">
        <v>2894</v>
      </c>
      <c r="B597" s="7" t="s">
        <v>277</v>
      </c>
      <c r="C597" s="7" t="s">
        <v>872</v>
      </c>
      <c r="D597" s="7" t="s">
        <v>605</v>
      </c>
      <c r="E597" s="7" t="s">
        <v>610</v>
      </c>
      <c r="F597" s="7" t="s">
        <v>2895</v>
      </c>
      <c r="G597" s="7" t="s">
        <v>809</v>
      </c>
      <c r="H597" s="7" t="s">
        <v>2896</v>
      </c>
      <c r="I597" s="7" t="s">
        <v>421</v>
      </c>
      <c r="J597" s="7" t="s">
        <v>682</v>
      </c>
    </row>
    <row r="598" spans="1:10">
      <c r="A598" s="7" t="s">
        <v>2897</v>
      </c>
      <c r="B598" s="7" t="s">
        <v>437</v>
      </c>
      <c r="C598" s="7" t="s">
        <v>676</v>
      </c>
      <c r="D598" s="7" t="s">
        <v>605</v>
      </c>
      <c r="E598" s="7" t="s">
        <v>1136</v>
      </c>
      <c r="F598" s="7" t="s">
        <v>2898</v>
      </c>
      <c r="G598" s="7" t="s">
        <v>763</v>
      </c>
      <c r="H598" s="7" t="s">
        <v>2899</v>
      </c>
      <c r="I598" s="7" t="s">
        <v>2566</v>
      </c>
      <c r="J598" s="7" t="s">
        <v>682</v>
      </c>
    </row>
    <row r="599" spans="1:10">
      <c r="A599" s="7" t="s">
        <v>2900</v>
      </c>
      <c r="B599" s="7" t="s">
        <v>324</v>
      </c>
      <c r="C599" s="7" t="s">
        <v>811</v>
      </c>
      <c r="D599" s="7" t="s">
        <v>622</v>
      </c>
      <c r="E599" s="7" t="s">
        <v>817</v>
      </c>
      <c r="F599" s="7" t="s">
        <v>2901</v>
      </c>
      <c r="G599" s="7" t="s">
        <v>869</v>
      </c>
      <c r="H599" s="7" t="s">
        <v>2902</v>
      </c>
      <c r="I599" s="7" t="s">
        <v>480</v>
      </c>
      <c r="J599" s="7" t="s">
        <v>621</v>
      </c>
    </row>
    <row r="600" spans="1:10">
      <c r="A600" s="7" t="s">
        <v>2903</v>
      </c>
      <c r="B600" s="7" t="s">
        <v>27</v>
      </c>
      <c r="C600" s="7" t="s">
        <v>797</v>
      </c>
      <c r="D600" s="7" t="s">
        <v>605</v>
      </c>
      <c r="E600" s="7" t="s">
        <v>1476</v>
      </c>
      <c r="F600" s="7" t="s">
        <v>2904</v>
      </c>
      <c r="G600" s="7" t="s">
        <v>1426</v>
      </c>
      <c r="H600" s="7" t="s">
        <v>2905</v>
      </c>
      <c r="I600" s="7" t="s">
        <v>1598</v>
      </c>
      <c r="J600" s="7" t="s">
        <v>648</v>
      </c>
    </row>
    <row r="601" spans="1:10">
      <c r="A601" s="7" t="s">
        <v>2906</v>
      </c>
      <c r="B601" s="7" t="s">
        <v>560</v>
      </c>
      <c r="C601" s="7" t="s">
        <v>860</v>
      </c>
      <c r="D601" s="7" t="s">
        <v>627</v>
      </c>
      <c r="E601" s="7" t="s">
        <v>724</v>
      </c>
      <c r="F601" s="7" t="s">
        <v>2907</v>
      </c>
      <c r="G601" s="7" t="s">
        <v>1918</v>
      </c>
      <c r="H601" s="7" t="s">
        <v>2908</v>
      </c>
      <c r="I601" s="7" t="s">
        <v>2909</v>
      </c>
      <c r="J601" s="7" t="s">
        <v>682</v>
      </c>
    </row>
    <row r="602" spans="1:10">
      <c r="A602" s="7" t="s">
        <v>2910</v>
      </c>
      <c r="B602" s="7" t="s">
        <v>182</v>
      </c>
      <c r="C602" s="7" t="s">
        <v>605</v>
      </c>
      <c r="D602" s="7" t="s">
        <v>627</v>
      </c>
      <c r="E602" s="7" t="s">
        <v>809</v>
      </c>
      <c r="F602" s="7" t="s">
        <v>2911</v>
      </c>
      <c r="G602" s="7" t="s">
        <v>1255</v>
      </c>
      <c r="H602" s="7" t="s">
        <v>2912</v>
      </c>
      <c r="I602" s="7" t="s">
        <v>492</v>
      </c>
      <c r="J602" s="7" t="s">
        <v>754</v>
      </c>
    </row>
    <row r="603" spans="1:10">
      <c r="A603" s="7" t="s">
        <v>2913</v>
      </c>
      <c r="B603" s="7" t="s">
        <v>254</v>
      </c>
      <c r="C603" s="7" t="s">
        <v>657</v>
      </c>
      <c r="D603" s="7" t="s">
        <v>607</v>
      </c>
      <c r="E603" s="7" t="s">
        <v>821</v>
      </c>
      <c r="F603" s="7" t="s">
        <v>2914</v>
      </c>
      <c r="G603" s="7" t="s">
        <v>817</v>
      </c>
      <c r="H603" s="7" t="s">
        <v>2915</v>
      </c>
      <c r="I603" s="7" t="s">
        <v>2456</v>
      </c>
      <c r="J603" s="7" t="s">
        <v>621</v>
      </c>
    </row>
    <row r="604" spans="1:10">
      <c r="A604" s="7" t="s">
        <v>2916</v>
      </c>
      <c r="B604" s="7" t="s">
        <v>466</v>
      </c>
      <c r="C604" s="7" t="s">
        <v>656</v>
      </c>
      <c r="D604" s="7" t="s">
        <v>622</v>
      </c>
      <c r="E604" s="7" t="s">
        <v>1070</v>
      </c>
      <c r="F604" s="7" t="s">
        <v>2917</v>
      </c>
      <c r="G604" s="7" t="s">
        <v>2145</v>
      </c>
      <c r="H604" s="7" t="s">
        <v>2918</v>
      </c>
      <c r="I604" s="7" t="s">
        <v>1396</v>
      </c>
      <c r="J604" s="7" t="s">
        <v>613</v>
      </c>
    </row>
    <row r="605" spans="1:10">
      <c r="A605" s="7" t="s">
        <v>2919</v>
      </c>
      <c r="B605" s="7" t="s">
        <v>408</v>
      </c>
      <c r="C605" s="7" t="s">
        <v>820</v>
      </c>
      <c r="D605" s="7" t="s">
        <v>622</v>
      </c>
      <c r="E605" s="7" t="s">
        <v>2477</v>
      </c>
      <c r="F605" s="7" t="s">
        <v>2920</v>
      </c>
      <c r="G605" s="7" t="s">
        <v>1156</v>
      </c>
      <c r="H605" s="7" t="s">
        <v>2921</v>
      </c>
      <c r="I605" s="7" t="s">
        <v>2922</v>
      </c>
      <c r="J605" s="7" t="s">
        <v>754</v>
      </c>
    </row>
    <row r="606" spans="1:10">
      <c r="A606" s="7" t="s">
        <v>2923</v>
      </c>
      <c r="B606" s="7" t="s">
        <v>403</v>
      </c>
      <c r="C606" s="7" t="s">
        <v>650</v>
      </c>
      <c r="D606" s="7" t="s">
        <v>614</v>
      </c>
      <c r="E606" s="7" t="s">
        <v>2769</v>
      </c>
      <c r="F606" s="7" t="s">
        <v>2924</v>
      </c>
      <c r="G606" s="7" t="s">
        <v>1181</v>
      </c>
      <c r="H606" s="7" t="s">
        <v>2925</v>
      </c>
      <c r="I606" s="7" t="s">
        <v>2926</v>
      </c>
      <c r="J606" s="7" t="s">
        <v>633</v>
      </c>
    </row>
    <row r="607" spans="1:10">
      <c r="A607" s="7" t="s">
        <v>2927</v>
      </c>
      <c r="B607" s="7" t="s">
        <v>283</v>
      </c>
      <c r="C607" s="7" t="s">
        <v>622</v>
      </c>
      <c r="D607" s="7" t="s">
        <v>607</v>
      </c>
      <c r="E607" s="7" t="s">
        <v>895</v>
      </c>
      <c r="F607" s="7" t="s">
        <v>2928</v>
      </c>
      <c r="G607" s="7" t="s">
        <v>1219</v>
      </c>
      <c r="H607" s="7" t="s">
        <v>2929</v>
      </c>
      <c r="I607" s="7" t="s">
        <v>842</v>
      </c>
      <c r="J607" s="7" t="s">
        <v>640</v>
      </c>
    </row>
    <row r="608" spans="1:10">
      <c r="A608" s="7" t="s">
        <v>2930</v>
      </c>
      <c r="B608" s="7" t="s">
        <v>170</v>
      </c>
      <c r="C608" s="7" t="s">
        <v>872</v>
      </c>
      <c r="D608" s="7" t="s">
        <v>622</v>
      </c>
      <c r="E608" s="7" t="s">
        <v>679</v>
      </c>
      <c r="F608" s="7" t="s">
        <v>2931</v>
      </c>
      <c r="G608" s="7" t="s">
        <v>610</v>
      </c>
      <c r="H608" s="7" t="s">
        <v>2932</v>
      </c>
      <c r="I608" s="7" t="s">
        <v>142</v>
      </c>
      <c r="J608" s="7" t="s">
        <v>682</v>
      </c>
    </row>
    <row r="609" spans="1:10">
      <c r="A609" s="7" t="s">
        <v>2933</v>
      </c>
      <c r="B609" s="7" t="s">
        <v>182</v>
      </c>
      <c r="C609" s="7" t="s">
        <v>894</v>
      </c>
      <c r="D609" s="7" t="s">
        <v>607</v>
      </c>
      <c r="E609" s="7" t="s">
        <v>966</v>
      </c>
      <c r="F609" s="7" t="s">
        <v>2934</v>
      </c>
      <c r="G609" s="7" t="s">
        <v>937</v>
      </c>
      <c r="H609" s="7" t="s">
        <v>2935</v>
      </c>
      <c r="I609" s="7" t="s">
        <v>1473</v>
      </c>
      <c r="J609" s="7" t="s">
        <v>648</v>
      </c>
    </row>
    <row r="610" spans="1:10">
      <c r="A610" s="7" t="s">
        <v>2936</v>
      </c>
      <c r="B610" s="7" t="s">
        <v>146</v>
      </c>
      <c r="C610" s="7" t="s">
        <v>755</v>
      </c>
      <c r="D610" s="7" t="s">
        <v>607</v>
      </c>
      <c r="E610" s="7" t="s">
        <v>1275</v>
      </c>
      <c r="F610" s="7" t="s">
        <v>2937</v>
      </c>
      <c r="G610" s="7" t="s">
        <v>1105</v>
      </c>
      <c r="H610" s="7" t="s">
        <v>2938</v>
      </c>
      <c r="I610" s="7" t="s">
        <v>2451</v>
      </c>
      <c r="J610" s="7" t="s">
        <v>613</v>
      </c>
    </row>
    <row r="611" spans="1:10">
      <c r="A611" s="7" t="s">
        <v>2939</v>
      </c>
      <c r="B611" s="7" t="s">
        <v>403</v>
      </c>
      <c r="C611" s="7" t="s">
        <v>607</v>
      </c>
      <c r="D611" s="7" t="s">
        <v>622</v>
      </c>
      <c r="E611" s="7" t="s">
        <v>1510</v>
      </c>
      <c r="F611" s="7" t="s">
        <v>2940</v>
      </c>
      <c r="G611" s="7" t="s">
        <v>2346</v>
      </c>
      <c r="H611" s="7" t="s">
        <v>2941</v>
      </c>
      <c r="I611" s="7" t="s">
        <v>647</v>
      </c>
      <c r="J611" s="7" t="s">
        <v>754</v>
      </c>
    </row>
    <row r="612" spans="1:10">
      <c r="A612" s="7" t="s">
        <v>2942</v>
      </c>
      <c r="B612" s="7" t="s">
        <v>334</v>
      </c>
      <c r="C612" s="7" t="s">
        <v>642</v>
      </c>
      <c r="D612" s="7" t="s">
        <v>614</v>
      </c>
      <c r="E612" s="7" t="s">
        <v>768</v>
      </c>
      <c r="F612" s="7" t="s">
        <v>2943</v>
      </c>
      <c r="G612" s="7" t="s">
        <v>966</v>
      </c>
      <c r="H612" s="7" t="s">
        <v>2944</v>
      </c>
      <c r="I612" s="7" t="s">
        <v>1079</v>
      </c>
      <c r="J612" s="7" t="s">
        <v>648</v>
      </c>
    </row>
    <row r="613" spans="1:10">
      <c r="A613" s="7" t="s">
        <v>2945</v>
      </c>
      <c r="B613" s="7" t="s">
        <v>443</v>
      </c>
      <c r="C613" s="7" t="s">
        <v>762</v>
      </c>
      <c r="D613" s="7" t="s">
        <v>605</v>
      </c>
      <c r="E613" s="7" t="s">
        <v>677</v>
      </c>
      <c r="F613" s="7" t="s">
        <v>2946</v>
      </c>
      <c r="G613" s="7" t="s">
        <v>672</v>
      </c>
      <c r="H613" s="7" t="s">
        <v>2947</v>
      </c>
      <c r="I613" s="7" t="s">
        <v>981</v>
      </c>
      <c r="J613" s="7" t="s">
        <v>682</v>
      </c>
    </row>
    <row r="614" spans="1:10">
      <c r="A614" s="7" t="s">
        <v>2948</v>
      </c>
      <c r="B614" s="7" t="s">
        <v>373</v>
      </c>
      <c r="C614" s="7" t="s">
        <v>627</v>
      </c>
      <c r="D614" s="7" t="s">
        <v>607</v>
      </c>
      <c r="E614" s="7" t="s">
        <v>921</v>
      </c>
      <c r="F614" s="7" t="s">
        <v>2949</v>
      </c>
      <c r="G614" s="7" t="s">
        <v>660</v>
      </c>
      <c r="H614" s="7" t="s">
        <v>2950</v>
      </c>
      <c r="I614" s="7" t="s">
        <v>1019</v>
      </c>
      <c r="J614" s="7" t="s">
        <v>621</v>
      </c>
    </row>
    <row r="615" spans="1:10">
      <c r="A615" s="7" t="s">
        <v>2951</v>
      </c>
      <c r="B615" s="7" t="s">
        <v>525</v>
      </c>
      <c r="C615" s="7" t="s">
        <v>762</v>
      </c>
      <c r="D615" s="7" t="s">
        <v>605</v>
      </c>
      <c r="E615" s="7" t="s">
        <v>679</v>
      </c>
      <c r="F615" s="7" t="s">
        <v>2952</v>
      </c>
      <c r="G615" s="7" t="s">
        <v>724</v>
      </c>
      <c r="H615" s="7" t="s">
        <v>2953</v>
      </c>
      <c r="I615" s="7" t="s">
        <v>232</v>
      </c>
      <c r="J615" s="7" t="s">
        <v>682</v>
      </c>
    </row>
    <row r="616" spans="1:10">
      <c r="A616" s="7" t="s">
        <v>2954</v>
      </c>
      <c r="B616" s="7" t="s">
        <v>122</v>
      </c>
      <c r="C616" s="7" t="s">
        <v>642</v>
      </c>
      <c r="D616" s="7" t="s">
        <v>622</v>
      </c>
      <c r="E616" s="7" t="s">
        <v>950</v>
      </c>
      <c r="F616" s="7" t="s">
        <v>2955</v>
      </c>
      <c r="G616" s="7" t="s">
        <v>937</v>
      </c>
      <c r="H616" s="7" t="s">
        <v>2956</v>
      </c>
      <c r="I616" s="7" t="s">
        <v>1271</v>
      </c>
      <c r="J616" s="7" t="s">
        <v>648</v>
      </c>
    </row>
    <row r="617" spans="1:10">
      <c r="A617" s="7" t="s">
        <v>2957</v>
      </c>
      <c r="B617" s="7" t="s">
        <v>39</v>
      </c>
      <c r="C617" s="7" t="s">
        <v>843</v>
      </c>
      <c r="D617" s="7" t="s">
        <v>607</v>
      </c>
      <c r="E617" s="7" t="s">
        <v>658</v>
      </c>
      <c r="F617" s="7" t="s">
        <v>2958</v>
      </c>
      <c r="G617" s="7" t="s">
        <v>864</v>
      </c>
      <c r="H617" s="7" t="s">
        <v>2959</v>
      </c>
      <c r="I617" s="7" t="s">
        <v>591</v>
      </c>
      <c r="J617" s="7" t="s">
        <v>621</v>
      </c>
    </row>
    <row r="618" spans="1:10">
      <c r="A618" s="7" t="s">
        <v>2960</v>
      </c>
      <c r="B618" s="7" t="s">
        <v>490</v>
      </c>
      <c r="C618" s="7" t="s">
        <v>738</v>
      </c>
      <c r="D618" s="7" t="s">
        <v>605</v>
      </c>
      <c r="E618" s="7" t="s">
        <v>2671</v>
      </c>
      <c r="F618" s="7" t="s">
        <v>2961</v>
      </c>
      <c r="G618" s="7" t="s">
        <v>785</v>
      </c>
      <c r="H618" s="7" t="s">
        <v>2962</v>
      </c>
      <c r="I618" s="7" t="s">
        <v>2366</v>
      </c>
      <c r="J618" s="7" t="s">
        <v>754</v>
      </c>
    </row>
    <row r="619" spans="1:10">
      <c r="A619" s="7" t="s">
        <v>2963</v>
      </c>
      <c r="B619" s="7" t="s">
        <v>431</v>
      </c>
      <c r="C619" s="7" t="s">
        <v>696</v>
      </c>
      <c r="D619" s="7" t="s">
        <v>627</v>
      </c>
      <c r="E619" s="7" t="s">
        <v>827</v>
      </c>
      <c r="F619" s="7" t="s">
        <v>2964</v>
      </c>
      <c r="G619" s="7" t="s">
        <v>698</v>
      </c>
      <c r="H619" s="7" t="s">
        <v>2965</v>
      </c>
      <c r="I619" s="7" t="s">
        <v>1371</v>
      </c>
      <c r="J619" s="7" t="s">
        <v>621</v>
      </c>
    </row>
    <row r="620" spans="1:10">
      <c r="A620" s="7" t="s">
        <v>2966</v>
      </c>
      <c r="B620" s="7" t="s">
        <v>537</v>
      </c>
      <c r="C620" s="7" t="s">
        <v>802</v>
      </c>
      <c r="D620" s="7" t="s">
        <v>605</v>
      </c>
      <c r="E620" s="7" t="s">
        <v>763</v>
      </c>
      <c r="F620" s="7" t="s">
        <v>2967</v>
      </c>
      <c r="G620" s="7" t="s">
        <v>1414</v>
      </c>
      <c r="H620" s="7" t="s">
        <v>2968</v>
      </c>
      <c r="I620" s="7" t="s">
        <v>1400</v>
      </c>
      <c r="J620" s="7" t="s">
        <v>682</v>
      </c>
    </row>
    <row r="621" spans="1:10">
      <c r="A621" s="7" t="s">
        <v>2969</v>
      </c>
      <c r="B621" s="7" t="s">
        <v>437</v>
      </c>
      <c r="C621" s="7" t="s">
        <v>606</v>
      </c>
      <c r="D621" s="7" t="s">
        <v>622</v>
      </c>
      <c r="E621" s="7" t="s">
        <v>2696</v>
      </c>
      <c r="F621" s="7" t="s">
        <v>2970</v>
      </c>
      <c r="G621" s="7" t="s">
        <v>2971</v>
      </c>
      <c r="H621" s="7" t="s">
        <v>2972</v>
      </c>
      <c r="I621" s="7" t="s">
        <v>2247</v>
      </c>
      <c r="J621" s="7" t="s">
        <v>613</v>
      </c>
    </row>
    <row r="622" spans="1:10">
      <c r="A622" s="7" t="s">
        <v>2973</v>
      </c>
      <c r="B622" s="7" t="s">
        <v>414</v>
      </c>
      <c r="C622" s="7" t="s">
        <v>931</v>
      </c>
      <c r="D622" s="7" t="s">
        <v>622</v>
      </c>
      <c r="E622" s="7" t="s">
        <v>643</v>
      </c>
      <c r="F622" s="7" t="s">
        <v>2974</v>
      </c>
      <c r="G622" s="7" t="s">
        <v>966</v>
      </c>
      <c r="H622" s="7" t="s">
        <v>2975</v>
      </c>
      <c r="I622" s="7" t="s">
        <v>904</v>
      </c>
      <c r="J622" s="7" t="s">
        <v>648</v>
      </c>
    </row>
    <row r="623" spans="1:10">
      <c r="A623" s="7" t="s">
        <v>2976</v>
      </c>
      <c r="B623" s="7" t="s">
        <v>496</v>
      </c>
      <c r="C623" s="7" t="s">
        <v>627</v>
      </c>
      <c r="D623" s="7" t="s">
        <v>627</v>
      </c>
      <c r="E623" s="7" t="s">
        <v>658</v>
      </c>
      <c r="F623" s="7" t="s">
        <v>2001</v>
      </c>
      <c r="G623" s="7" t="s">
        <v>739</v>
      </c>
      <c r="H623" s="7" t="s">
        <v>2977</v>
      </c>
      <c r="I623" s="7" t="s">
        <v>2519</v>
      </c>
      <c r="J623" s="7" t="s">
        <v>621</v>
      </c>
    </row>
    <row r="624" spans="1:10">
      <c r="A624" s="7" t="s">
        <v>2978</v>
      </c>
      <c r="B624" s="7" t="s">
        <v>271</v>
      </c>
      <c r="C624" s="7" t="s">
        <v>811</v>
      </c>
      <c r="D624" s="7" t="s">
        <v>614</v>
      </c>
      <c r="E624" s="7" t="s">
        <v>658</v>
      </c>
      <c r="F624" s="7" t="s">
        <v>2979</v>
      </c>
      <c r="G624" s="7" t="s">
        <v>869</v>
      </c>
      <c r="H624" s="7" t="s">
        <v>2980</v>
      </c>
      <c r="I624" s="7" t="s">
        <v>1371</v>
      </c>
      <c r="J624" s="7" t="s">
        <v>621</v>
      </c>
    </row>
    <row r="625" spans="1:10">
      <c r="A625" s="7" t="s">
        <v>2981</v>
      </c>
      <c r="B625" s="7" t="s">
        <v>146</v>
      </c>
      <c r="C625" s="7" t="s">
        <v>886</v>
      </c>
      <c r="D625" s="7" t="s">
        <v>607</v>
      </c>
      <c r="E625" s="7" t="s">
        <v>666</v>
      </c>
      <c r="F625" s="7" t="s">
        <v>2982</v>
      </c>
      <c r="G625" s="7" t="s">
        <v>937</v>
      </c>
      <c r="H625" s="7" t="s">
        <v>2983</v>
      </c>
      <c r="I625" s="7" t="s">
        <v>674</v>
      </c>
      <c r="J625" s="7" t="s">
        <v>648</v>
      </c>
    </row>
    <row r="626" spans="1:10">
      <c r="A626" s="7" t="s">
        <v>2984</v>
      </c>
      <c r="B626" s="7" t="s">
        <v>525</v>
      </c>
      <c r="C626" s="7" t="s">
        <v>926</v>
      </c>
      <c r="D626" s="7" t="s">
        <v>607</v>
      </c>
      <c r="E626" s="7" t="s">
        <v>2985</v>
      </c>
      <c r="F626" s="7" t="s">
        <v>2986</v>
      </c>
      <c r="G626" s="7" t="s">
        <v>693</v>
      </c>
      <c r="H626" s="7" t="s">
        <v>2987</v>
      </c>
      <c r="I626" s="7" t="s">
        <v>681</v>
      </c>
      <c r="J626" s="7" t="s">
        <v>754</v>
      </c>
    </row>
    <row r="627" spans="1:10">
      <c r="A627" s="7" t="s">
        <v>2988</v>
      </c>
      <c r="B627" s="7" t="s">
        <v>146</v>
      </c>
      <c r="C627" s="7" t="s">
        <v>824</v>
      </c>
      <c r="D627" s="7" t="s">
        <v>607</v>
      </c>
      <c r="E627" s="7" t="s">
        <v>2049</v>
      </c>
      <c r="F627" s="7" t="s">
        <v>2989</v>
      </c>
      <c r="G627" s="7" t="s">
        <v>1861</v>
      </c>
      <c r="H627" s="7" t="s">
        <v>2990</v>
      </c>
      <c r="I627" s="7" t="s">
        <v>1913</v>
      </c>
      <c r="J627" s="7" t="s">
        <v>613</v>
      </c>
    </row>
    <row r="628" spans="1:10">
      <c r="A628" s="7" t="s">
        <v>2991</v>
      </c>
      <c r="B628" s="7" t="s">
        <v>146</v>
      </c>
      <c r="C628" s="7" t="s">
        <v>876</v>
      </c>
      <c r="D628" s="7" t="s">
        <v>627</v>
      </c>
      <c r="E628" s="7" t="s">
        <v>1186</v>
      </c>
      <c r="F628" s="7" t="s">
        <v>2992</v>
      </c>
      <c r="G628" s="7" t="s">
        <v>895</v>
      </c>
      <c r="H628" s="7" t="s">
        <v>2993</v>
      </c>
      <c r="I628" s="7" t="s">
        <v>647</v>
      </c>
      <c r="J628" s="7" t="s">
        <v>754</v>
      </c>
    </row>
    <row r="629" spans="1:10">
      <c r="A629" s="7" t="s">
        <v>2994</v>
      </c>
      <c r="B629" s="7" t="s">
        <v>362</v>
      </c>
      <c r="C629" s="7" t="s">
        <v>675</v>
      </c>
      <c r="D629" s="7" t="s">
        <v>607</v>
      </c>
      <c r="E629" s="7" t="s">
        <v>812</v>
      </c>
      <c r="F629" s="7" t="s">
        <v>2995</v>
      </c>
      <c r="G629" s="7" t="s">
        <v>897</v>
      </c>
      <c r="H629" s="7" t="s">
        <v>2996</v>
      </c>
      <c r="I629" s="7" t="s">
        <v>2036</v>
      </c>
      <c r="J629" s="7" t="s">
        <v>640</v>
      </c>
    </row>
    <row r="630" spans="1:10">
      <c r="A630" s="7" t="s">
        <v>2997</v>
      </c>
      <c r="B630" s="7" t="s">
        <v>194</v>
      </c>
      <c r="C630" s="7" t="s">
        <v>642</v>
      </c>
      <c r="D630" s="7" t="s">
        <v>607</v>
      </c>
      <c r="E630" s="7" t="s">
        <v>888</v>
      </c>
      <c r="F630" s="7" t="s">
        <v>2998</v>
      </c>
      <c r="G630" s="7" t="s">
        <v>1503</v>
      </c>
      <c r="H630" s="7" t="s">
        <v>2999</v>
      </c>
      <c r="I630" s="7" t="s">
        <v>2763</v>
      </c>
      <c r="J630" s="7" t="s">
        <v>648</v>
      </c>
    </row>
    <row r="631" spans="1:10">
      <c r="A631" s="7" t="s">
        <v>3000</v>
      </c>
      <c r="B631" s="7" t="s">
        <v>419</v>
      </c>
      <c r="C631" s="7" t="s">
        <v>606</v>
      </c>
      <c r="D631" s="7" t="s">
        <v>622</v>
      </c>
      <c r="E631" s="7" t="s">
        <v>1122</v>
      </c>
      <c r="F631" s="7" t="s">
        <v>3001</v>
      </c>
      <c r="G631" s="7" t="s">
        <v>1136</v>
      </c>
      <c r="H631" s="7" t="s">
        <v>3002</v>
      </c>
      <c r="I631" s="7" t="s">
        <v>41</v>
      </c>
      <c r="J631" s="7" t="s">
        <v>613</v>
      </c>
    </row>
    <row r="632" spans="1:10">
      <c r="A632" s="7" t="s">
        <v>3003</v>
      </c>
      <c r="B632" s="7" t="s">
        <v>265</v>
      </c>
      <c r="C632" s="7" t="s">
        <v>732</v>
      </c>
      <c r="D632" s="7" t="s">
        <v>627</v>
      </c>
      <c r="E632" s="7" t="s">
        <v>891</v>
      </c>
      <c r="F632" s="7" t="s">
        <v>3004</v>
      </c>
      <c r="G632" s="7" t="s">
        <v>1490</v>
      </c>
      <c r="H632" s="7" t="s">
        <v>3005</v>
      </c>
      <c r="I632" s="7" t="s">
        <v>1306</v>
      </c>
      <c r="J632" s="7" t="s">
        <v>633</v>
      </c>
    </row>
    <row r="633" spans="1:10">
      <c r="A633" s="7" t="s">
        <v>3006</v>
      </c>
      <c r="B633" s="7" t="s">
        <v>443</v>
      </c>
      <c r="C633" s="7" t="s">
        <v>876</v>
      </c>
      <c r="D633" s="7" t="s">
        <v>605</v>
      </c>
      <c r="E633" s="7" t="s">
        <v>2696</v>
      </c>
      <c r="F633" s="7" t="s">
        <v>3007</v>
      </c>
      <c r="G633" s="7" t="s">
        <v>685</v>
      </c>
      <c r="H633" s="7" t="s">
        <v>3008</v>
      </c>
      <c r="I633" s="7" t="s">
        <v>3009</v>
      </c>
      <c r="J633" s="7" t="s">
        <v>754</v>
      </c>
    </row>
    <row r="634" spans="1:10">
      <c r="A634" s="7" t="s">
        <v>3010</v>
      </c>
      <c r="B634" s="7" t="s">
        <v>188</v>
      </c>
      <c r="C634" s="7" t="s">
        <v>728</v>
      </c>
      <c r="D634" s="7" t="s">
        <v>607</v>
      </c>
      <c r="E634" s="7" t="s">
        <v>812</v>
      </c>
      <c r="F634" s="7" t="s">
        <v>3011</v>
      </c>
      <c r="G634" s="7" t="s">
        <v>814</v>
      </c>
      <c r="H634" s="7" t="s">
        <v>3012</v>
      </c>
      <c r="I634" s="7" t="s">
        <v>196</v>
      </c>
      <c r="J634" s="7" t="s">
        <v>640</v>
      </c>
    </row>
    <row r="635" spans="1:10">
      <c r="A635" s="7" t="s">
        <v>3013</v>
      </c>
      <c r="B635" s="7" t="s">
        <v>230</v>
      </c>
      <c r="C635" s="7" t="s">
        <v>901</v>
      </c>
      <c r="D635" s="7" t="s">
        <v>622</v>
      </c>
      <c r="E635" s="7" t="s">
        <v>1445</v>
      </c>
      <c r="F635" s="7" t="s">
        <v>3014</v>
      </c>
      <c r="G635" s="7" t="s">
        <v>1259</v>
      </c>
      <c r="H635" s="7" t="s">
        <v>3015</v>
      </c>
      <c r="I635" s="7" t="s">
        <v>1179</v>
      </c>
      <c r="J635" s="7" t="s">
        <v>633</v>
      </c>
    </row>
    <row r="636" spans="1:10">
      <c r="A636" s="7" t="s">
        <v>3016</v>
      </c>
      <c r="B636" s="7" t="s">
        <v>560</v>
      </c>
      <c r="C636" s="7" t="s">
        <v>606</v>
      </c>
      <c r="D636" s="7" t="s">
        <v>605</v>
      </c>
      <c r="E636" s="7" t="s">
        <v>864</v>
      </c>
      <c r="F636" s="7" t="s">
        <v>3017</v>
      </c>
      <c r="G636" s="7" t="s">
        <v>1463</v>
      </c>
      <c r="H636" s="7" t="s">
        <v>3018</v>
      </c>
      <c r="I636" s="7" t="s">
        <v>1411</v>
      </c>
      <c r="J636" s="7" t="s">
        <v>613</v>
      </c>
    </row>
    <row r="637" spans="1:10">
      <c r="A637" s="7" t="s">
        <v>3019</v>
      </c>
      <c r="B637" s="7" t="s">
        <v>397</v>
      </c>
      <c r="C637" s="7" t="s">
        <v>886</v>
      </c>
      <c r="D637" s="7" t="s">
        <v>614</v>
      </c>
      <c r="E637" s="7" t="s">
        <v>950</v>
      </c>
      <c r="F637" s="7" t="s">
        <v>3020</v>
      </c>
      <c r="G637" s="7" t="s">
        <v>955</v>
      </c>
      <c r="H637" s="7" t="s">
        <v>3021</v>
      </c>
      <c r="I637" s="7" t="s">
        <v>761</v>
      </c>
      <c r="J637" s="7" t="s">
        <v>648</v>
      </c>
    </row>
    <row r="638" spans="1:10">
      <c r="A638" s="7" t="s">
        <v>3022</v>
      </c>
      <c r="B638" s="7" t="s">
        <v>334</v>
      </c>
      <c r="C638" s="7" t="s">
        <v>876</v>
      </c>
      <c r="D638" s="7" t="s">
        <v>622</v>
      </c>
      <c r="E638" s="7" t="s">
        <v>765</v>
      </c>
      <c r="F638" s="7" t="s">
        <v>3023</v>
      </c>
      <c r="G638" s="7" t="s">
        <v>1679</v>
      </c>
      <c r="H638" s="7" t="s">
        <v>3024</v>
      </c>
      <c r="I638" s="7" t="s">
        <v>919</v>
      </c>
      <c r="J638" s="7" t="s">
        <v>754</v>
      </c>
    </row>
    <row r="639" spans="1:10">
      <c r="A639" s="7" t="s">
        <v>3025</v>
      </c>
      <c r="B639" s="7" t="s">
        <v>356</v>
      </c>
      <c r="C639" s="7" t="s">
        <v>820</v>
      </c>
      <c r="D639" s="7" t="s">
        <v>605</v>
      </c>
      <c r="E639" s="7" t="s">
        <v>858</v>
      </c>
      <c r="F639" s="7" t="s">
        <v>3026</v>
      </c>
      <c r="G639" s="7" t="s">
        <v>1225</v>
      </c>
      <c r="H639" s="7" t="s">
        <v>3027</v>
      </c>
      <c r="I639" s="7" t="s">
        <v>2358</v>
      </c>
      <c r="J639" s="7" t="s">
        <v>754</v>
      </c>
    </row>
    <row r="640" spans="1:10">
      <c r="A640" s="7" t="s">
        <v>3028</v>
      </c>
      <c r="B640" s="7" t="s">
        <v>578</v>
      </c>
      <c r="C640" s="7" t="s">
        <v>747</v>
      </c>
      <c r="D640" s="7" t="s">
        <v>605</v>
      </c>
      <c r="E640" s="7" t="s">
        <v>2528</v>
      </c>
      <c r="F640" s="7" t="s">
        <v>3029</v>
      </c>
      <c r="G640" s="7" t="s">
        <v>3030</v>
      </c>
      <c r="H640" s="7" t="s">
        <v>3031</v>
      </c>
      <c r="I640" s="7" t="s">
        <v>3032</v>
      </c>
      <c r="J640" s="7" t="s">
        <v>633</v>
      </c>
    </row>
    <row r="641" spans="1:10">
      <c r="A641" s="7" t="s">
        <v>3033</v>
      </c>
      <c r="B641" s="7" t="s">
        <v>525</v>
      </c>
      <c r="C641" s="7" t="s">
        <v>909</v>
      </c>
      <c r="D641" s="7" t="s">
        <v>622</v>
      </c>
      <c r="E641" s="7" t="s">
        <v>1021</v>
      </c>
      <c r="F641" s="7" t="s">
        <v>3034</v>
      </c>
      <c r="G641" s="7" t="s">
        <v>952</v>
      </c>
      <c r="H641" s="7" t="s">
        <v>3035</v>
      </c>
      <c r="I641" s="7" t="s">
        <v>737</v>
      </c>
      <c r="J641" s="7" t="s">
        <v>648</v>
      </c>
    </row>
    <row r="642" spans="1:10">
      <c r="A642" s="7" t="s">
        <v>3036</v>
      </c>
      <c r="B642" s="7" t="s">
        <v>373</v>
      </c>
      <c r="C642" s="7" t="s">
        <v>700</v>
      </c>
      <c r="D642" s="7" t="s">
        <v>627</v>
      </c>
      <c r="E642" s="7" t="s">
        <v>2705</v>
      </c>
      <c r="F642" s="7" t="s">
        <v>3037</v>
      </c>
      <c r="G642" s="7" t="s">
        <v>2528</v>
      </c>
      <c r="H642" s="7" t="s">
        <v>3038</v>
      </c>
      <c r="I642" s="7" t="s">
        <v>2008</v>
      </c>
      <c r="J642" s="7" t="s">
        <v>613</v>
      </c>
    </row>
    <row r="643" spans="1:10">
      <c r="A643" s="7" t="s">
        <v>3039</v>
      </c>
      <c r="B643" s="7" t="s">
        <v>128</v>
      </c>
      <c r="C643" s="7" t="s">
        <v>843</v>
      </c>
      <c r="D643" s="7" t="s">
        <v>607</v>
      </c>
      <c r="E643" s="7" t="s">
        <v>821</v>
      </c>
      <c r="F643" s="7" t="s">
        <v>3040</v>
      </c>
      <c r="G643" s="7" t="s">
        <v>616</v>
      </c>
      <c r="H643" s="7" t="s">
        <v>3041</v>
      </c>
      <c r="I643" s="7" t="s">
        <v>890</v>
      </c>
      <c r="J643" s="7" t="s">
        <v>621</v>
      </c>
    </row>
    <row r="644" spans="1:10">
      <c r="A644" s="7" t="s">
        <v>3042</v>
      </c>
      <c r="B644" s="7" t="s">
        <v>373</v>
      </c>
      <c r="C644" s="7" t="s">
        <v>802</v>
      </c>
      <c r="D644" s="7" t="s">
        <v>614</v>
      </c>
      <c r="E644" s="7" t="s">
        <v>670</v>
      </c>
      <c r="F644" s="7" t="s">
        <v>3043</v>
      </c>
      <c r="G644" s="7" t="s">
        <v>763</v>
      </c>
      <c r="H644" s="7" t="s">
        <v>3044</v>
      </c>
      <c r="I644" s="7" t="s">
        <v>1037</v>
      </c>
      <c r="J644" s="7" t="s">
        <v>682</v>
      </c>
    </row>
    <row r="645" spans="1:10">
      <c r="A645" s="7" t="s">
        <v>3045</v>
      </c>
      <c r="B645" s="7" t="s">
        <v>301</v>
      </c>
      <c r="C645" s="7" t="s">
        <v>606</v>
      </c>
      <c r="D645" s="7" t="s">
        <v>605</v>
      </c>
      <c r="E645" s="7" t="s">
        <v>937</v>
      </c>
      <c r="F645" s="7" t="s">
        <v>3046</v>
      </c>
      <c r="G645" s="7" t="s">
        <v>939</v>
      </c>
      <c r="H645" s="7" t="s">
        <v>3047</v>
      </c>
      <c r="I645" s="7" t="s">
        <v>433</v>
      </c>
      <c r="J645" s="7" t="s">
        <v>613</v>
      </c>
    </row>
    <row r="646" spans="1:10">
      <c r="A646" s="7" t="s">
        <v>3048</v>
      </c>
      <c r="B646" s="7" t="s">
        <v>200</v>
      </c>
      <c r="C646" s="7" t="s">
        <v>872</v>
      </c>
      <c r="D646" s="7" t="s">
        <v>622</v>
      </c>
      <c r="E646" s="7" t="s">
        <v>943</v>
      </c>
      <c r="F646" s="7" t="s">
        <v>3049</v>
      </c>
      <c r="G646" s="7" t="s">
        <v>785</v>
      </c>
      <c r="H646" s="7" t="s">
        <v>3050</v>
      </c>
      <c r="I646" s="7" t="s">
        <v>118</v>
      </c>
      <c r="J646" s="7" t="s">
        <v>682</v>
      </c>
    </row>
    <row r="647" spans="1:10">
      <c r="A647" s="7" t="s">
        <v>3051</v>
      </c>
      <c r="B647" s="7" t="s">
        <v>92</v>
      </c>
      <c r="C647" s="7" t="s">
        <v>684</v>
      </c>
      <c r="D647" s="7" t="s">
        <v>607</v>
      </c>
      <c r="E647" s="7" t="s">
        <v>653</v>
      </c>
      <c r="F647" s="7" t="s">
        <v>3052</v>
      </c>
      <c r="G647" s="7" t="s">
        <v>3053</v>
      </c>
      <c r="H647" s="7" t="s">
        <v>3054</v>
      </c>
      <c r="I647" s="7" t="s">
        <v>2716</v>
      </c>
      <c r="J647" s="7" t="s">
        <v>633</v>
      </c>
    </row>
    <row r="648" spans="1:10">
      <c r="A648" s="7" t="s">
        <v>3055</v>
      </c>
      <c r="B648" s="7" t="s">
        <v>408</v>
      </c>
      <c r="C648" s="7" t="s">
        <v>701</v>
      </c>
      <c r="D648" s="7" t="s">
        <v>607</v>
      </c>
      <c r="E648" s="7" t="s">
        <v>950</v>
      </c>
      <c r="F648" s="7" t="s">
        <v>3056</v>
      </c>
      <c r="G648" s="7" t="s">
        <v>645</v>
      </c>
      <c r="H648" s="7" t="s">
        <v>3057</v>
      </c>
      <c r="I648" s="7" t="s">
        <v>533</v>
      </c>
      <c r="J648" s="7" t="s">
        <v>648</v>
      </c>
    </row>
    <row r="649" spans="1:10">
      <c r="A649" s="7" t="s">
        <v>3058</v>
      </c>
      <c r="B649" s="7" t="s">
        <v>242</v>
      </c>
      <c r="C649" s="7" t="s">
        <v>615</v>
      </c>
      <c r="D649" s="7" t="s">
        <v>622</v>
      </c>
      <c r="E649" s="7" t="s">
        <v>827</v>
      </c>
      <c r="F649" s="7" t="s">
        <v>3059</v>
      </c>
      <c r="G649" s="7" t="s">
        <v>739</v>
      </c>
      <c r="H649" s="7" t="s">
        <v>3060</v>
      </c>
      <c r="I649" s="7" t="s">
        <v>936</v>
      </c>
      <c r="J649" s="7" t="s">
        <v>621</v>
      </c>
    </row>
    <row r="650" spans="1:10">
      <c r="A650" s="7" t="s">
        <v>3061</v>
      </c>
      <c r="B650" s="7" t="s">
        <v>318</v>
      </c>
      <c r="C650" s="7" t="s">
        <v>657</v>
      </c>
      <c r="D650" s="7" t="s">
        <v>622</v>
      </c>
      <c r="E650" s="7" t="s">
        <v>821</v>
      </c>
      <c r="F650" s="7" t="s">
        <v>3062</v>
      </c>
      <c r="G650" s="7" t="s">
        <v>817</v>
      </c>
      <c r="H650" s="7" t="s">
        <v>3063</v>
      </c>
      <c r="I650" s="7" t="s">
        <v>1598</v>
      </c>
      <c r="J650" s="7" t="s">
        <v>621</v>
      </c>
    </row>
    <row r="651" spans="1:10">
      <c r="A651" s="7" t="s">
        <v>3064</v>
      </c>
      <c r="B651" s="7" t="s">
        <v>455</v>
      </c>
      <c r="C651" s="7" t="s">
        <v>732</v>
      </c>
      <c r="D651" s="7" t="s">
        <v>622</v>
      </c>
      <c r="E651" s="7" t="s">
        <v>2985</v>
      </c>
      <c r="F651" s="7" t="s">
        <v>3065</v>
      </c>
      <c r="G651" s="7" t="s">
        <v>677</v>
      </c>
      <c r="H651" s="7" t="s">
        <v>3066</v>
      </c>
      <c r="I651" s="7" t="s">
        <v>632</v>
      </c>
      <c r="J651" s="7" t="s">
        <v>633</v>
      </c>
    </row>
    <row r="652" spans="1:10">
      <c r="A652" s="7" t="s">
        <v>3067</v>
      </c>
      <c r="B652" s="7" t="s">
        <v>104</v>
      </c>
      <c r="C652" s="7" t="s">
        <v>675</v>
      </c>
      <c r="D652" s="7" t="s">
        <v>627</v>
      </c>
      <c r="E652" s="7" t="s">
        <v>897</v>
      </c>
      <c r="F652" s="7" t="s">
        <v>3068</v>
      </c>
      <c r="G652" s="7" t="s">
        <v>2671</v>
      </c>
      <c r="H652" s="7" t="s">
        <v>3069</v>
      </c>
      <c r="I652" s="7" t="s">
        <v>923</v>
      </c>
      <c r="J652" s="7" t="s">
        <v>640</v>
      </c>
    </row>
    <row r="653" spans="1:10">
      <c r="A653" s="7" t="s">
        <v>3070</v>
      </c>
      <c r="B653" s="7" t="s">
        <v>194</v>
      </c>
      <c r="C653" s="7" t="s">
        <v>701</v>
      </c>
      <c r="D653" s="7" t="s">
        <v>614</v>
      </c>
      <c r="E653" s="7" t="s">
        <v>966</v>
      </c>
      <c r="F653" s="7" t="s">
        <v>3071</v>
      </c>
      <c r="G653" s="7" t="s">
        <v>1289</v>
      </c>
      <c r="H653" s="7" t="s">
        <v>3072</v>
      </c>
      <c r="I653" s="7" t="s">
        <v>591</v>
      </c>
      <c r="J653" s="7" t="s">
        <v>648</v>
      </c>
    </row>
    <row r="654" spans="1:10">
      <c r="A654" s="7" t="s">
        <v>3073</v>
      </c>
      <c r="B654" s="7" t="s">
        <v>449</v>
      </c>
      <c r="C654" s="7" t="s">
        <v>711</v>
      </c>
      <c r="D654" s="7" t="s">
        <v>627</v>
      </c>
      <c r="E654" s="7" t="s">
        <v>1902</v>
      </c>
      <c r="F654" s="7" t="s">
        <v>3074</v>
      </c>
      <c r="G654" s="7" t="s">
        <v>3075</v>
      </c>
      <c r="H654" s="7" t="s">
        <v>3076</v>
      </c>
      <c r="I654" s="7" t="s">
        <v>1203</v>
      </c>
      <c r="J654" s="7" t="s">
        <v>613</v>
      </c>
    </row>
    <row r="655" spans="1:10">
      <c r="A655" s="7" t="s">
        <v>3077</v>
      </c>
      <c r="B655" s="7" t="s">
        <v>116</v>
      </c>
      <c r="C655" s="7" t="s">
        <v>931</v>
      </c>
      <c r="D655" s="7" t="s">
        <v>614</v>
      </c>
      <c r="E655" s="7" t="s">
        <v>666</v>
      </c>
      <c r="F655" s="7" t="s">
        <v>3078</v>
      </c>
      <c r="G655" s="7" t="s">
        <v>955</v>
      </c>
      <c r="H655" s="7" t="s">
        <v>3079</v>
      </c>
      <c r="I655" s="7" t="s">
        <v>1164</v>
      </c>
      <c r="J655" s="7" t="s">
        <v>648</v>
      </c>
    </row>
    <row r="656" spans="1:10">
      <c r="A656" s="7" t="s">
        <v>3080</v>
      </c>
      <c r="B656" s="7" t="s">
        <v>92</v>
      </c>
      <c r="C656" s="7" t="s">
        <v>711</v>
      </c>
      <c r="D656" s="7" t="s">
        <v>605</v>
      </c>
      <c r="E656" s="7" t="s">
        <v>658</v>
      </c>
      <c r="F656" s="7" t="s">
        <v>3081</v>
      </c>
      <c r="G656" s="7" t="s">
        <v>1887</v>
      </c>
      <c r="H656" s="7" t="s">
        <v>3082</v>
      </c>
      <c r="I656" s="7" t="s">
        <v>1319</v>
      </c>
      <c r="J656" s="7" t="s">
        <v>613</v>
      </c>
    </row>
    <row r="657" spans="1:10">
      <c r="A657" s="7" t="s">
        <v>3083</v>
      </c>
      <c r="B657" s="7" t="s">
        <v>194</v>
      </c>
      <c r="C657" s="7" t="s">
        <v>949</v>
      </c>
      <c r="D657" s="7" t="s">
        <v>614</v>
      </c>
      <c r="E657" s="7" t="s">
        <v>1186</v>
      </c>
      <c r="F657" s="7" t="s">
        <v>3084</v>
      </c>
      <c r="G657" s="7" t="s">
        <v>1383</v>
      </c>
      <c r="H657" s="7" t="s">
        <v>3085</v>
      </c>
      <c r="I657" s="7" t="s">
        <v>2593</v>
      </c>
      <c r="J657" s="7" t="s">
        <v>640</v>
      </c>
    </row>
    <row r="658" spans="1:10">
      <c r="A658" s="7" t="s">
        <v>3086</v>
      </c>
      <c r="B658" s="7" t="s">
        <v>329</v>
      </c>
      <c r="C658" s="7" t="s">
        <v>690</v>
      </c>
      <c r="D658" s="7" t="s">
        <v>622</v>
      </c>
      <c r="E658" s="7" t="s">
        <v>679</v>
      </c>
      <c r="F658" s="7" t="s">
        <v>3087</v>
      </c>
      <c r="G658" s="7" t="s">
        <v>672</v>
      </c>
      <c r="H658" s="7" t="s">
        <v>3088</v>
      </c>
      <c r="I658" s="7" t="s">
        <v>1150</v>
      </c>
      <c r="J658" s="7" t="s">
        <v>682</v>
      </c>
    </row>
    <row r="659" spans="1:10">
      <c r="A659" s="7" t="s">
        <v>3089</v>
      </c>
      <c r="B659" s="7" t="s">
        <v>362</v>
      </c>
      <c r="C659" s="7" t="s">
        <v>701</v>
      </c>
      <c r="D659" s="7" t="s">
        <v>622</v>
      </c>
      <c r="E659" s="7" t="s">
        <v>768</v>
      </c>
      <c r="F659" s="7" t="s">
        <v>3090</v>
      </c>
      <c r="G659" s="7" t="s">
        <v>952</v>
      </c>
      <c r="H659" s="7" t="s">
        <v>3091</v>
      </c>
      <c r="I659" s="7" t="s">
        <v>381</v>
      </c>
      <c r="J659" s="7" t="s">
        <v>648</v>
      </c>
    </row>
    <row r="660" spans="1:10">
      <c r="A660" s="7" t="s">
        <v>3092</v>
      </c>
      <c r="B660" s="7" t="s">
        <v>289</v>
      </c>
      <c r="C660" s="7" t="s">
        <v>722</v>
      </c>
      <c r="D660" s="7" t="s">
        <v>607</v>
      </c>
      <c r="E660" s="7" t="s">
        <v>1186</v>
      </c>
      <c r="F660" s="7" t="s">
        <v>3093</v>
      </c>
      <c r="G660" s="7" t="s">
        <v>735</v>
      </c>
      <c r="H660" s="7" t="s">
        <v>3094</v>
      </c>
      <c r="I660" s="7" t="s">
        <v>3095</v>
      </c>
      <c r="J660" s="7" t="s">
        <v>640</v>
      </c>
    </row>
    <row r="661" spans="1:10">
      <c r="A661" s="7" t="s">
        <v>3096</v>
      </c>
      <c r="B661" s="7" t="s">
        <v>318</v>
      </c>
      <c r="C661" s="7" t="s">
        <v>634</v>
      </c>
      <c r="D661" s="7" t="s">
        <v>622</v>
      </c>
      <c r="E661" s="7" t="s">
        <v>635</v>
      </c>
      <c r="F661" s="7" t="s">
        <v>3097</v>
      </c>
      <c r="G661" s="7" t="s">
        <v>1122</v>
      </c>
      <c r="H661" s="7" t="s">
        <v>3098</v>
      </c>
      <c r="I661" s="7" t="s">
        <v>908</v>
      </c>
      <c r="J661" s="7" t="s">
        <v>640</v>
      </c>
    </row>
    <row r="662" spans="1:10">
      <c r="A662" s="7" t="s">
        <v>3099</v>
      </c>
      <c r="B662" s="7" t="s">
        <v>110</v>
      </c>
      <c r="C662" s="7" t="s">
        <v>738</v>
      </c>
      <c r="D662" s="7" t="s">
        <v>614</v>
      </c>
      <c r="E662" s="7" t="s">
        <v>3100</v>
      </c>
      <c r="F662" s="7" t="s">
        <v>3101</v>
      </c>
      <c r="G662" s="7" t="s">
        <v>2739</v>
      </c>
      <c r="H662" s="7" t="s">
        <v>3102</v>
      </c>
      <c r="I662" s="7" t="s">
        <v>632</v>
      </c>
      <c r="J662" s="7" t="s">
        <v>754</v>
      </c>
    </row>
    <row r="663" spans="1:10">
      <c r="A663" s="7" t="s">
        <v>3103</v>
      </c>
      <c r="B663" s="7" t="s">
        <v>403</v>
      </c>
      <c r="C663" s="7" t="s">
        <v>691</v>
      </c>
      <c r="D663" s="7" t="s">
        <v>622</v>
      </c>
      <c r="E663" s="7" t="s">
        <v>733</v>
      </c>
      <c r="F663" s="7" t="s">
        <v>3104</v>
      </c>
      <c r="G663" s="7" t="s">
        <v>637</v>
      </c>
      <c r="H663" s="7" t="s">
        <v>3105</v>
      </c>
      <c r="I663" s="7" t="s">
        <v>2451</v>
      </c>
      <c r="J663" s="7" t="s">
        <v>613</v>
      </c>
    </row>
    <row r="664" spans="1:10">
      <c r="A664" s="7" t="s">
        <v>3106</v>
      </c>
      <c r="B664" s="7" t="s">
        <v>554</v>
      </c>
      <c r="C664" s="7" t="s">
        <v>700</v>
      </c>
      <c r="D664" s="7" t="s">
        <v>614</v>
      </c>
      <c r="E664" s="7" t="s">
        <v>1689</v>
      </c>
      <c r="F664" s="7" t="s">
        <v>3107</v>
      </c>
      <c r="G664" s="7" t="s">
        <v>1469</v>
      </c>
      <c r="H664" s="7" t="s">
        <v>3108</v>
      </c>
      <c r="I664" s="7" t="s">
        <v>1956</v>
      </c>
      <c r="J664" s="7" t="s">
        <v>613</v>
      </c>
    </row>
    <row r="665" spans="1:10">
      <c r="A665" s="7" t="s">
        <v>3109</v>
      </c>
      <c r="B665" s="7" t="s">
        <v>140</v>
      </c>
      <c r="C665" s="7" t="s">
        <v>747</v>
      </c>
      <c r="D665" s="7" t="s">
        <v>614</v>
      </c>
      <c r="E665" s="7" t="s">
        <v>1282</v>
      </c>
      <c r="F665" s="7" t="s">
        <v>3110</v>
      </c>
      <c r="G665" s="7" t="s">
        <v>2175</v>
      </c>
      <c r="H665" s="7" t="s">
        <v>3111</v>
      </c>
      <c r="I665" s="7" t="s">
        <v>1552</v>
      </c>
      <c r="J665" s="7" t="s">
        <v>633</v>
      </c>
    </row>
    <row r="666" spans="1:10">
      <c r="A666" s="7" t="s">
        <v>3112</v>
      </c>
      <c r="B666" s="7" t="s">
        <v>356</v>
      </c>
      <c r="C666" s="7" t="s">
        <v>723</v>
      </c>
      <c r="D666" s="7" t="s">
        <v>607</v>
      </c>
      <c r="E666" s="7" t="s">
        <v>610</v>
      </c>
      <c r="F666" s="7" t="s">
        <v>3113</v>
      </c>
      <c r="G666" s="7" t="s">
        <v>877</v>
      </c>
      <c r="H666" s="7" t="s">
        <v>3114</v>
      </c>
      <c r="I666" s="7" t="s">
        <v>1933</v>
      </c>
      <c r="J666" s="7" t="s">
        <v>682</v>
      </c>
    </row>
    <row r="667" spans="1:10">
      <c r="A667" s="7" t="s">
        <v>3115</v>
      </c>
      <c r="B667" s="7" t="s">
        <v>194</v>
      </c>
      <c r="C667" s="7" t="s">
        <v>762</v>
      </c>
      <c r="D667" s="7" t="s">
        <v>607</v>
      </c>
      <c r="E667" s="7" t="s">
        <v>677</v>
      </c>
      <c r="F667" s="7" t="s">
        <v>3116</v>
      </c>
      <c r="G667" s="7" t="s">
        <v>672</v>
      </c>
      <c r="H667" s="7" t="s">
        <v>1298</v>
      </c>
      <c r="I667" s="7" t="s">
        <v>1660</v>
      </c>
      <c r="J667" s="7" t="s">
        <v>682</v>
      </c>
    </row>
    <row r="668" spans="1:10">
      <c r="A668" s="7" t="s">
        <v>3117</v>
      </c>
      <c r="B668" s="7" t="s">
        <v>312</v>
      </c>
      <c r="C668" s="7" t="s">
        <v>843</v>
      </c>
      <c r="D668" s="7" t="s">
        <v>622</v>
      </c>
      <c r="E668" s="7" t="s">
        <v>712</v>
      </c>
      <c r="F668" s="7" t="s">
        <v>3118</v>
      </c>
      <c r="G668" s="7" t="s">
        <v>616</v>
      </c>
      <c r="H668" s="7" t="s">
        <v>3119</v>
      </c>
      <c r="I668" s="7" t="s">
        <v>1697</v>
      </c>
      <c r="J668" s="7" t="s">
        <v>621</v>
      </c>
    </row>
    <row r="669" spans="1:10">
      <c r="A669" s="7" t="s">
        <v>3120</v>
      </c>
      <c r="B669" s="7" t="s">
        <v>57</v>
      </c>
      <c r="C669" s="7" t="s">
        <v>894</v>
      </c>
      <c r="D669" s="7" t="s">
        <v>614</v>
      </c>
      <c r="E669" s="7" t="s">
        <v>1476</v>
      </c>
      <c r="F669" s="7" t="s">
        <v>3121</v>
      </c>
      <c r="G669" s="7" t="s">
        <v>703</v>
      </c>
      <c r="H669" s="7" t="s">
        <v>3122</v>
      </c>
      <c r="I669" s="7" t="s">
        <v>256</v>
      </c>
      <c r="J669" s="7" t="s">
        <v>648</v>
      </c>
    </row>
    <row r="670" spans="1:10">
      <c r="A670" s="7" t="s">
        <v>3123</v>
      </c>
      <c r="B670" s="7" t="s">
        <v>212</v>
      </c>
      <c r="C670" s="7" t="s">
        <v>949</v>
      </c>
      <c r="D670" s="7" t="s">
        <v>607</v>
      </c>
      <c r="E670" s="7" t="s">
        <v>812</v>
      </c>
      <c r="F670" s="7" t="s">
        <v>3124</v>
      </c>
      <c r="G670" s="7" t="s">
        <v>1219</v>
      </c>
      <c r="H670" s="7" t="s">
        <v>3125</v>
      </c>
      <c r="I670" s="7" t="s">
        <v>746</v>
      </c>
      <c r="J670" s="7" t="s">
        <v>640</v>
      </c>
    </row>
    <row r="671" spans="1:10">
      <c r="A671" s="7" t="s">
        <v>3126</v>
      </c>
      <c r="B671" s="7" t="s">
        <v>339</v>
      </c>
      <c r="C671" s="7" t="s">
        <v>716</v>
      </c>
      <c r="D671" s="7" t="s">
        <v>607</v>
      </c>
      <c r="E671" s="7" t="s">
        <v>1000</v>
      </c>
      <c r="F671" s="7" t="s">
        <v>3127</v>
      </c>
      <c r="G671" s="7" t="s">
        <v>833</v>
      </c>
      <c r="H671" s="7" t="s">
        <v>3128</v>
      </c>
      <c r="I671" s="7" t="s">
        <v>474</v>
      </c>
      <c r="J671" s="7" t="s">
        <v>613</v>
      </c>
    </row>
    <row r="672" spans="1:10">
      <c r="A672" s="7" t="s">
        <v>3129</v>
      </c>
      <c r="B672" s="7" t="s">
        <v>350</v>
      </c>
      <c r="C672" s="7" t="s">
        <v>784</v>
      </c>
      <c r="D672" s="7" t="s">
        <v>627</v>
      </c>
      <c r="E672" s="7" t="s">
        <v>3130</v>
      </c>
      <c r="F672" s="7" t="s">
        <v>3131</v>
      </c>
      <c r="G672" s="7" t="s">
        <v>1304</v>
      </c>
      <c r="H672" s="7" t="s">
        <v>3132</v>
      </c>
      <c r="I672" s="7" t="s">
        <v>689</v>
      </c>
      <c r="J672" s="7" t="s">
        <v>754</v>
      </c>
    </row>
    <row r="673" spans="1:10">
      <c r="A673" s="7" t="s">
        <v>3133</v>
      </c>
      <c r="B673" s="7" t="s">
        <v>295</v>
      </c>
      <c r="C673" s="7" t="s">
        <v>843</v>
      </c>
      <c r="D673" s="7" t="s">
        <v>607</v>
      </c>
      <c r="E673" s="7" t="s">
        <v>616</v>
      </c>
      <c r="F673" s="7" t="s">
        <v>3134</v>
      </c>
      <c r="G673" s="7" t="s">
        <v>739</v>
      </c>
      <c r="H673" s="7" t="s">
        <v>3135</v>
      </c>
      <c r="I673" s="7" t="s">
        <v>2289</v>
      </c>
      <c r="J673" s="7" t="s">
        <v>621</v>
      </c>
    </row>
    <row r="674" spans="1:10">
      <c r="A674" s="7" t="s">
        <v>3136</v>
      </c>
      <c r="B674" s="7" t="s">
        <v>51</v>
      </c>
      <c r="C674" s="7" t="s">
        <v>792</v>
      </c>
      <c r="D674" s="7" t="s">
        <v>622</v>
      </c>
      <c r="E674" s="7" t="s">
        <v>996</v>
      </c>
      <c r="F674" s="7" t="s">
        <v>3137</v>
      </c>
      <c r="G674" s="7" t="s">
        <v>1158</v>
      </c>
      <c r="H674" s="7" t="s">
        <v>3138</v>
      </c>
      <c r="I674" s="7" t="s">
        <v>451</v>
      </c>
      <c r="J674" s="7" t="s">
        <v>640</v>
      </c>
    </row>
    <row r="675" spans="1:10">
      <c r="A675" s="7" t="s">
        <v>3139</v>
      </c>
      <c r="B675" s="7" t="s">
        <v>385</v>
      </c>
      <c r="C675" s="7" t="s">
        <v>949</v>
      </c>
      <c r="D675" s="7" t="s">
        <v>614</v>
      </c>
      <c r="E675" s="7" t="s">
        <v>1158</v>
      </c>
      <c r="F675" s="7" t="s">
        <v>3140</v>
      </c>
      <c r="G675" s="7" t="s">
        <v>706</v>
      </c>
      <c r="H675" s="7" t="s">
        <v>3141</v>
      </c>
      <c r="I675" s="7" t="s">
        <v>1436</v>
      </c>
      <c r="J675" s="7" t="s">
        <v>640</v>
      </c>
    </row>
    <row r="676" spans="1:10">
      <c r="A676" s="7" t="s">
        <v>3142</v>
      </c>
      <c r="B676" s="7" t="s">
        <v>312</v>
      </c>
      <c r="C676" s="7" t="s">
        <v>690</v>
      </c>
      <c r="D676" s="7" t="s">
        <v>627</v>
      </c>
      <c r="E676" s="7" t="s">
        <v>785</v>
      </c>
      <c r="F676" s="7" t="s">
        <v>3143</v>
      </c>
      <c r="G676" s="7" t="s">
        <v>1918</v>
      </c>
      <c r="H676" s="7" t="s">
        <v>3144</v>
      </c>
      <c r="I676" s="7" t="s">
        <v>3145</v>
      </c>
      <c r="J676" s="7" t="s">
        <v>682</v>
      </c>
    </row>
    <row r="677" spans="1:10">
      <c r="A677" s="7" t="s">
        <v>3146</v>
      </c>
      <c r="B677" s="7" t="s">
        <v>230</v>
      </c>
      <c r="C677" s="7" t="s">
        <v>855</v>
      </c>
      <c r="D677" s="7" t="s">
        <v>627</v>
      </c>
      <c r="E677" s="7" t="s">
        <v>637</v>
      </c>
      <c r="F677" s="7" t="s">
        <v>3147</v>
      </c>
      <c r="G677" s="7" t="s">
        <v>708</v>
      </c>
      <c r="H677" s="7" t="s">
        <v>3148</v>
      </c>
      <c r="I677" s="7" t="s">
        <v>65</v>
      </c>
      <c r="J677" s="7" t="s">
        <v>613</v>
      </c>
    </row>
    <row r="678" spans="1:10">
      <c r="A678" s="7" t="s">
        <v>3149</v>
      </c>
      <c r="B678" s="7" t="s">
        <v>271</v>
      </c>
      <c r="C678" s="7" t="s">
        <v>811</v>
      </c>
      <c r="D678" s="7" t="s">
        <v>607</v>
      </c>
      <c r="E678" s="7" t="s">
        <v>712</v>
      </c>
      <c r="F678" s="7" t="s">
        <v>3150</v>
      </c>
      <c r="G678" s="7" t="s">
        <v>660</v>
      </c>
      <c r="H678" s="7" t="s">
        <v>3151</v>
      </c>
      <c r="I678" s="7" t="s">
        <v>923</v>
      </c>
      <c r="J678" s="7" t="s">
        <v>621</v>
      </c>
    </row>
    <row r="679" spans="1:10">
      <c r="A679" s="7" t="s">
        <v>3152</v>
      </c>
      <c r="B679" s="7" t="s">
        <v>122</v>
      </c>
      <c r="C679" s="7" t="s">
        <v>784</v>
      </c>
      <c r="D679" s="7" t="s">
        <v>607</v>
      </c>
      <c r="E679" s="7" t="s">
        <v>1699</v>
      </c>
      <c r="F679" s="7" t="s">
        <v>3153</v>
      </c>
      <c r="G679" s="7" t="s">
        <v>2026</v>
      </c>
      <c r="H679" s="7" t="s">
        <v>3154</v>
      </c>
      <c r="I679" s="7" t="s">
        <v>1319</v>
      </c>
      <c r="J679" s="7" t="s">
        <v>754</v>
      </c>
    </row>
    <row r="680" spans="1:10">
      <c r="A680" s="7" t="s">
        <v>3155</v>
      </c>
      <c r="B680" s="7" t="s">
        <v>116</v>
      </c>
      <c r="C680" s="7" t="s">
        <v>669</v>
      </c>
      <c r="D680" s="7" t="s">
        <v>614</v>
      </c>
      <c r="E680" s="7" t="s">
        <v>799</v>
      </c>
      <c r="F680" s="7" t="s">
        <v>3156</v>
      </c>
      <c r="G680" s="7" t="s">
        <v>3157</v>
      </c>
      <c r="H680" s="7" t="s">
        <v>3158</v>
      </c>
      <c r="I680" s="7" t="s">
        <v>753</v>
      </c>
      <c r="J680" s="7" t="s">
        <v>613</v>
      </c>
    </row>
    <row r="681" spans="1:10">
      <c r="A681" s="7" t="s">
        <v>3159</v>
      </c>
      <c r="B681" s="7" t="s">
        <v>110</v>
      </c>
      <c r="C681" s="7" t="s">
        <v>669</v>
      </c>
      <c r="D681" s="7" t="s">
        <v>605</v>
      </c>
      <c r="E681" s="7" t="s">
        <v>2405</v>
      </c>
      <c r="F681" s="7" t="s">
        <v>3160</v>
      </c>
      <c r="G681" s="7" t="s">
        <v>2496</v>
      </c>
      <c r="H681" s="7" t="s">
        <v>3161</v>
      </c>
      <c r="I681" s="7" t="s">
        <v>1043</v>
      </c>
      <c r="J681" s="7" t="s">
        <v>613</v>
      </c>
    </row>
    <row r="682" spans="1:10">
      <c r="A682" s="7" t="s">
        <v>3162</v>
      </c>
      <c r="B682" s="7" t="s">
        <v>578</v>
      </c>
      <c r="C682" s="7" t="s">
        <v>716</v>
      </c>
      <c r="D682" s="7" t="s">
        <v>607</v>
      </c>
      <c r="E682" s="7" t="s">
        <v>3163</v>
      </c>
      <c r="F682" s="7" t="s">
        <v>3164</v>
      </c>
      <c r="G682" s="7" t="s">
        <v>1186</v>
      </c>
      <c r="H682" s="7" t="s">
        <v>3165</v>
      </c>
      <c r="I682" s="7" t="s">
        <v>1995</v>
      </c>
      <c r="J682" s="7" t="s">
        <v>613</v>
      </c>
    </row>
    <row r="683" spans="1:10">
      <c r="A683" s="7" t="s">
        <v>3166</v>
      </c>
      <c r="B683" s="7" t="s">
        <v>324</v>
      </c>
      <c r="C683" s="7" t="s">
        <v>872</v>
      </c>
      <c r="D683" s="7" t="s">
        <v>607</v>
      </c>
      <c r="E683" s="7" t="s">
        <v>670</v>
      </c>
      <c r="F683" s="7" t="s">
        <v>3167</v>
      </c>
      <c r="G683" s="7" t="s">
        <v>610</v>
      </c>
      <c r="H683" s="7" t="s">
        <v>3168</v>
      </c>
      <c r="I683" s="7" t="s">
        <v>427</v>
      </c>
      <c r="J683" s="7" t="s">
        <v>682</v>
      </c>
    </row>
    <row r="684" spans="1:10">
      <c r="A684" s="7" t="s">
        <v>3169</v>
      </c>
      <c r="B684" s="7" t="s">
        <v>146</v>
      </c>
      <c r="C684" s="7" t="s">
        <v>664</v>
      </c>
      <c r="D684" s="7" t="s">
        <v>622</v>
      </c>
      <c r="E684" s="7" t="s">
        <v>1021</v>
      </c>
      <c r="F684" s="7" t="s">
        <v>3170</v>
      </c>
      <c r="G684" s="7" t="s">
        <v>703</v>
      </c>
      <c r="H684" s="7" t="s">
        <v>3171</v>
      </c>
      <c r="I684" s="7" t="s">
        <v>2269</v>
      </c>
      <c r="J684" s="7" t="s">
        <v>648</v>
      </c>
    </row>
    <row r="685" spans="1:10">
      <c r="A685" s="7" t="s">
        <v>3172</v>
      </c>
      <c r="B685" s="7" t="s">
        <v>176</v>
      </c>
      <c r="C685" s="7" t="s">
        <v>959</v>
      </c>
      <c r="D685" s="7" t="s">
        <v>622</v>
      </c>
      <c r="E685" s="7" t="s">
        <v>3173</v>
      </c>
      <c r="F685" s="7" t="s">
        <v>3174</v>
      </c>
      <c r="G685" s="7" t="s">
        <v>1458</v>
      </c>
      <c r="H685" s="7" t="s">
        <v>3175</v>
      </c>
      <c r="I685" s="7" t="s">
        <v>550</v>
      </c>
      <c r="J685" s="7" t="s">
        <v>633</v>
      </c>
    </row>
    <row r="686" spans="1:10">
      <c r="A686" s="7" t="s">
        <v>3176</v>
      </c>
      <c r="B686" s="7" t="s">
        <v>324</v>
      </c>
      <c r="C686" s="7" t="s">
        <v>738</v>
      </c>
      <c r="D686" s="7" t="s">
        <v>605</v>
      </c>
      <c r="E686" s="7" t="s">
        <v>937</v>
      </c>
      <c r="F686" s="7" t="s">
        <v>3177</v>
      </c>
      <c r="G686" s="7" t="s">
        <v>939</v>
      </c>
      <c r="H686" s="7" t="s">
        <v>3178</v>
      </c>
      <c r="I686" s="7" t="s">
        <v>3179</v>
      </c>
      <c r="J686" s="7" t="s">
        <v>754</v>
      </c>
    </row>
    <row r="687" spans="1:10">
      <c r="A687" s="7" t="s">
        <v>3180</v>
      </c>
      <c r="B687" s="7" t="s">
        <v>158</v>
      </c>
      <c r="C687" s="7" t="s">
        <v>872</v>
      </c>
      <c r="D687" s="7" t="s">
        <v>605</v>
      </c>
      <c r="E687" s="7" t="s">
        <v>1136</v>
      </c>
      <c r="F687" s="7" t="s">
        <v>3181</v>
      </c>
      <c r="G687" s="7" t="s">
        <v>974</v>
      </c>
      <c r="H687" s="7" t="s">
        <v>3182</v>
      </c>
      <c r="I687" s="7" t="s">
        <v>612</v>
      </c>
      <c r="J687" s="7" t="s">
        <v>682</v>
      </c>
    </row>
    <row r="688" spans="1:10">
      <c r="A688" s="7" t="s">
        <v>3183</v>
      </c>
      <c r="B688" s="7" t="s">
        <v>578</v>
      </c>
      <c r="C688" s="7" t="s">
        <v>656</v>
      </c>
      <c r="D688" s="7" t="s">
        <v>607</v>
      </c>
      <c r="E688" s="7" t="s">
        <v>877</v>
      </c>
      <c r="F688" s="7" t="s">
        <v>3184</v>
      </c>
      <c r="G688" s="7" t="s">
        <v>879</v>
      </c>
      <c r="H688" s="7" t="s">
        <v>3185</v>
      </c>
      <c r="I688" s="7" t="s">
        <v>3186</v>
      </c>
      <c r="J688" s="7" t="s">
        <v>613</v>
      </c>
    </row>
    <row r="689" spans="1:10">
      <c r="A689" s="7" t="s">
        <v>3187</v>
      </c>
      <c r="B689" s="7" t="s">
        <v>92</v>
      </c>
      <c r="C689" s="7" t="s">
        <v>830</v>
      </c>
      <c r="D689" s="7" t="s">
        <v>614</v>
      </c>
      <c r="E689" s="7" t="s">
        <v>2175</v>
      </c>
      <c r="F689" s="7" t="s">
        <v>3188</v>
      </c>
      <c r="G689" s="7" t="s">
        <v>3189</v>
      </c>
      <c r="H689" s="7" t="s">
        <v>3190</v>
      </c>
      <c r="I689" s="7" t="s">
        <v>1371</v>
      </c>
      <c r="J689" s="7" t="s">
        <v>613</v>
      </c>
    </row>
    <row r="690" spans="1:10">
      <c r="A690" s="7" t="s">
        <v>3191</v>
      </c>
      <c r="B690" s="7" t="s">
        <v>277</v>
      </c>
      <c r="C690" s="7" t="s">
        <v>807</v>
      </c>
      <c r="D690" s="7" t="s">
        <v>627</v>
      </c>
      <c r="E690" s="7" t="s">
        <v>677</v>
      </c>
      <c r="F690" s="7" t="s">
        <v>3192</v>
      </c>
      <c r="G690" s="7" t="s">
        <v>724</v>
      </c>
      <c r="H690" s="7" t="s">
        <v>3193</v>
      </c>
      <c r="I690" s="7" t="s">
        <v>3095</v>
      </c>
      <c r="J690" s="7" t="s">
        <v>682</v>
      </c>
    </row>
    <row r="691" spans="1:10">
      <c r="A691" s="7" t="s">
        <v>3194</v>
      </c>
      <c r="B691" s="7" t="s">
        <v>490</v>
      </c>
      <c r="C691" s="7" t="s">
        <v>825</v>
      </c>
      <c r="D691" s="7" t="s">
        <v>614</v>
      </c>
      <c r="E691" s="7" t="s">
        <v>821</v>
      </c>
      <c r="F691" s="7" t="s">
        <v>3195</v>
      </c>
      <c r="G691" s="7" t="s">
        <v>827</v>
      </c>
      <c r="H691" s="7" t="s">
        <v>3196</v>
      </c>
      <c r="I691" s="7" t="s">
        <v>3197</v>
      </c>
      <c r="J691" s="7" t="s">
        <v>621</v>
      </c>
    </row>
    <row r="692" spans="1:10">
      <c r="A692" s="7" t="s">
        <v>3198</v>
      </c>
      <c r="B692" s="7" t="s">
        <v>14</v>
      </c>
      <c r="C692" s="7" t="s">
        <v>825</v>
      </c>
      <c r="D692" s="7" t="s">
        <v>607</v>
      </c>
      <c r="E692" s="7" t="s">
        <v>1107</v>
      </c>
      <c r="F692" s="7" t="s">
        <v>3199</v>
      </c>
      <c r="G692" s="7" t="s">
        <v>921</v>
      </c>
      <c r="H692" s="7" t="s">
        <v>3200</v>
      </c>
      <c r="I692" s="7" t="s">
        <v>1598</v>
      </c>
      <c r="J692" s="7" t="s">
        <v>621</v>
      </c>
    </row>
    <row r="693" spans="1:10">
      <c r="A693" s="7" t="s">
        <v>3201</v>
      </c>
      <c r="B693" s="7" t="s">
        <v>212</v>
      </c>
      <c r="C693" s="7" t="s">
        <v>700</v>
      </c>
      <c r="D693" s="7" t="s">
        <v>614</v>
      </c>
      <c r="E693" s="7" t="s">
        <v>3202</v>
      </c>
      <c r="F693" s="7" t="s">
        <v>3203</v>
      </c>
      <c r="G693" s="7" t="s">
        <v>3204</v>
      </c>
      <c r="H693" s="7" t="s">
        <v>3205</v>
      </c>
      <c r="I693" s="7" t="s">
        <v>421</v>
      </c>
      <c r="J693" s="7" t="s">
        <v>613</v>
      </c>
    </row>
    <row r="694" spans="1:10">
      <c r="A694" s="7" t="s">
        <v>3206</v>
      </c>
      <c r="B694" s="7" t="s">
        <v>248</v>
      </c>
      <c r="C694" s="7" t="s">
        <v>627</v>
      </c>
      <c r="D694" s="7" t="s">
        <v>607</v>
      </c>
      <c r="E694" s="7" t="s">
        <v>712</v>
      </c>
      <c r="F694" s="7" t="s">
        <v>3207</v>
      </c>
      <c r="G694" s="7" t="s">
        <v>616</v>
      </c>
      <c r="H694" s="7" t="s">
        <v>3208</v>
      </c>
      <c r="I694" s="7" t="s">
        <v>2162</v>
      </c>
      <c r="J694" s="7" t="s">
        <v>621</v>
      </c>
    </row>
    <row r="695" spans="1:10">
      <c r="A695" s="7" t="s">
        <v>3209</v>
      </c>
      <c r="B695" s="7" t="s">
        <v>110</v>
      </c>
      <c r="C695" s="7" t="s">
        <v>716</v>
      </c>
      <c r="D695" s="7" t="s">
        <v>614</v>
      </c>
      <c r="E695" s="7" t="s">
        <v>793</v>
      </c>
      <c r="F695" s="7" t="s">
        <v>3210</v>
      </c>
      <c r="G695" s="7" t="s">
        <v>3211</v>
      </c>
      <c r="H695" s="7" t="s">
        <v>3212</v>
      </c>
      <c r="I695" s="7" t="s">
        <v>890</v>
      </c>
      <c r="J695" s="7" t="s">
        <v>613</v>
      </c>
    </row>
    <row r="696" spans="1:10">
      <c r="A696" s="7" t="s">
        <v>3213</v>
      </c>
      <c r="B696" s="7" t="s">
        <v>277</v>
      </c>
      <c r="C696" s="7" t="s">
        <v>716</v>
      </c>
      <c r="D696" s="7" t="s">
        <v>627</v>
      </c>
      <c r="E696" s="7" t="s">
        <v>610</v>
      </c>
      <c r="F696" s="7" t="s">
        <v>3214</v>
      </c>
      <c r="G696" s="7" t="s">
        <v>809</v>
      </c>
      <c r="H696" s="7" t="s">
        <v>3215</v>
      </c>
      <c r="I696" s="7" t="s">
        <v>297</v>
      </c>
      <c r="J696" s="7" t="s">
        <v>613</v>
      </c>
    </row>
    <row r="697" spans="1:10">
      <c r="A697" s="7" t="s">
        <v>3216</v>
      </c>
      <c r="B697" s="7" t="s">
        <v>277</v>
      </c>
      <c r="C697" s="7" t="s">
        <v>690</v>
      </c>
      <c r="D697" s="7" t="s">
        <v>622</v>
      </c>
      <c r="E697" s="7" t="s">
        <v>724</v>
      </c>
      <c r="F697" s="7" t="s">
        <v>3217</v>
      </c>
      <c r="G697" s="7" t="s">
        <v>809</v>
      </c>
      <c r="H697" s="7" t="s">
        <v>3218</v>
      </c>
      <c r="I697" s="7" t="s">
        <v>3219</v>
      </c>
      <c r="J697" s="7" t="s">
        <v>682</v>
      </c>
    </row>
    <row r="698" spans="1:10">
      <c r="A698" s="7" t="s">
        <v>3220</v>
      </c>
      <c r="B698" s="7" t="s">
        <v>158</v>
      </c>
      <c r="C698" s="7" t="s">
        <v>807</v>
      </c>
      <c r="D698" s="7" t="s">
        <v>605</v>
      </c>
      <c r="E698" s="7" t="s">
        <v>679</v>
      </c>
      <c r="F698" s="7" t="s">
        <v>3221</v>
      </c>
      <c r="G698" s="7" t="s">
        <v>724</v>
      </c>
      <c r="H698" s="7" t="s">
        <v>3222</v>
      </c>
      <c r="I698" s="7" t="s">
        <v>1114</v>
      </c>
      <c r="J698" s="7" t="s">
        <v>682</v>
      </c>
    </row>
    <row r="699" spans="1:10">
      <c r="A699" s="7" t="s">
        <v>3223</v>
      </c>
      <c r="B699" s="7" t="s">
        <v>356</v>
      </c>
      <c r="C699" s="7" t="s">
        <v>931</v>
      </c>
      <c r="D699" s="7" t="s">
        <v>622</v>
      </c>
      <c r="E699" s="7" t="s">
        <v>666</v>
      </c>
      <c r="F699" s="7" t="s">
        <v>3224</v>
      </c>
      <c r="G699" s="7" t="s">
        <v>1431</v>
      </c>
      <c r="H699" s="7" t="s">
        <v>3225</v>
      </c>
      <c r="I699" s="7" t="s">
        <v>1109</v>
      </c>
      <c r="J699" s="7" t="s">
        <v>648</v>
      </c>
    </row>
    <row r="700" spans="1:10">
      <c r="A700" s="7" t="s">
        <v>3226</v>
      </c>
      <c r="B700" s="7" t="s">
        <v>69</v>
      </c>
      <c r="C700" s="7" t="s">
        <v>605</v>
      </c>
      <c r="D700" s="7" t="s">
        <v>627</v>
      </c>
      <c r="E700" s="7" t="s">
        <v>1348</v>
      </c>
      <c r="F700" s="7" t="s">
        <v>3227</v>
      </c>
      <c r="G700" s="7" t="s">
        <v>2709</v>
      </c>
      <c r="H700" s="7" t="s">
        <v>3228</v>
      </c>
      <c r="I700" s="7" t="s">
        <v>936</v>
      </c>
      <c r="J700" s="7" t="s">
        <v>754</v>
      </c>
    </row>
    <row r="701" spans="1:10">
      <c r="A701" s="7" t="s">
        <v>3229</v>
      </c>
      <c r="B701" s="7" t="s">
        <v>39</v>
      </c>
      <c r="C701" s="7" t="s">
        <v>641</v>
      </c>
      <c r="D701" s="7" t="s">
        <v>605</v>
      </c>
      <c r="E701" s="7" t="s">
        <v>693</v>
      </c>
      <c r="F701" s="7" t="s">
        <v>3230</v>
      </c>
      <c r="G701" s="7" t="s">
        <v>1918</v>
      </c>
      <c r="H701" s="7" t="s">
        <v>3231</v>
      </c>
      <c r="I701" s="7" t="s">
        <v>1019</v>
      </c>
      <c r="J701" s="7" t="s">
        <v>682</v>
      </c>
    </row>
    <row r="702" spans="1:10">
      <c r="A702" s="7" t="s">
        <v>3232</v>
      </c>
      <c r="B702" s="7" t="s">
        <v>472</v>
      </c>
      <c r="C702" s="7" t="s">
        <v>615</v>
      </c>
      <c r="D702" s="7" t="s">
        <v>607</v>
      </c>
      <c r="E702" s="7" t="s">
        <v>616</v>
      </c>
      <c r="F702" s="7" t="s">
        <v>3233</v>
      </c>
      <c r="G702" s="7" t="s">
        <v>817</v>
      </c>
      <c r="H702" s="7" t="s">
        <v>3234</v>
      </c>
      <c r="I702" s="7" t="s">
        <v>1867</v>
      </c>
      <c r="J702" s="7" t="s">
        <v>621</v>
      </c>
    </row>
    <row r="703" spans="1:10">
      <c r="A703" s="7" t="s">
        <v>3235</v>
      </c>
      <c r="B703" s="7" t="s">
        <v>397</v>
      </c>
      <c r="C703" s="7" t="s">
        <v>696</v>
      </c>
      <c r="D703" s="7" t="s">
        <v>605</v>
      </c>
      <c r="E703" s="7" t="s">
        <v>921</v>
      </c>
      <c r="F703" s="7" t="s">
        <v>3236</v>
      </c>
      <c r="G703" s="7" t="s">
        <v>869</v>
      </c>
      <c r="H703" s="7" t="s">
        <v>3237</v>
      </c>
      <c r="I703" s="7" t="s">
        <v>2489</v>
      </c>
      <c r="J703" s="7" t="s">
        <v>621</v>
      </c>
    </row>
    <row r="704" spans="1:10">
      <c r="A704" s="7" t="s">
        <v>3238</v>
      </c>
      <c r="B704" s="7" t="s">
        <v>414</v>
      </c>
      <c r="C704" s="7" t="s">
        <v>886</v>
      </c>
      <c r="D704" s="7" t="s">
        <v>627</v>
      </c>
      <c r="E704" s="7" t="s">
        <v>1021</v>
      </c>
      <c r="F704" s="7" t="s">
        <v>3239</v>
      </c>
      <c r="G704" s="7" t="s">
        <v>937</v>
      </c>
      <c r="H704" s="7" t="s">
        <v>3240</v>
      </c>
      <c r="I704" s="7" t="s">
        <v>710</v>
      </c>
      <c r="J704" s="7" t="s">
        <v>648</v>
      </c>
    </row>
    <row r="705" spans="1:10">
      <c r="A705" s="7" t="s">
        <v>3241</v>
      </c>
      <c r="B705" s="7" t="s">
        <v>362</v>
      </c>
      <c r="C705" s="7" t="s">
        <v>894</v>
      </c>
      <c r="D705" s="7" t="s">
        <v>627</v>
      </c>
      <c r="E705" s="7" t="s">
        <v>666</v>
      </c>
      <c r="F705" s="7" t="s">
        <v>3242</v>
      </c>
      <c r="G705" s="7" t="s">
        <v>703</v>
      </c>
      <c r="H705" s="7" t="s">
        <v>3243</v>
      </c>
      <c r="I705" s="7" t="s">
        <v>2498</v>
      </c>
      <c r="J705" s="7" t="s">
        <v>648</v>
      </c>
    </row>
    <row r="706" spans="1:10">
      <c r="A706" s="7" t="s">
        <v>3244</v>
      </c>
      <c r="B706" s="7" t="s">
        <v>27</v>
      </c>
      <c r="C706" s="7" t="s">
        <v>649</v>
      </c>
      <c r="D706" s="7" t="s">
        <v>605</v>
      </c>
      <c r="E706" s="7" t="s">
        <v>610</v>
      </c>
      <c r="F706" s="7" t="s">
        <v>3245</v>
      </c>
      <c r="G706" s="7" t="s">
        <v>809</v>
      </c>
      <c r="H706" s="7" t="s">
        <v>3246</v>
      </c>
      <c r="I706" s="7" t="s">
        <v>2566</v>
      </c>
      <c r="J706" s="7" t="s">
        <v>682</v>
      </c>
    </row>
    <row r="707" spans="1:10">
      <c r="A707" s="7" t="s">
        <v>3247</v>
      </c>
      <c r="B707" s="7" t="s">
        <v>537</v>
      </c>
      <c r="C707" s="7" t="s">
        <v>606</v>
      </c>
      <c r="D707" s="7" t="s">
        <v>614</v>
      </c>
      <c r="E707" s="7" t="s">
        <v>2859</v>
      </c>
      <c r="F707" s="7" t="s">
        <v>3248</v>
      </c>
      <c r="G707" s="7" t="s">
        <v>3249</v>
      </c>
      <c r="H707" s="7" t="s">
        <v>3250</v>
      </c>
      <c r="I707" s="7" t="s">
        <v>59</v>
      </c>
      <c r="J707" s="7" t="s">
        <v>613</v>
      </c>
    </row>
    <row r="708" spans="1:10">
      <c r="A708" s="7" t="s">
        <v>3251</v>
      </c>
      <c r="B708" s="7" t="s">
        <v>218</v>
      </c>
      <c r="C708" s="7" t="s">
        <v>959</v>
      </c>
      <c r="D708" s="7" t="s">
        <v>627</v>
      </c>
      <c r="E708" s="7" t="s">
        <v>1156</v>
      </c>
      <c r="F708" s="7" t="s">
        <v>3252</v>
      </c>
      <c r="G708" s="7" t="s">
        <v>735</v>
      </c>
      <c r="H708" s="7" t="s">
        <v>3253</v>
      </c>
      <c r="I708" s="7" t="s">
        <v>1750</v>
      </c>
      <c r="J708" s="7" t="s">
        <v>633</v>
      </c>
    </row>
    <row r="709" spans="1:10">
      <c r="A709" s="7" t="s">
        <v>3254</v>
      </c>
      <c r="B709" s="7" t="s">
        <v>14</v>
      </c>
      <c r="C709" s="7" t="s">
        <v>723</v>
      </c>
      <c r="D709" s="7" t="s">
        <v>622</v>
      </c>
      <c r="E709" s="7" t="s">
        <v>679</v>
      </c>
      <c r="F709" s="7" t="s">
        <v>3255</v>
      </c>
      <c r="G709" s="7" t="s">
        <v>765</v>
      </c>
      <c r="H709" s="7" t="s">
        <v>3256</v>
      </c>
      <c r="I709" s="7" t="s">
        <v>1109</v>
      </c>
      <c r="J709" s="7" t="s">
        <v>682</v>
      </c>
    </row>
    <row r="710" spans="1:10">
      <c r="A710" s="7" t="s">
        <v>3257</v>
      </c>
      <c r="B710" s="7" t="s">
        <v>98</v>
      </c>
      <c r="C710" s="7" t="s">
        <v>886</v>
      </c>
      <c r="D710" s="7" t="s">
        <v>607</v>
      </c>
      <c r="E710" s="7" t="s">
        <v>666</v>
      </c>
      <c r="F710" s="7" t="s">
        <v>3258</v>
      </c>
      <c r="G710" s="7" t="s">
        <v>883</v>
      </c>
      <c r="H710" s="7" t="s">
        <v>3259</v>
      </c>
      <c r="I710" s="7" t="s">
        <v>94</v>
      </c>
      <c r="J710" s="7" t="s">
        <v>648</v>
      </c>
    </row>
    <row r="711" spans="1:10">
      <c r="A711" s="7" t="s">
        <v>3260</v>
      </c>
      <c r="B711" s="7" t="s">
        <v>514</v>
      </c>
      <c r="C711" s="7" t="s">
        <v>830</v>
      </c>
      <c r="D711" s="7" t="s">
        <v>607</v>
      </c>
      <c r="E711" s="7" t="s">
        <v>2020</v>
      </c>
      <c r="F711" s="7" t="s">
        <v>3261</v>
      </c>
      <c r="G711" s="7" t="s">
        <v>1070</v>
      </c>
      <c r="H711" s="7" t="s">
        <v>3262</v>
      </c>
      <c r="I711" s="7" t="s">
        <v>1319</v>
      </c>
      <c r="J711" s="7" t="s">
        <v>613</v>
      </c>
    </row>
    <row r="712" spans="1:10">
      <c r="A712" s="7" t="s">
        <v>3263</v>
      </c>
      <c r="B712" s="7" t="s">
        <v>548</v>
      </c>
      <c r="C712" s="7" t="s">
        <v>949</v>
      </c>
      <c r="D712" s="7" t="s">
        <v>622</v>
      </c>
      <c r="E712" s="7" t="s">
        <v>996</v>
      </c>
      <c r="F712" s="7" t="s">
        <v>3264</v>
      </c>
      <c r="G712" s="7" t="s">
        <v>1383</v>
      </c>
      <c r="H712" s="7" t="s">
        <v>3265</v>
      </c>
      <c r="I712" s="7" t="s">
        <v>421</v>
      </c>
      <c r="J712" s="7" t="s">
        <v>640</v>
      </c>
    </row>
    <row r="713" spans="1:10">
      <c r="A713" s="7" t="s">
        <v>3266</v>
      </c>
      <c r="B713" s="7" t="s">
        <v>339</v>
      </c>
      <c r="C713" s="7" t="s">
        <v>863</v>
      </c>
      <c r="D713" s="7" t="s">
        <v>607</v>
      </c>
      <c r="E713" s="7" t="s">
        <v>2696</v>
      </c>
      <c r="F713" s="7" t="s">
        <v>3267</v>
      </c>
      <c r="G713" s="7" t="s">
        <v>2135</v>
      </c>
      <c r="H713" s="7" t="s">
        <v>3268</v>
      </c>
      <c r="I713" s="7" t="s">
        <v>2451</v>
      </c>
      <c r="J713" s="7" t="s">
        <v>754</v>
      </c>
    </row>
    <row r="714" spans="1:10">
      <c r="A714" s="7" t="s">
        <v>3269</v>
      </c>
      <c r="B714" s="7" t="s">
        <v>478</v>
      </c>
      <c r="C714" s="7" t="s">
        <v>811</v>
      </c>
      <c r="D714" s="7" t="s">
        <v>622</v>
      </c>
      <c r="E714" s="7" t="s">
        <v>658</v>
      </c>
      <c r="F714" s="7" t="s">
        <v>3270</v>
      </c>
      <c r="G714" s="7" t="s">
        <v>698</v>
      </c>
      <c r="H714" s="7" t="s">
        <v>3271</v>
      </c>
      <c r="I714" s="7" t="s">
        <v>421</v>
      </c>
      <c r="J714" s="7" t="s">
        <v>621</v>
      </c>
    </row>
    <row r="715" spans="1:10">
      <c r="A715" s="7" t="s">
        <v>3272</v>
      </c>
      <c r="B715" s="7" t="s">
        <v>318</v>
      </c>
      <c r="C715" s="7" t="s">
        <v>926</v>
      </c>
      <c r="D715" s="7" t="s">
        <v>614</v>
      </c>
      <c r="E715" s="7" t="s">
        <v>1000</v>
      </c>
      <c r="F715" s="7" t="s">
        <v>3273</v>
      </c>
      <c r="G715" s="7" t="s">
        <v>1072</v>
      </c>
      <c r="H715" s="7" t="s">
        <v>3150</v>
      </c>
      <c r="I715" s="7" t="s">
        <v>3274</v>
      </c>
      <c r="J715" s="7" t="s">
        <v>754</v>
      </c>
    </row>
    <row r="716" spans="1:10">
      <c r="A716" s="7" t="s">
        <v>3275</v>
      </c>
      <c r="B716" s="7" t="s">
        <v>408</v>
      </c>
      <c r="C716" s="7" t="s">
        <v>684</v>
      </c>
      <c r="D716" s="7" t="s">
        <v>627</v>
      </c>
      <c r="E716" s="7" t="s">
        <v>3276</v>
      </c>
      <c r="F716" s="7" t="s">
        <v>3277</v>
      </c>
      <c r="G716" s="7" t="s">
        <v>3211</v>
      </c>
      <c r="H716" s="7" t="s">
        <v>3278</v>
      </c>
      <c r="I716" s="7" t="s">
        <v>100</v>
      </c>
      <c r="J716" s="7" t="s">
        <v>633</v>
      </c>
    </row>
    <row r="717" spans="1:10">
      <c r="A717" s="7" t="s">
        <v>3279</v>
      </c>
      <c r="B717" s="7" t="s">
        <v>449</v>
      </c>
      <c r="C717" s="7" t="s">
        <v>824</v>
      </c>
      <c r="D717" s="7" t="s">
        <v>622</v>
      </c>
      <c r="E717" s="7" t="s">
        <v>1481</v>
      </c>
      <c r="F717" s="7" t="s">
        <v>3280</v>
      </c>
      <c r="G717" s="7" t="s">
        <v>645</v>
      </c>
      <c r="H717" s="7" t="s">
        <v>3281</v>
      </c>
      <c r="I717" s="7" t="s">
        <v>47</v>
      </c>
      <c r="J717" s="7" t="s">
        <v>613</v>
      </c>
    </row>
    <row r="718" spans="1:10">
      <c r="A718" s="7" t="s">
        <v>3282</v>
      </c>
      <c r="B718" s="7" t="s">
        <v>350</v>
      </c>
      <c r="C718" s="7" t="s">
        <v>606</v>
      </c>
      <c r="D718" s="7" t="s">
        <v>607</v>
      </c>
      <c r="E718" s="7" t="s">
        <v>927</v>
      </c>
      <c r="F718" s="7" t="s">
        <v>3283</v>
      </c>
      <c r="G718" s="7" t="s">
        <v>910</v>
      </c>
      <c r="H718" s="7" t="s">
        <v>3284</v>
      </c>
      <c r="I718" s="7" t="s">
        <v>3285</v>
      </c>
      <c r="J718" s="7" t="s">
        <v>613</v>
      </c>
    </row>
    <row r="719" spans="1:10">
      <c r="A719" s="7" t="s">
        <v>3286</v>
      </c>
      <c r="B719" s="7" t="s">
        <v>170</v>
      </c>
      <c r="C719" s="7" t="s">
        <v>839</v>
      </c>
      <c r="D719" s="7" t="s">
        <v>605</v>
      </c>
      <c r="E719" s="7" t="s">
        <v>733</v>
      </c>
      <c r="F719" s="7" t="s">
        <v>3287</v>
      </c>
      <c r="G719" s="7" t="s">
        <v>897</v>
      </c>
      <c r="H719" s="7" t="s">
        <v>3288</v>
      </c>
      <c r="I719" s="7" t="s">
        <v>3289</v>
      </c>
      <c r="J719" s="7" t="s">
        <v>640</v>
      </c>
    </row>
    <row r="720" spans="1:10">
      <c r="A720" s="7" t="s">
        <v>3290</v>
      </c>
      <c r="B720" s="7" t="s">
        <v>543</v>
      </c>
      <c r="C720" s="7" t="s">
        <v>901</v>
      </c>
      <c r="D720" s="7" t="s">
        <v>622</v>
      </c>
      <c r="E720" s="7" t="s">
        <v>685</v>
      </c>
      <c r="F720" s="7" t="s">
        <v>3291</v>
      </c>
      <c r="G720" s="7" t="s">
        <v>625</v>
      </c>
      <c r="H720" s="7" t="s">
        <v>3292</v>
      </c>
      <c r="I720" s="7" t="s">
        <v>591</v>
      </c>
      <c r="J720" s="7" t="s">
        <v>633</v>
      </c>
    </row>
    <row r="721" spans="1:10">
      <c r="A721" s="7" t="s">
        <v>3293</v>
      </c>
      <c r="B721" s="7" t="s">
        <v>271</v>
      </c>
      <c r="C721" s="7" t="s">
        <v>738</v>
      </c>
      <c r="D721" s="7" t="s">
        <v>607</v>
      </c>
      <c r="E721" s="7" t="s">
        <v>917</v>
      </c>
      <c r="F721" s="7" t="s">
        <v>3294</v>
      </c>
      <c r="G721" s="7" t="s">
        <v>3295</v>
      </c>
      <c r="H721" s="7" t="s">
        <v>3296</v>
      </c>
      <c r="I721" s="7" t="s">
        <v>214</v>
      </c>
      <c r="J721" s="7" t="s">
        <v>754</v>
      </c>
    </row>
    <row r="722" spans="1:10">
      <c r="A722" s="7" t="s">
        <v>3297</v>
      </c>
      <c r="B722" s="7" t="s">
        <v>134</v>
      </c>
      <c r="C722" s="7" t="s">
        <v>622</v>
      </c>
      <c r="D722" s="7" t="s">
        <v>607</v>
      </c>
      <c r="E722" s="7" t="s">
        <v>1158</v>
      </c>
      <c r="F722" s="7" t="s">
        <v>3298</v>
      </c>
      <c r="G722" s="7" t="s">
        <v>1219</v>
      </c>
      <c r="H722" s="7" t="s">
        <v>3299</v>
      </c>
      <c r="I722" s="7" t="s">
        <v>3300</v>
      </c>
      <c r="J722" s="7" t="s">
        <v>640</v>
      </c>
    </row>
    <row r="723" spans="1:10">
      <c r="A723" s="7" t="s">
        <v>3301</v>
      </c>
      <c r="B723" s="7" t="s">
        <v>265</v>
      </c>
      <c r="C723" s="7" t="s">
        <v>690</v>
      </c>
      <c r="D723" s="7" t="s">
        <v>607</v>
      </c>
      <c r="E723" s="7" t="s">
        <v>677</v>
      </c>
      <c r="F723" s="7" t="s">
        <v>3302</v>
      </c>
      <c r="G723" s="7" t="s">
        <v>672</v>
      </c>
      <c r="H723" s="7" t="s">
        <v>3303</v>
      </c>
      <c r="I723" s="7" t="s">
        <v>3304</v>
      </c>
      <c r="J723" s="7" t="s">
        <v>682</v>
      </c>
    </row>
    <row r="724" spans="1:10">
      <c r="A724" s="7" t="s">
        <v>3305</v>
      </c>
      <c r="B724" s="7" t="s">
        <v>271</v>
      </c>
      <c r="C724" s="7" t="s">
        <v>628</v>
      </c>
      <c r="D724" s="7" t="s">
        <v>622</v>
      </c>
      <c r="E724" s="7" t="s">
        <v>996</v>
      </c>
      <c r="F724" s="7" t="s">
        <v>3306</v>
      </c>
      <c r="G724" s="7" t="s">
        <v>1186</v>
      </c>
      <c r="H724" s="7" t="s">
        <v>3307</v>
      </c>
      <c r="I724" s="7" t="s">
        <v>2780</v>
      </c>
      <c r="J724" s="7" t="s">
        <v>633</v>
      </c>
    </row>
    <row r="725" spans="1:10">
      <c r="A725" s="7" t="s">
        <v>3308</v>
      </c>
      <c r="B725" s="7" t="s">
        <v>350</v>
      </c>
      <c r="C725" s="7" t="s">
        <v>876</v>
      </c>
      <c r="D725" s="7" t="s">
        <v>605</v>
      </c>
      <c r="E725" s="7" t="s">
        <v>1787</v>
      </c>
      <c r="F725" s="7" t="s">
        <v>3309</v>
      </c>
      <c r="G725" s="7" t="s">
        <v>1734</v>
      </c>
      <c r="H725" s="7" t="s">
        <v>3310</v>
      </c>
      <c r="I725" s="7" t="s">
        <v>244</v>
      </c>
      <c r="J725" s="7" t="s">
        <v>754</v>
      </c>
    </row>
    <row r="726" spans="1:10">
      <c r="A726" s="7" t="s">
        <v>3311</v>
      </c>
      <c r="B726" s="7" t="s">
        <v>212</v>
      </c>
      <c r="C726" s="7" t="s">
        <v>802</v>
      </c>
      <c r="D726" s="7" t="s">
        <v>622</v>
      </c>
      <c r="E726" s="7" t="s">
        <v>763</v>
      </c>
      <c r="F726" s="7" t="s">
        <v>3312</v>
      </c>
      <c r="G726" s="7" t="s">
        <v>974</v>
      </c>
      <c r="H726" s="7" t="s">
        <v>3313</v>
      </c>
      <c r="I726" s="7" t="s">
        <v>1142</v>
      </c>
      <c r="J726" s="7" t="s">
        <v>682</v>
      </c>
    </row>
    <row r="727" spans="1:10">
      <c r="A727" s="7" t="s">
        <v>3314</v>
      </c>
      <c r="B727" s="7" t="s">
        <v>265</v>
      </c>
      <c r="C727" s="7" t="s">
        <v>797</v>
      </c>
      <c r="D727" s="7" t="s">
        <v>614</v>
      </c>
      <c r="E727" s="7" t="s">
        <v>1476</v>
      </c>
      <c r="F727" s="7" t="s">
        <v>3315</v>
      </c>
      <c r="G727" s="7" t="s">
        <v>952</v>
      </c>
      <c r="H727" s="7" t="s">
        <v>3316</v>
      </c>
      <c r="I727" s="7" t="s">
        <v>2166</v>
      </c>
      <c r="J727" s="7" t="s">
        <v>648</v>
      </c>
    </row>
    <row r="728" spans="1:10">
      <c r="A728" s="7" t="s">
        <v>3317</v>
      </c>
      <c r="B728" s="7" t="s">
        <v>362</v>
      </c>
      <c r="C728" s="7" t="s">
        <v>683</v>
      </c>
      <c r="D728" s="7" t="s">
        <v>607</v>
      </c>
      <c r="E728" s="7" t="s">
        <v>869</v>
      </c>
      <c r="F728" s="7" t="s">
        <v>3318</v>
      </c>
      <c r="G728" s="7" t="s">
        <v>1463</v>
      </c>
      <c r="H728" s="7" t="s">
        <v>3319</v>
      </c>
      <c r="I728" s="7" t="s">
        <v>399</v>
      </c>
      <c r="J728" s="7" t="s">
        <v>613</v>
      </c>
    </row>
    <row r="729" spans="1:10">
      <c r="A729" s="7" t="s">
        <v>3320</v>
      </c>
      <c r="B729" s="7" t="s">
        <v>431</v>
      </c>
      <c r="C729" s="7" t="s">
        <v>728</v>
      </c>
      <c r="D729" s="7" t="s">
        <v>614</v>
      </c>
      <c r="E729" s="7" t="s">
        <v>895</v>
      </c>
      <c r="F729" s="7" t="s">
        <v>3321</v>
      </c>
      <c r="G729" s="7" t="s">
        <v>635</v>
      </c>
      <c r="H729" s="7" t="s">
        <v>3322</v>
      </c>
      <c r="I729" s="7" t="s">
        <v>9</v>
      </c>
      <c r="J729" s="7" t="s">
        <v>640</v>
      </c>
    </row>
    <row r="730" spans="1:10">
      <c r="A730" s="7" t="s">
        <v>3323</v>
      </c>
      <c r="B730" s="7" t="s">
        <v>182</v>
      </c>
      <c r="C730" s="7" t="s">
        <v>711</v>
      </c>
      <c r="D730" s="7" t="s">
        <v>605</v>
      </c>
      <c r="E730" s="7" t="s">
        <v>2985</v>
      </c>
      <c r="F730" s="7" t="s">
        <v>3324</v>
      </c>
      <c r="G730" s="7" t="s">
        <v>1360</v>
      </c>
      <c r="H730" s="7" t="s">
        <v>3325</v>
      </c>
      <c r="I730" s="7" t="s">
        <v>779</v>
      </c>
      <c r="J730" s="7" t="s">
        <v>613</v>
      </c>
    </row>
    <row r="731" spans="1:10">
      <c r="A731" s="7" t="s">
        <v>3326</v>
      </c>
      <c r="B731" s="7" t="s">
        <v>572</v>
      </c>
      <c r="C731" s="7" t="s">
        <v>909</v>
      </c>
      <c r="D731" s="7" t="s">
        <v>605</v>
      </c>
      <c r="E731" s="7" t="s">
        <v>768</v>
      </c>
      <c r="F731" s="7" t="s">
        <v>3327</v>
      </c>
      <c r="G731" s="7" t="s">
        <v>950</v>
      </c>
      <c r="H731" s="7" t="s">
        <v>3328</v>
      </c>
      <c r="I731" s="7" t="s">
        <v>2763</v>
      </c>
      <c r="J731" s="7" t="s">
        <v>648</v>
      </c>
    </row>
    <row r="732" spans="1:10">
      <c r="A732" s="7" t="s">
        <v>3329</v>
      </c>
      <c r="B732" s="7" t="s">
        <v>490</v>
      </c>
      <c r="C732" s="7" t="s">
        <v>909</v>
      </c>
      <c r="D732" s="7" t="s">
        <v>607</v>
      </c>
      <c r="E732" s="7" t="s">
        <v>950</v>
      </c>
      <c r="F732" s="7" t="s">
        <v>3330</v>
      </c>
      <c r="G732" s="7" t="s">
        <v>955</v>
      </c>
      <c r="H732" s="7" t="s">
        <v>3331</v>
      </c>
      <c r="I732" s="7" t="s">
        <v>16</v>
      </c>
      <c r="J732" s="7" t="s">
        <v>648</v>
      </c>
    </row>
    <row r="733" spans="1:10">
      <c r="A733" s="7" t="s">
        <v>3332</v>
      </c>
      <c r="B733" s="7" t="s">
        <v>514</v>
      </c>
      <c r="C733" s="7" t="s">
        <v>605</v>
      </c>
      <c r="D733" s="7" t="s">
        <v>614</v>
      </c>
      <c r="E733" s="7" t="s">
        <v>1691</v>
      </c>
      <c r="F733" s="7" t="s">
        <v>3333</v>
      </c>
      <c r="G733" s="7" t="s">
        <v>2630</v>
      </c>
      <c r="H733" s="7" t="s">
        <v>3334</v>
      </c>
      <c r="I733" s="7" t="s">
        <v>2583</v>
      </c>
      <c r="J733" s="7" t="s">
        <v>754</v>
      </c>
    </row>
    <row r="734" spans="1:10">
      <c r="A734" s="7" t="s">
        <v>3335</v>
      </c>
      <c r="B734" s="7" t="s">
        <v>356</v>
      </c>
      <c r="C734" s="7" t="s">
        <v>732</v>
      </c>
      <c r="D734" s="7" t="s">
        <v>622</v>
      </c>
      <c r="E734" s="7" t="s">
        <v>1647</v>
      </c>
      <c r="F734" s="7" t="s">
        <v>3336</v>
      </c>
      <c r="G734" s="7" t="s">
        <v>3337</v>
      </c>
      <c r="H734" s="7" t="s">
        <v>3338</v>
      </c>
      <c r="I734" s="7" t="s">
        <v>746</v>
      </c>
      <c r="J734" s="7" t="s">
        <v>633</v>
      </c>
    </row>
    <row r="735" spans="1:10">
      <c r="A735" s="7" t="s">
        <v>3339</v>
      </c>
      <c r="B735" s="7" t="s">
        <v>51</v>
      </c>
      <c r="C735" s="7" t="s">
        <v>839</v>
      </c>
      <c r="D735" s="7" t="s">
        <v>622</v>
      </c>
      <c r="E735" s="7" t="s">
        <v>635</v>
      </c>
      <c r="F735" s="7" t="s">
        <v>3340</v>
      </c>
      <c r="G735" s="7" t="s">
        <v>730</v>
      </c>
      <c r="H735" s="7" t="s">
        <v>3341</v>
      </c>
      <c r="I735" s="7" t="s">
        <v>662</v>
      </c>
      <c r="J735" s="7" t="s">
        <v>640</v>
      </c>
    </row>
    <row r="736" spans="1:10">
      <c r="A736" s="7" t="s">
        <v>3342</v>
      </c>
      <c r="B736" s="7" t="s">
        <v>224</v>
      </c>
      <c r="C736" s="7" t="s">
        <v>669</v>
      </c>
      <c r="D736" s="7" t="s">
        <v>605</v>
      </c>
      <c r="E736" s="7" t="s">
        <v>1975</v>
      </c>
      <c r="F736" s="7" t="s">
        <v>3343</v>
      </c>
      <c r="G736" s="7" t="s">
        <v>996</v>
      </c>
      <c r="H736" s="7" t="s">
        <v>3344</v>
      </c>
      <c r="I736" s="7" t="s">
        <v>788</v>
      </c>
      <c r="J736" s="7" t="s">
        <v>613</v>
      </c>
    </row>
    <row r="737" spans="1:10">
      <c r="A737" s="7" t="s">
        <v>3345</v>
      </c>
      <c r="B737" s="7" t="s">
        <v>51</v>
      </c>
      <c r="C737" s="7" t="s">
        <v>959</v>
      </c>
      <c r="D737" s="7" t="s">
        <v>607</v>
      </c>
      <c r="E737" s="7" t="s">
        <v>3346</v>
      </c>
      <c r="F737" s="7" t="s">
        <v>3347</v>
      </c>
      <c r="G737" s="7" t="s">
        <v>1259</v>
      </c>
      <c r="H737" s="7" t="s">
        <v>3348</v>
      </c>
      <c r="I737" s="7" t="s">
        <v>2162</v>
      </c>
      <c r="J737" s="7" t="s">
        <v>633</v>
      </c>
    </row>
    <row r="738" spans="1:10">
      <c r="A738" s="7" t="s">
        <v>3349</v>
      </c>
      <c r="B738" s="7" t="s">
        <v>403</v>
      </c>
      <c r="C738" s="7" t="s">
        <v>855</v>
      </c>
      <c r="D738" s="7" t="s">
        <v>607</v>
      </c>
      <c r="E738" s="7" t="s">
        <v>3350</v>
      </c>
      <c r="F738" s="7" t="s">
        <v>3351</v>
      </c>
      <c r="G738" s="7" t="s">
        <v>3173</v>
      </c>
      <c r="H738" s="7" t="s">
        <v>3352</v>
      </c>
      <c r="I738" s="7" t="s">
        <v>1203</v>
      </c>
      <c r="J738" s="7" t="s">
        <v>613</v>
      </c>
    </row>
    <row r="739" spans="1:10">
      <c r="A739" s="7" t="s">
        <v>3353</v>
      </c>
      <c r="B739" s="7" t="s">
        <v>578</v>
      </c>
      <c r="C739" s="7" t="s">
        <v>676</v>
      </c>
      <c r="D739" s="7" t="s">
        <v>607</v>
      </c>
      <c r="E739" s="7" t="s">
        <v>679</v>
      </c>
      <c r="F739" s="7" t="s">
        <v>3354</v>
      </c>
      <c r="G739" s="7" t="s">
        <v>1918</v>
      </c>
      <c r="H739" s="7" t="s">
        <v>3355</v>
      </c>
      <c r="I739" s="7" t="s">
        <v>273</v>
      </c>
      <c r="J739" s="7" t="s">
        <v>682</v>
      </c>
    </row>
    <row r="740" spans="1:10">
      <c r="A740" s="7" t="s">
        <v>3356</v>
      </c>
      <c r="B740" s="7" t="s">
        <v>554</v>
      </c>
      <c r="C740" s="7" t="s">
        <v>747</v>
      </c>
      <c r="D740" s="7" t="s">
        <v>607</v>
      </c>
      <c r="E740" s="7" t="s">
        <v>3189</v>
      </c>
      <c r="F740" s="7" t="s">
        <v>3357</v>
      </c>
      <c r="G740" s="7" t="s">
        <v>1156</v>
      </c>
      <c r="H740" s="7" t="s">
        <v>3358</v>
      </c>
      <c r="I740" s="7" t="s">
        <v>941</v>
      </c>
      <c r="J740" s="7" t="s">
        <v>633</v>
      </c>
    </row>
    <row r="741" spans="1:10">
      <c r="A741" s="7" t="s">
        <v>3359</v>
      </c>
      <c r="B741" s="7" t="s">
        <v>27</v>
      </c>
      <c r="C741" s="7" t="s">
        <v>669</v>
      </c>
      <c r="D741" s="7" t="s">
        <v>627</v>
      </c>
      <c r="E741" s="7" t="s">
        <v>616</v>
      </c>
      <c r="F741" s="7" t="s">
        <v>3360</v>
      </c>
      <c r="G741" s="7" t="s">
        <v>864</v>
      </c>
      <c r="H741" s="7" t="s">
        <v>3361</v>
      </c>
      <c r="I741" s="7" t="s">
        <v>3095</v>
      </c>
      <c r="J741" s="7" t="s">
        <v>613</v>
      </c>
    </row>
    <row r="742" spans="1:10">
      <c r="A742" s="7" t="s">
        <v>3362</v>
      </c>
      <c r="B742" s="7" t="s">
        <v>425</v>
      </c>
      <c r="C742" s="7" t="s">
        <v>886</v>
      </c>
      <c r="D742" s="7" t="s">
        <v>607</v>
      </c>
      <c r="E742" s="7" t="s">
        <v>1021</v>
      </c>
      <c r="F742" s="7" t="s">
        <v>3363</v>
      </c>
      <c r="G742" s="7" t="s">
        <v>937</v>
      </c>
      <c r="H742" s="7" t="s">
        <v>3364</v>
      </c>
      <c r="I742" s="7" t="s">
        <v>1677</v>
      </c>
      <c r="J742" s="7" t="s">
        <v>648</v>
      </c>
    </row>
    <row r="743" spans="1:10">
      <c r="A743" s="7" t="s">
        <v>3365</v>
      </c>
      <c r="B743" s="7" t="s">
        <v>525</v>
      </c>
      <c r="C743" s="7" t="s">
        <v>886</v>
      </c>
      <c r="D743" s="7" t="s">
        <v>607</v>
      </c>
      <c r="E743" s="7" t="s">
        <v>1426</v>
      </c>
      <c r="F743" s="7" t="s">
        <v>3366</v>
      </c>
      <c r="G743" s="7" t="s">
        <v>645</v>
      </c>
      <c r="H743" s="7" t="s">
        <v>3367</v>
      </c>
      <c r="I743" s="7" t="s">
        <v>9</v>
      </c>
      <c r="J743" s="7" t="s">
        <v>648</v>
      </c>
    </row>
    <row r="744" spans="1:10">
      <c r="A744" s="7" t="s">
        <v>3368</v>
      </c>
      <c r="B744" s="7" t="s">
        <v>271</v>
      </c>
      <c r="C744" s="7" t="s">
        <v>627</v>
      </c>
      <c r="D744" s="7" t="s">
        <v>614</v>
      </c>
      <c r="E744" s="7" t="s">
        <v>739</v>
      </c>
      <c r="F744" s="7" t="s">
        <v>3369</v>
      </c>
      <c r="G744" s="7" t="s">
        <v>618</v>
      </c>
      <c r="H744" s="7" t="s">
        <v>3370</v>
      </c>
      <c r="I744" s="7" t="s">
        <v>421</v>
      </c>
      <c r="J744" s="7" t="s">
        <v>621</v>
      </c>
    </row>
    <row r="745" spans="1:10">
      <c r="A745" s="7" t="s">
        <v>3371</v>
      </c>
      <c r="B745" s="7" t="s">
        <v>140</v>
      </c>
      <c r="C745" s="7" t="s">
        <v>650</v>
      </c>
      <c r="D745" s="7" t="s">
        <v>627</v>
      </c>
      <c r="E745" s="7" t="s">
        <v>1192</v>
      </c>
      <c r="F745" s="7" t="s">
        <v>3372</v>
      </c>
      <c r="G745" s="7" t="s">
        <v>3157</v>
      </c>
      <c r="H745" s="7" t="s">
        <v>3373</v>
      </c>
      <c r="I745" s="7" t="s">
        <v>1629</v>
      </c>
      <c r="J745" s="7" t="s">
        <v>633</v>
      </c>
    </row>
    <row r="746" spans="1:10">
      <c r="A746" s="7" t="s">
        <v>3374</v>
      </c>
      <c r="B746" s="7" t="s">
        <v>312</v>
      </c>
      <c r="C746" s="7" t="s">
        <v>843</v>
      </c>
      <c r="D746" s="7" t="s">
        <v>605</v>
      </c>
      <c r="E746" s="7" t="s">
        <v>616</v>
      </c>
      <c r="F746" s="7" t="s">
        <v>3375</v>
      </c>
      <c r="G746" s="7" t="s">
        <v>739</v>
      </c>
      <c r="H746" s="7" t="s">
        <v>3376</v>
      </c>
      <c r="I746" s="7" t="s">
        <v>94</v>
      </c>
      <c r="J746" s="7" t="s">
        <v>621</v>
      </c>
    </row>
    <row r="747" spans="1:10">
      <c r="A747" s="7" t="s">
        <v>3377</v>
      </c>
      <c r="B747" s="7" t="s">
        <v>306</v>
      </c>
      <c r="C747" s="7" t="s">
        <v>802</v>
      </c>
      <c r="D747" s="7" t="s">
        <v>614</v>
      </c>
      <c r="E747" s="7" t="s">
        <v>677</v>
      </c>
      <c r="F747" s="7" t="s">
        <v>3378</v>
      </c>
      <c r="G747" s="7" t="s">
        <v>763</v>
      </c>
      <c r="H747" s="7" t="s">
        <v>3379</v>
      </c>
      <c r="I747" s="7" t="s">
        <v>433</v>
      </c>
      <c r="J747" s="7" t="s">
        <v>682</v>
      </c>
    </row>
    <row r="748" spans="1:10">
      <c r="A748" s="7" t="s">
        <v>3380</v>
      </c>
      <c r="B748" s="7" t="s">
        <v>57</v>
      </c>
      <c r="C748" s="7" t="s">
        <v>641</v>
      </c>
      <c r="D748" s="7" t="s">
        <v>627</v>
      </c>
      <c r="E748" s="7" t="s">
        <v>763</v>
      </c>
      <c r="F748" s="7" t="s">
        <v>3381</v>
      </c>
      <c r="G748" s="7" t="s">
        <v>974</v>
      </c>
      <c r="H748" s="7" t="s">
        <v>3382</v>
      </c>
      <c r="I748" s="7" t="s">
        <v>314</v>
      </c>
      <c r="J748" s="7" t="s">
        <v>682</v>
      </c>
    </row>
    <row r="749" spans="1:10">
      <c r="A749" s="7" t="s">
        <v>3383</v>
      </c>
      <c r="B749" s="7" t="s">
        <v>466</v>
      </c>
      <c r="C749" s="7" t="s">
        <v>762</v>
      </c>
      <c r="D749" s="7" t="s">
        <v>605</v>
      </c>
      <c r="E749" s="7" t="s">
        <v>763</v>
      </c>
      <c r="F749" s="7" t="s">
        <v>3384</v>
      </c>
      <c r="G749" s="7" t="s">
        <v>724</v>
      </c>
      <c r="H749" s="7" t="s">
        <v>3385</v>
      </c>
      <c r="I749" s="7" t="s">
        <v>100</v>
      </c>
      <c r="J749" s="7" t="s">
        <v>682</v>
      </c>
    </row>
    <row r="750" spans="1:10">
      <c r="A750" s="7" t="s">
        <v>3386</v>
      </c>
      <c r="B750" s="7" t="s">
        <v>584</v>
      </c>
      <c r="C750" s="7" t="s">
        <v>683</v>
      </c>
      <c r="D750" s="7" t="s">
        <v>614</v>
      </c>
      <c r="E750" s="7" t="s">
        <v>1100</v>
      </c>
      <c r="F750" s="7" t="s">
        <v>3387</v>
      </c>
      <c r="G750" s="7" t="s">
        <v>1812</v>
      </c>
      <c r="H750" s="7" t="s">
        <v>3388</v>
      </c>
      <c r="I750" s="7" t="s">
        <v>655</v>
      </c>
      <c r="J750" s="7" t="s">
        <v>613</v>
      </c>
    </row>
    <row r="751" spans="1:10">
      <c r="A751" s="7" t="s">
        <v>3389</v>
      </c>
      <c r="B751" s="7" t="s">
        <v>134</v>
      </c>
      <c r="C751" s="7" t="s">
        <v>722</v>
      </c>
      <c r="D751" s="7" t="s">
        <v>622</v>
      </c>
      <c r="E751" s="7" t="s">
        <v>895</v>
      </c>
      <c r="F751" s="7" t="s">
        <v>3390</v>
      </c>
      <c r="G751" s="7" t="s">
        <v>730</v>
      </c>
      <c r="H751" s="7" t="s">
        <v>3391</v>
      </c>
      <c r="I751" s="7" t="s">
        <v>2247</v>
      </c>
      <c r="J751" s="7" t="s">
        <v>640</v>
      </c>
    </row>
    <row r="752" spans="1:10">
      <c r="A752" s="7" t="s">
        <v>3392</v>
      </c>
      <c r="B752" s="7" t="s">
        <v>496</v>
      </c>
      <c r="C752" s="7" t="s">
        <v>716</v>
      </c>
      <c r="D752" s="7" t="s">
        <v>607</v>
      </c>
      <c r="E752" s="7" t="s">
        <v>1488</v>
      </c>
      <c r="F752" s="7" t="s">
        <v>3393</v>
      </c>
      <c r="G752" s="7" t="s">
        <v>793</v>
      </c>
      <c r="H752" s="7" t="s">
        <v>3394</v>
      </c>
      <c r="I752" s="7" t="s">
        <v>695</v>
      </c>
      <c r="J752" s="7" t="s">
        <v>613</v>
      </c>
    </row>
    <row r="753" spans="1:10">
      <c r="A753" s="7" t="s">
        <v>3395</v>
      </c>
      <c r="B753" s="7" t="s">
        <v>206</v>
      </c>
      <c r="C753" s="7" t="s">
        <v>622</v>
      </c>
      <c r="D753" s="7" t="s">
        <v>607</v>
      </c>
      <c r="E753" s="7" t="s">
        <v>812</v>
      </c>
      <c r="F753" s="7" t="s">
        <v>3396</v>
      </c>
      <c r="G753" s="7" t="s">
        <v>735</v>
      </c>
      <c r="H753" s="7" t="s">
        <v>3397</v>
      </c>
      <c r="I753" s="7" t="s">
        <v>971</v>
      </c>
      <c r="J753" s="7" t="s">
        <v>640</v>
      </c>
    </row>
    <row r="754" spans="1:10">
      <c r="A754" s="7" t="s">
        <v>3398</v>
      </c>
      <c r="B754" s="7" t="s">
        <v>271</v>
      </c>
      <c r="C754" s="7" t="s">
        <v>696</v>
      </c>
      <c r="D754" s="7" t="s">
        <v>605</v>
      </c>
      <c r="E754" s="7" t="s">
        <v>1107</v>
      </c>
      <c r="F754" s="7" t="s">
        <v>3399</v>
      </c>
      <c r="G754" s="7" t="s">
        <v>864</v>
      </c>
      <c r="H754" s="7" t="s">
        <v>3400</v>
      </c>
      <c r="I754" s="7" t="s">
        <v>1892</v>
      </c>
      <c r="J754" s="7" t="s">
        <v>621</v>
      </c>
    </row>
    <row r="755" spans="1:10">
      <c r="A755" s="7" t="s">
        <v>3401</v>
      </c>
      <c r="B755" s="7" t="s">
        <v>490</v>
      </c>
      <c r="C755" s="7" t="s">
        <v>876</v>
      </c>
      <c r="D755" s="7" t="s">
        <v>614</v>
      </c>
      <c r="E755" s="7" t="s">
        <v>1087</v>
      </c>
      <c r="F755" s="7" t="s">
        <v>3402</v>
      </c>
      <c r="G755" s="7" t="s">
        <v>658</v>
      </c>
      <c r="H755" s="7" t="s">
        <v>3403</v>
      </c>
      <c r="I755" s="7" t="s">
        <v>2566</v>
      </c>
      <c r="J755" s="7" t="s">
        <v>754</v>
      </c>
    </row>
    <row r="756" spans="1:10">
      <c r="A756" s="7" t="s">
        <v>3404</v>
      </c>
      <c r="B756" s="7" t="s">
        <v>224</v>
      </c>
      <c r="C756" s="7" t="s">
        <v>641</v>
      </c>
      <c r="D756" s="7" t="s">
        <v>607</v>
      </c>
      <c r="E756" s="7" t="s">
        <v>943</v>
      </c>
      <c r="F756" s="7" t="s">
        <v>3405</v>
      </c>
      <c r="G756" s="7" t="s">
        <v>763</v>
      </c>
      <c r="H756" s="7" t="s">
        <v>3406</v>
      </c>
      <c r="I756" s="7" t="s">
        <v>1047</v>
      </c>
      <c r="J756" s="7" t="s">
        <v>682</v>
      </c>
    </row>
    <row r="757" spans="1:10">
      <c r="A757" s="7" t="s">
        <v>3407</v>
      </c>
      <c r="B757" s="7" t="s">
        <v>206</v>
      </c>
      <c r="C757" s="7" t="s">
        <v>876</v>
      </c>
      <c r="D757" s="7" t="s">
        <v>627</v>
      </c>
      <c r="E757" s="7" t="s">
        <v>3408</v>
      </c>
      <c r="F757" s="7" t="s">
        <v>3409</v>
      </c>
      <c r="G757" s="7" t="s">
        <v>751</v>
      </c>
      <c r="H757" s="7" t="s">
        <v>3410</v>
      </c>
      <c r="I757" s="7" t="s">
        <v>2456</v>
      </c>
      <c r="J757" s="7" t="s">
        <v>754</v>
      </c>
    </row>
    <row r="758" spans="1:10">
      <c r="A758" s="7" t="s">
        <v>3411</v>
      </c>
      <c r="B758" s="7" t="s">
        <v>7</v>
      </c>
      <c r="C758" s="7" t="s">
        <v>614</v>
      </c>
      <c r="D758" s="7" t="s">
        <v>622</v>
      </c>
      <c r="E758" s="7" t="s">
        <v>735</v>
      </c>
      <c r="F758" s="7" t="s">
        <v>3412</v>
      </c>
      <c r="G758" s="7" t="s">
        <v>708</v>
      </c>
      <c r="H758" s="7" t="s">
        <v>3413</v>
      </c>
      <c r="I758" s="7" t="s">
        <v>981</v>
      </c>
      <c r="J758" s="7" t="s">
        <v>640</v>
      </c>
    </row>
    <row r="759" spans="1:10">
      <c r="A759" s="7" t="s">
        <v>3414</v>
      </c>
      <c r="B759" s="7" t="s">
        <v>260</v>
      </c>
      <c r="C759" s="7" t="s">
        <v>824</v>
      </c>
      <c r="D759" s="7" t="s">
        <v>607</v>
      </c>
      <c r="E759" s="7" t="s">
        <v>1691</v>
      </c>
      <c r="F759" s="7" t="s">
        <v>3375</v>
      </c>
      <c r="G759" s="7" t="s">
        <v>1409</v>
      </c>
      <c r="H759" s="7" t="s">
        <v>3415</v>
      </c>
      <c r="I759" s="7" t="s">
        <v>256</v>
      </c>
      <c r="J759" s="7" t="s">
        <v>613</v>
      </c>
    </row>
    <row r="760" spans="1:10">
      <c r="A760" s="7" t="s">
        <v>3416</v>
      </c>
      <c r="B760" s="7" t="s">
        <v>496</v>
      </c>
      <c r="C760" s="7" t="s">
        <v>825</v>
      </c>
      <c r="D760" s="7" t="s">
        <v>607</v>
      </c>
      <c r="E760" s="7" t="s">
        <v>821</v>
      </c>
      <c r="F760" s="7" t="s">
        <v>3417</v>
      </c>
      <c r="G760" s="7" t="s">
        <v>817</v>
      </c>
      <c r="H760" s="7" t="s">
        <v>3418</v>
      </c>
      <c r="I760" s="7" t="s">
        <v>737</v>
      </c>
      <c r="J760" s="7" t="s">
        <v>621</v>
      </c>
    </row>
    <row r="761" spans="1:10">
      <c r="A761" s="7" t="s">
        <v>3419</v>
      </c>
      <c r="B761" s="7" t="s">
        <v>260</v>
      </c>
      <c r="C761" s="7" t="s">
        <v>715</v>
      </c>
      <c r="D761" s="7" t="s">
        <v>605</v>
      </c>
      <c r="E761" s="7" t="s">
        <v>1701</v>
      </c>
      <c r="F761" s="7" t="s">
        <v>3420</v>
      </c>
      <c r="G761" s="7" t="s">
        <v>1823</v>
      </c>
      <c r="H761" s="7" t="s">
        <v>3421</v>
      </c>
      <c r="I761" s="7" t="s">
        <v>2162</v>
      </c>
      <c r="J761" s="7" t="s">
        <v>633</v>
      </c>
    </row>
    <row r="762" spans="1:10">
      <c r="A762" s="7" t="s">
        <v>3422</v>
      </c>
      <c r="B762" s="7" t="s">
        <v>51</v>
      </c>
      <c r="C762" s="7" t="s">
        <v>747</v>
      </c>
      <c r="D762" s="7" t="s">
        <v>607</v>
      </c>
      <c r="E762" s="7" t="s">
        <v>856</v>
      </c>
      <c r="F762" s="7" t="s">
        <v>3423</v>
      </c>
      <c r="G762" s="7" t="s">
        <v>795</v>
      </c>
      <c r="H762" s="7" t="s">
        <v>3424</v>
      </c>
      <c r="I762" s="7" t="s">
        <v>674</v>
      </c>
      <c r="J762" s="7" t="s">
        <v>633</v>
      </c>
    </row>
    <row r="763" spans="1:10">
      <c r="A763" s="7" t="s">
        <v>3425</v>
      </c>
      <c r="B763" s="7" t="s">
        <v>379</v>
      </c>
      <c r="C763" s="7" t="s">
        <v>872</v>
      </c>
      <c r="D763" s="7" t="s">
        <v>605</v>
      </c>
      <c r="E763" s="7" t="s">
        <v>670</v>
      </c>
      <c r="F763" s="7" t="s">
        <v>3426</v>
      </c>
      <c r="G763" s="7" t="s">
        <v>1136</v>
      </c>
      <c r="H763" s="7" t="s">
        <v>3427</v>
      </c>
      <c r="I763" s="7" t="s">
        <v>1716</v>
      </c>
      <c r="J763" s="7" t="s">
        <v>682</v>
      </c>
    </row>
    <row r="764" spans="1:10">
      <c r="A764" s="7" t="s">
        <v>3428</v>
      </c>
      <c r="B764" s="7" t="s">
        <v>414</v>
      </c>
      <c r="C764" s="7" t="s">
        <v>774</v>
      </c>
      <c r="D764" s="7" t="s">
        <v>627</v>
      </c>
      <c r="E764" s="7" t="s">
        <v>677</v>
      </c>
      <c r="F764" s="7" t="s">
        <v>3429</v>
      </c>
      <c r="G764" s="7" t="s">
        <v>693</v>
      </c>
      <c r="H764" s="7" t="s">
        <v>3430</v>
      </c>
      <c r="I764" s="7" t="s">
        <v>527</v>
      </c>
      <c r="J764" s="7" t="s">
        <v>682</v>
      </c>
    </row>
    <row r="765" spans="1:10">
      <c r="A765" s="7" t="s">
        <v>3431</v>
      </c>
      <c r="B765" s="7" t="s">
        <v>236</v>
      </c>
      <c r="C765" s="7" t="s">
        <v>863</v>
      </c>
      <c r="D765" s="7" t="s">
        <v>622</v>
      </c>
      <c r="E765" s="7" t="s">
        <v>1520</v>
      </c>
      <c r="F765" s="7" t="s">
        <v>3432</v>
      </c>
      <c r="G765" s="7" t="s">
        <v>991</v>
      </c>
      <c r="H765" s="7" t="s">
        <v>3433</v>
      </c>
      <c r="I765" s="7" t="s">
        <v>941</v>
      </c>
      <c r="J765" s="7" t="s">
        <v>754</v>
      </c>
    </row>
    <row r="766" spans="1:10">
      <c r="A766" s="7" t="s">
        <v>3434</v>
      </c>
      <c r="B766" s="7" t="s">
        <v>329</v>
      </c>
      <c r="C766" s="7" t="s">
        <v>615</v>
      </c>
      <c r="D766" s="7" t="s">
        <v>614</v>
      </c>
      <c r="E766" s="7" t="s">
        <v>1081</v>
      </c>
      <c r="F766" s="7" t="s">
        <v>3435</v>
      </c>
      <c r="G766" s="7" t="s">
        <v>1107</v>
      </c>
      <c r="H766" s="7" t="s">
        <v>3436</v>
      </c>
      <c r="I766" s="7" t="s">
        <v>674</v>
      </c>
      <c r="J766" s="7" t="s">
        <v>621</v>
      </c>
    </row>
    <row r="767" spans="1:10">
      <c r="A767" s="7" t="s">
        <v>3437</v>
      </c>
      <c r="B767" s="7" t="s">
        <v>455</v>
      </c>
      <c r="C767" s="7" t="s">
        <v>605</v>
      </c>
      <c r="D767" s="7" t="s">
        <v>627</v>
      </c>
      <c r="E767" s="7" t="s">
        <v>2656</v>
      </c>
      <c r="F767" s="7" t="s">
        <v>3438</v>
      </c>
      <c r="G767" s="7" t="s">
        <v>1718</v>
      </c>
      <c r="H767" s="7" t="s">
        <v>1709</v>
      </c>
      <c r="I767" s="7" t="s">
        <v>885</v>
      </c>
      <c r="J767" s="7" t="s">
        <v>754</v>
      </c>
    </row>
    <row r="768" spans="1:10">
      <c r="A768" s="7" t="s">
        <v>3439</v>
      </c>
      <c r="B768" s="7" t="s">
        <v>455</v>
      </c>
      <c r="C768" s="7" t="s">
        <v>690</v>
      </c>
      <c r="D768" s="7" t="s">
        <v>614</v>
      </c>
      <c r="E768" s="7" t="s">
        <v>679</v>
      </c>
      <c r="F768" s="7" t="s">
        <v>3440</v>
      </c>
      <c r="G768" s="7" t="s">
        <v>693</v>
      </c>
      <c r="H768" s="7" t="s">
        <v>3441</v>
      </c>
      <c r="I768" s="7" t="s">
        <v>1061</v>
      </c>
      <c r="J768" s="7" t="s">
        <v>682</v>
      </c>
    </row>
    <row r="769" spans="1:10">
      <c r="A769" s="7" t="s">
        <v>3442</v>
      </c>
      <c r="B769" s="7" t="s">
        <v>514</v>
      </c>
      <c r="C769" s="7" t="s">
        <v>605</v>
      </c>
      <c r="D769" s="7" t="s">
        <v>605</v>
      </c>
      <c r="E769" s="7" t="s">
        <v>817</v>
      </c>
      <c r="F769" s="7" t="s">
        <v>3443</v>
      </c>
      <c r="G769" s="7" t="s">
        <v>866</v>
      </c>
      <c r="H769" s="7" t="s">
        <v>3444</v>
      </c>
      <c r="I769" s="7" t="s">
        <v>1169</v>
      </c>
      <c r="J769" s="7" t="s">
        <v>754</v>
      </c>
    </row>
    <row r="770" spans="1:10">
      <c r="A770" s="7" t="s">
        <v>3445</v>
      </c>
      <c r="B770" s="7" t="s">
        <v>176</v>
      </c>
      <c r="C770" s="7" t="s">
        <v>642</v>
      </c>
      <c r="D770" s="7" t="s">
        <v>614</v>
      </c>
      <c r="E770" s="7" t="s">
        <v>950</v>
      </c>
      <c r="F770" s="7" t="s">
        <v>3446</v>
      </c>
      <c r="G770" s="7" t="s">
        <v>955</v>
      </c>
      <c r="H770" s="7" t="s">
        <v>3447</v>
      </c>
      <c r="I770" s="7" t="s">
        <v>2036</v>
      </c>
      <c r="J770" s="7" t="s">
        <v>648</v>
      </c>
    </row>
    <row r="771" spans="1:10">
      <c r="A771" s="7" t="s">
        <v>3448</v>
      </c>
      <c r="B771" s="7" t="s">
        <v>472</v>
      </c>
      <c r="C771" s="7" t="s">
        <v>755</v>
      </c>
      <c r="D771" s="7" t="s">
        <v>622</v>
      </c>
      <c r="E771" s="7" t="s">
        <v>1070</v>
      </c>
      <c r="F771" s="7" t="s">
        <v>3449</v>
      </c>
      <c r="G771" s="7" t="s">
        <v>2145</v>
      </c>
      <c r="H771" s="7" t="s">
        <v>3450</v>
      </c>
      <c r="I771" s="7" t="s">
        <v>244</v>
      </c>
      <c r="J771" s="7" t="s">
        <v>613</v>
      </c>
    </row>
    <row r="772" spans="1:10">
      <c r="A772" s="7" t="s">
        <v>3451</v>
      </c>
      <c r="B772" s="7" t="s">
        <v>334</v>
      </c>
      <c r="C772" s="7" t="s">
        <v>663</v>
      </c>
      <c r="D772" s="7" t="s">
        <v>614</v>
      </c>
      <c r="E772" s="7" t="s">
        <v>645</v>
      </c>
      <c r="F772" s="7" t="s">
        <v>3452</v>
      </c>
      <c r="G772" s="7" t="s">
        <v>937</v>
      </c>
      <c r="H772" s="7" t="s">
        <v>3453</v>
      </c>
      <c r="I772" s="7" t="s">
        <v>727</v>
      </c>
      <c r="J772" s="7" t="s">
        <v>648</v>
      </c>
    </row>
    <row r="773" spans="1:10">
      <c r="A773" s="7" t="s">
        <v>3454</v>
      </c>
      <c r="B773" s="7" t="s">
        <v>502</v>
      </c>
      <c r="C773" s="7" t="s">
        <v>802</v>
      </c>
      <c r="D773" s="7" t="s">
        <v>607</v>
      </c>
      <c r="E773" s="7" t="s">
        <v>1136</v>
      </c>
      <c r="F773" s="7" t="s">
        <v>764</v>
      </c>
      <c r="G773" s="7" t="s">
        <v>693</v>
      </c>
      <c r="H773" s="7" t="s">
        <v>3455</v>
      </c>
      <c r="I773" s="7" t="s">
        <v>124</v>
      </c>
      <c r="J773" s="7" t="s">
        <v>682</v>
      </c>
    </row>
    <row r="774" spans="1:10">
      <c r="A774" s="7" t="s">
        <v>3456</v>
      </c>
      <c r="B774" s="7" t="s">
        <v>188</v>
      </c>
      <c r="C774" s="7" t="s">
        <v>820</v>
      </c>
      <c r="D774" s="7" t="s">
        <v>627</v>
      </c>
      <c r="E774" s="7" t="s">
        <v>979</v>
      </c>
      <c r="F774" s="7" t="s">
        <v>3457</v>
      </c>
      <c r="G774" s="7" t="s">
        <v>780</v>
      </c>
      <c r="H774" s="7" t="s">
        <v>3458</v>
      </c>
      <c r="I774" s="7" t="s">
        <v>250</v>
      </c>
      <c r="J774" s="7" t="s">
        <v>754</v>
      </c>
    </row>
    <row r="775" spans="1:10">
      <c r="A775" s="7" t="s">
        <v>3459</v>
      </c>
      <c r="B775" s="7" t="s">
        <v>306</v>
      </c>
      <c r="C775" s="7" t="s">
        <v>863</v>
      </c>
      <c r="D775" s="7" t="s">
        <v>607</v>
      </c>
      <c r="E775" s="7" t="s">
        <v>3460</v>
      </c>
      <c r="F775" s="7" t="s">
        <v>3461</v>
      </c>
      <c r="G775" s="7" t="s">
        <v>2443</v>
      </c>
      <c r="H775" s="7" t="s">
        <v>3462</v>
      </c>
      <c r="I775" s="7" t="s">
        <v>1495</v>
      </c>
      <c r="J775" s="7" t="s">
        <v>754</v>
      </c>
    </row>
    <row r="776" spans="1:10">
      <c r="A776" s="7" t="s">
        <v>3463</v>
      </c>
      <c r="B776" s="7" t="s">
        <v>455</v>
      </c>
      <c r="C776" s="7" t="s">
        <v>650</v>
      </c>
      <c r="D776" s="7" t="s">
        <v>605</v>
      </c>
      <c r="E776" s="7" t="s">
        <v>2671</v>
      </c>
      <c r="F776" s="7" t="s">
        <v>3464</v>
      </c>
      <c r="G776" s="7" t="s">
        <v>608</v>
      </c>
      <c r="H776" s="7" t="s">
        <v>3465</v>
      </c>
      <c r="I776" s="7" t="s">
        <v>399</v>
      </c>
      <c r="J776" s="7" t="s">
        <v>633</v>
      </c>
    </row>
    <row r="777" spans="1:10">
      <c r="A777" s="7" t="s">
        <v>3466</v>
      </c>
      <c r="B777" s="7" t="s">
        <v>306</v>
      </c>
      <c r="C777" s="7" t="s">
        <v>657</v>
      </c>
      <c r="D777" s="7" t="s">
        <v>605</v>
      </c>
      <c r="E777" s="7" t="s">
        <v>739</v>
      </c>
      <c r="F777" s="7" t="s">
        <v>3467</v>
      </c>
      <c r="G777" s="7" t="s">
        <v>864</v>
      </c>
      <c r="H777" s="7" t="s">
        <v>3468</v>
      </c>
      <c r="I777" s="7" t="s">
        <v>1697</v>
      </c>
      <c r="J777" s="7" t="s">
        <v>621</v>
      </c>
    </row>
    <row r="778" spans="1:10">
      <c r="A778" s="7" t="s">
        <v>3469</v>
      </c>
      <c r="B778" s="7" t="s">
        <v>98</v>
      </c>
      <c r="C778" s="7" t="s">
        <v>959</v>
      </c>
      <c r="D778" s="7" t="s">
        <v>622</v>
      </c>
      <c r="E778" s="7" t="s">
        <v>608</v>
      </c>
      <c r="F778" s="7" t="s">
        <v>3470</v>
      </c>
      <c r="G778" s="7" t="s">
        <v>943</v>
      </c>
      <c r="H778" s="7" t="s">
        <v>3471</v>
      </c>
      <c r="I778" s="7" t="s">
        <v>2576</v>
      </c>
      <c r="J778" s="7" t="s">
        <v>633</v>
      </c>
    </row>
    <row r="779" spans="1:10">
      <c r="A779" s="7" t="s">
        <v>3472</v>
      </c>
      <c r="B779" s="7" t="s">
        <v>200</v>
      </c>
      <c r="C779" s="7" t="s">
        <v>849</v>
      </c>
      <c r="D779" s="7" t="s">
        <v>627</v>
      </c>
      <c r="E779" s="7" t="s">
        <v>772</v>
      </c>
      <c r="F779" s="7" t="s">
        <v>3473</v>
      </c>
      <c r="G779" s="7" t="s">
        <v>653</v>
      </c>
      <c r="H779" s="7" t="s">
        <v>3474</v>
      </c>
      <c r="I779" s="7" t="s">
        <v>1778</v>
      </c>
      <c r="J779" s="7" t="s">
        <v>613</v>
      </c>
    </row>
    <row r="780" spans="1:10">
      <c r="A780" s="7" t="s">
        <v>3475</v>
      </c>
      <c r="B780" s="7" t="s">
        <v>312</v>
      </c>
      <c r="C780" s="7" t="s">
        <v>622</v>
      </c>
      <c r="D780" s="7" t="s">
        <v>605</v>
      </c>
      <c r="E780" s="7" t="s">
        <v>1383</v>
      </c>
      <c r="F780" s="7" t="s">
        <v>3476</v>
      </c>
      <c r="G780" s="7" t="s">
        <v>895</v>
      </c>
      <c r="H780" s="7" t="s">
        <v>3477</v>
      </c>
      <c r="I780" s="7" t="s">
        <v>1570</v>
      </c>
      <c r="J780" s="7" t="s">
        <v>640</v>
      </c>
    </row>
    <row r="781" spans="1:10">
      <c r="A781" s="7" t="s">
        <v>3478</v>
      </c>
      <c r="B781" s="7" t="s">
        <v>414</v>
      </c>
      <c r="C781" s="7" t="s">
        <v>792</v>
      </c>
      <c r="D781" s="7" t="s">
        <v>614</v>
      </c>
      <c r="E781" s="7" t="s">
        <v>812</v>
      </c>
      <c r="F781" s="7" t="s">
        <v>3479</v>
      </c>
      <c r="G781" s="7" t="s">
        <v>897</v>
      </c>
      <c r="H781" s="7" t="s">
        <v>3480</v>
      </c>
      <c r="I781" s="7" t="s">
        <v>1960</v>
      </c>
      <c r="J781" s="7" t="s">
        <v>640</v>
      </c>
    </row>
    <row r="782" spans="1:10">
      <c r="A782" s="7" t="s">
        <v>3481</v>
      </c>
      <c r="B782" s="7" t="s">
        <v>496</v>
      </c>
      <c r="C782" s="7" t="s">
        <v>824</v>
      </c>
      <c r="D782" s="7" t="s">
        <v>614</v>
      </c>
      <c r="E782" s="7" t="s">
        <v>1861</v>
      </c>
      <c r="F782" s="7" t="s">
        <v>3482</v>
      </c>
      <c r="G782" s="7" t="s">
        <v>799</v>
      </c>
      <c r="H782" s="7" t="s">
        <v>3483</v>
      </c>
      <c r="I782" s="7" t="s">
        <v>1847</v>
      </c>
      <c r="J782" s="7" t="s">
        <v>613</v>
      </c>
    </row>
    <row r="783" spans="1:10">
      <c r="A783" s="7" t="s">
        <v>3484</v>
      </c>
      <c r="B783" s="7" t="s">
        <v>514</v>
      </c>
      <c r="C783" s="7" t="s">
        <v>738</v>
      </c>
      <c r="D783" s="7" t="s">
        <v>627</v>
      </c>
      <c r="E783" s="7" t="s">
        <v>856</v>
      </c>
      <c r="F783" s="7" t="s">
        <v>3485</v>
      </c>
      <c r="G783" s="7" t="s">
        <v>2859</v>
      </c>
      <c r="H783" s="7" t="s">
        <v>3486</v>
      </c>
      <c r="I783" s="7" t="s">
        <v>2057</v>
      </c>
      <c r="J783" s="7" t="s">
        <v>754</v>
      </c>
    </row>
    <row r="784" spans="1:10">
      <c r="A784" s="7" t="s">
        <v>3487</v>
      </c>
      <c r="B784" s="7" t="s">
        <v>146</v>
      </c>
      <c r="C784" s="7" t="s">
        <v>894</v>
      </c>
      <c r="D784" s="7" t="s">
        <v>607</v>
      </c>
      <c r="E784" s="7" t="s">
        <v>966</v>
      </c>
      <c r="F784" s="7" t="s">
        <v>3488</v>
      </c>
      <c r="G784" s="7" t="s">
        <v>666</v>
      </c>
      <c r="H784" s="7" t="s">
        <v>3489</v>
      </c>
      <c r="I784" s="7" t="s">
        <v>3490</v>
      </c>
      <c r="J784" s="7" t="s">
        <v>648</v>
      </c>
    </row>
    <row r="785" spans="1:10">
      <c r="A785" s="7" t="s">
        <v>3491</v>
      </c>
      <c r="B785" s="7" t="s">
        <v>254</v>
      </c>
      <c r="C785" s="7" t="s">
        <v>669</v>
      </c>
      <c r="D785" s="7" t="s">
        <v>614</v>
      </c>
      <c r="E785" s="7" t="s">
        <v>1348</v>
      </c>
      <c r="F785" s="7" t="s">
        <v>3492</v>
      </c>
      <c r="G785" s="7" t="s">
        <v>2145</v>
      </c>
      <c r="H785" s="7" t="s">
        <v>3493</v>
      </c>
      <c r="I785" s="7" t="s">
        <v>1605</v>
      </c>
      <c r="J785" s="7" t="s">
        <v>613</v>
      </c>
    </row>
    <row r="786" spans="1:10">
      <c r="A786" s="7" t="s">
        <v>3494</v>
      </c>
      <c r="B786" s="7" t="s">
        <v>312</v>
      </c>
      <c r="C786" s="7" t="s">
        <v>860</v>
      </c>
      <c r="D786" s="7" t="s">
        <v>607</v>
      </c>
      <c r="E786" s="7" t="s">
        <v>670</v>
      </c>
      <c r="F786" s="7" t="s">
        <v>3495</v>
      </c>
      <c r="G786" s="7" t="s">
        <v>1136</v>
      </c>
      <c r="H786" s="7" t="s">
        <v>3496</v>
      </c>
      <c r="I786" s="7" t="s">
        <v>1300</v>
      </c>
      <c r="J786" s="7" t="s">
        <v>682</v>
      </c>
    </row>
    <row r="787" spans="1:10">
      <c r="A787" s="7" t="s">
        <v>3497</v>
      </c>
      <c r="B787" s="7" t="s">
        <v>20</v>
      </c>
      <c r="C787" s="7" t="s">
        <v>860</v>
      </c>
      <c r="D787" s="7" t="s">
        <v>605</v>
      </c>
      <c r="E787" s="7" t="s">
        <v>610</v>
      </c>
      <c r="F787" s="7" t="s">
        <v>3498</v>
      </c>
      <c r="G787" s="7" t="s">
        <v>724</v>
      </c>
      <c r="H787" s="7" t="s">
        <v>3499</v>
      </c>
      <c r="I787" s="7" t="s">
        <v>1160</v>
      </c>
      <c r="J787" s="7" t="s">
        <v>682</v>
      </c>
    </row>
    <row r="788" spans="1:10">
      <c r="A788" s="7" t="s">
        <v>3500</v>
      </c>
      <c r="B788" s="7" t="s">
        <v>408</v>
      </c>
      <c r="C788" s="7" t="s">
        <v>663</v>
      </c>
      <c r="D788" s="7" t="s">
        <v>605</v>
      </c>
      <c r="E788" s="7" t="s">
        <v>950</v>
      </c>
      <c r="F788" s="7" t="s">
        <v>3501</v>
      </c>
      <c r="G788" s="7" t="s">
        <v>888</v>
      </c>
      <c r="H788" s="7" t="s">
        <v>3502</v>
      </c>
      <c r="I788" s="7" t="s">
        <v>2508</v>
      </c>
      <c r="J788" s="7" t="s">
        <v>648</v>
      </c>
    </row>
    <row r="789" spans="1:10">
      <c r="A789" s="7" t="s">
        <v>3503</v>
      </c>
      <c r="B789" s="7" t="s">
        <v>584</v>
      </c>
      <c r="C789" s="7" t="s">
        <v>886</v>
      </c>
      <c r="D789" s="7" t="s">
        <v>622</v>
      </c>
      <c r="E789" s="7" t="s">
        <v>1426</v>
      </c>
      <c r="F789" s="7" t="s">
        <v>3504</v>
      </c>
      <c r="G789" s="7" t="s">
        <v>888</v>
      </c>
      <c r="H789" s="7" t="s">
        <v>3505</v>
      </c>
      <c r="I789" s="7" t="s">
        <v>1570</v>
      </c>
      <c r="J789" s="7" t="s">
        <v>648</v>
      </c>
    </row>
    <row r="790" spans="1:10">
      <c r="A790" s="7" t="s">
        <v>3506</v>
      </c>
      <c r="B790" s="7" t="s">
        <v>289</v>
      </c>
      <c r="C790" s="7" t="s">
        <v>634</v>
      </c>
      <c r="D790" s="7" t="s">
        <v>627</v>
      </c>
      <c r="E790" s="7" t="s">
        <v>895</v>
      </c>
      <c r="F790" s="7" t="s">
        <v>3507</v>
      </c>
      <c r="G790" s="7" t="s">
        <v>814</v>
      </c>
      <c r="H790" s="7" t="s">
        <v>3508</v>
      </c>
      <c r="I790" s="7" t="s">
        <v>971</v>
      </c>
      <c r="J790" s="7" t="s">
        <v>640</v>
      </c>
    </row>
    <row r="791" spans="1:10">
      <c r="A791" s="7" t="s">
        <v>3509</v>
      </c>
      <c r="B791" s="7" t="s">
        <v>277</v>
      </c>
      <c r="C791" s="7" t="s">
        <v>762</v>
      </c>
      <c r="D791" s="7" t="s">
        <v>614</v>
      </c>
      <c r="E791" s="7" t="s">
        <v>785</v>
      </c>
      <c r="F791" s="7" t="s">
        <v>3510</v>
      </c>
      <c r="G791" s="7" t="s">
        <v>672</v>
      </c>
      <c r="H791" s="7" t="s">
        <v>3511</v>
      </c>
      <c r="I791" s="7" t="s">
        <v>1436</v>
      </c>
      <c r="J791" s="7" t="s">
        <v>682</v>
      </c>
    </row>
    <row r="792" spans="1:10">
      <c r="A792" s="7" t="s">
        <v>3512</v>
      </c>
      <c r="B792" s="7" t="s">
        <v>548</v>
      </c>
      <c r="C792" s="7" t="s">
        <v>876</v>
      </c>
      <c r="D792" s="7" t="s">
        <v>614</v>
      </c>
      <c r="E792" s="7" t="s">
        <v>744</v>
      </c>
      <c r="F792" s="7" t="s">
        <v>3513</v>
      </c>
      <c r="G792" s="7" t="s">
        <v>1094</v>
      </c>
      <c r="H792" s="7" t="s">
        <v>3514</v>
      </c>
      <c r="I792" s="7" t="s">
        <v>462</v>
      </c>
      <c r="J792" s="7" t="s">
        <v>754</v>
      </c>
    </row>
    <row r="793" spans="1:10">
      <c r="A793" s="7" t="s">
        <v>3515</v>
      </c>
      <c r="B793" s="7" t="s">
        <v>92</v>
      </c>
      <c r="C793" s="7" t="s">
        <v>657</v>
      </c>
      <c r="D793" s="7" t="s">
        <v>614</v>
      </c>
      <c r="E793" s="7" t="s">
        <v>739</v>
      </c>
      <c r="F793" s="7" t="s">
        <v>3516</v>
      </c>
      <c r="G793" s="7" t="s">
        <v>921</v>
      </c>
      <c r="H793" s="7" t="s">
        <v>3517</v>
      </c>
      <c r="I793" s="7" t="s">
        <v>930</v>
      </c>
      <c r="J793" s="7" t="s">
        <v>621</v>
      </c>
    </row>
    <row r="794" spans="1:10">
      <c r="A794" s="7" t="s">
        <v>3518</v>
      </c>
      <c r="B794" s="7" t="s">
        <v>560</v>
      </c>
      <c r="C794" s="7" t="s">
        <v>634</v>
      </c>
      <c r="D794" s="7" t="s">
        <v>607</v>
      </c>
      <c r="E794" s="7" t="s">
        <v>1186</v>
      </c>
      <c r="F794" s="7" t="s">
        <v>3519</v>
      </c>
      <c r="G794" s="7" t="s">
        <v>814</v>
      </c>
      <c r="H794" s="7" t="s">
        <v>3520</v>
      </c>
      <c r="I794" s="7" t="s">
        <v>2429</v>
      </c>
      <c r="J794" s="7" t="s">
        <v>640</v>
      </c>
    </row>
    <row r="795" spans="1:10">
      <c r="A795" s="7" t="s">
        <v>3521</v>
      </c>
      <c r="B795" s="7" t="s">
        <v>466</v>
      </c>
      <c r="C795" s="7" t="s">
        <v>690</v>
      </c>
      <c r="D795" s="7" t="s">
        <v>627</v>
      </c>
      <c r="E795" s="7" t="s">
        <v>693</v>
      </c>
      <c r="F795" s="7" t="s">
        <v>3522</v>
      </c>
      <c r="G795" s="7" t="s">
        <v>1918</v>
      </c>
      <c r="H795" s="7" t="s">
        <v>3523</v>
      </c>
      <c r="I795" s="7" t="s">
        <v>2057</v>
      </c>
      <c r="J795" s="7" t="s">
        <v>682</v>
      </c>
    </row>
    <row r="796" spans="1:10">
      <c r="A796" s="7" t="s">
        <v>3524</v>
      </c>
      <c r="B796" s="7" t="s">
        <v>414</v>
      </c>
      <c r="C796" s="7" t="s">
        <v>649</v>
      </c>
      <c r="D796" s="7" t="s">
        <v>605</v>
      </c>
      <c r="E796" s="7" t="s">
        <v>679</v>
      </c>
      <c r="F796" s="7" t="s">
        <v>3525</v>
      </c>
      <c r="G796" s="7" t="s">
        <v>724</v>
      </c>
      <c r="H796" s="7" t="s">
        <v>3526</v>
      </c>
      <c r="I796" s="7" t="s">
        <v>1362</v>
      </c>
      <c r="J796" s="7" t="s">
        <v>682</v>
      </c>
    </row>
    <row r="797" spans="1:10">
      <c r="A797" s="7" t="s">
        <v>3527</v>
      </c>
      <c r="B797" s="7" t="s">
        <v>14</v>
      </c>
      <c r="C797" s="7" t="s">
        <v>849</v>
      </c>
      <c r="D797" s="7" t="s">
        <v>627</v>
      </c>
      <c r="E797" s="7" t="s">
        <v>742</v>
      </c>
      <c r="F797" s="7" t="s">
        <v>3528</v>
      </c>
      <c r="G797" s="7" t="s">
        <v>2156</v>
      </c>
      <c r="H797" s="7" t="s">
        <v>3529</v>
      </c>
      <c r="I797" s="7" t="s">
        <v>639</v>
      </c>
      <c r="J797" s="7" t="s">
        <v>613</v>
      </c>
    </row>
    <row r="798" spans="1:10">
      <c r="A798" s="7" t="s">
        <v>3530</v>
      </c>
      <c r="B798" s="7" t="s">
        <v>283</v>
      </c>
      <c r="C798" s="7" t="s">
        <v>690</v>
      </c>
      <c r="D798" s="7" t="s">
        <v>614</v>
      </c>
      <c r="E798" s="7" t="s">
        <v>679</v>
      </c>
      <c r="F798" s="7" t="s">
        <v>3531</v>
      </c>
      <c r="G798" s="7" t="s">
        <v>1269</v>
      </c>
      <c r="H798" s="7" t="s">
        <v>3532</v>
      </c>
      <c r="I798" s="7" t="s">
        <v>1396</v>
      </c>
      <c r="J798" s="7" t="s">
        <v>682</v>
      </c>
    </row>
    <row r="799" spans="1:10">
      <c r="A799" s="7" t="s">
        <v>3533</v>
      </c>
      <c r="B799" s="7" t="s">
        <v>260</v>
      </c>
      <c r="C799" s="7" t="s">
        <v>756</v>
      </c>
      <c r="D799" s="7" t="s">
        <v>607</v>
      </c>
      <c r="E799" s="7" t="s">
        <v>2615</v>
      </c>
      <c r="F799" s="7" t="s">
        <v>3534</v>
      </c>
      <c r="G799" s="7" t="s">
        <v>1620</v>
      </c>
      <c r="H799" s="7" t="s">
        <v>3535</v>
      </c>
      <c r="I799" s="7" t="s">
        <v>439</v>
      </c>
      <c r="J799" s="7" t="s">
        <v>613</v>
      </c>
    </row>
    <row r="800" spans="1:10">
      <c r="A800" s="7" t="s">
        <v>3536</v>
      </c>
      <c r="B800" s="7" t="s">
        <v>496</v>
      </c>
      <c r="C800" s="7" t="s">
        <v>732</v>
      </c>
      <c r="D800" s="7" t="s">
        <v>607</v>
      </c>
      <c r="E800" s="7" t="s">
        <v>1557</v>
      </c>
      <c r="F800" s="7" t="s">
        <v>3537</v>
      </c>
      <c r="G800" s="7" t="s">
        <v>1087</v>
      </c>
      <c r="H800" s="7" t="s">
        <v>3538</v>
      </c>
      <c r="I800" s="7" t="s">
        <v>1785</v>
      </c>
      <c r="J800" s="7" t="s">
        <v>633</v>
      </c>
    </row>
    <row r="801" spans="1:10">
      <c r="A801" s="7" t="s">
        <v>3539</v>
      </c>
      <c r="B801" s="7" t="s">
        <v>86</v>
      </c>
      <c r="C801" s="7" t="s">
        <v>747</v>
      </c>
      <c r="D801" s="7" t="s">
        <v>607</v>
      </c>
      <c r="E801" s="7" t="s">
        <v>3460</v>
      </c>
      <c r="F801" s="7" t="s">
        <v>3540</v>
      </c>
      <c r="G801" s="7" t="s">
        <v>1102</v>
      </c>
      <c r="H801" s="7" t="s">
        <v>3541</v>
      </c>
      <c r="I801" s="7" t="s">
        <v>124</v>
      </c>
      <c r="J801" s="7" t="s">
        <v>633</v>
      </c>
    </row>
    <row r="802" spans="1:10">
      <c r="A802" s="7" t="s">
        <v>3542</v>
      </c>
      <c r="B802" s="7" t="s">
        <v>345</v>
      </c>
      <c r="C802" s="7" t="s">
        <v>802</v>
      </c>
      <c r="D802" s="7" t="s">
        <v>605</v>
      </c>
      <c r="E802" s="7" t="s">
        <v>724</v>
      </c>
      <c r="F802" s="7" t="s">
        <v>3543</v>
      </c>
      <c r="G802" s="7" t="s">
        <v>877</v>
      </c>
      <c r="H802" s="7" t="s">
        <v>3544</v>
      </c>
      <c r="I802" s="7" t="s">
        <v>3545</v>
      </c>
      <c r="J802" s="7" t="s">
        <v>682</v>
      </c>
    </row>
    <row r="803" spans="1:10">
      <c r="A803" s="7" t="s">
        <v>3546</v>
      </c>
      <c r="B803" s="7" t="s">
        <v>572</v>
      </c>
      <c r="C803" s="7" t="s">
        <v>650</v>
      </c>
      <c r="D803" s="7" t="s">
        <v>622</v>
      </c>
      <c r="E803" s="7" t="s">
        <v>1077</v>
      </c>
      <c r="F803" s="7" t="s">
        <v>3547</v>
      </c>
      <c r="G803" s="7" t="s">
        <v>1499</v>
      </c>
      <c r="H803" s="7" t="s">
        <v>3548</v>
      </c>
      <c r="I803" s="7" t="s">
        <v>220</v>
      </c>
      <c r="J803" s="7" t="s">
        <v>633</v>
      </c>
    </row>
    <row r="804" spans="1:10">
      <c r="A804" s="7" t="s">
        <v>3549</v>
      </c>
      <c r="B804" s="7" t="s">
        <v>242</v>
      </c>
      <c r="C804" s="7" t="s">
        <v>762</v>
      </c>
      <c r="D804" s="7" t="s">
        <v>605</v>
      </c>
      <c r="E804" s="7" t="s">
        <v>679</v>
      </c>
      <c r="F804" s="7" t="s">
        <v>3550</v>
      </c>
      <c r="G804" s="7" t="s">
        <v>1269</v>
      </c>
      <c r="H804" s="7" t="s">
        <v>3551</v>
      </c>
      <c r="I804" s="7" t="s">
        <v>842</v>
      </c>
      <c r="J804" s="7" t="s">
        <v>682</v>
      </c>
    </row>
    <row r="805" spans="1:10">
      <c r="A805" s="7" t="s">
        <v>3552</v>
      </c>
      <c r="B805" s="7" t="s">
        <v>57</v>
      </c>
      <c r="C805" s="7" t="s">
        <v>622</v>
      </c>
      <c r="D805" s="7" t="s">
        <v>622</v>
      </c>
      <c r="E805" s="7" t="s">
        <v>1186</v>
      </c>
      <c r="F805" s="7" t="s">
        <v>3553</v>
      </c>
      <c r="G805" s="7" t="s">
        <v>1158</v>
      </c>
      <c r="H805" s="7" t="s">
        <v>3554</v>
      </c>
      <c r="I805" s="7" t="s">
        <v>556</v>
      </c>
      <c r="J805" s="7" t="s">
        <v>640</v>
      </c>
    </row>
    <row r="806" spans="1:10">
      <c r="A806" s="7" t="s">
        <v>3555</v>
      </c>
      <c r="B806" s="7" t="s">
        <v>170</v>
      </c>
      <c r="C806" s="7" t="s">
        <v>747</v>
      </c>
      <c r="D806" s="7" t="s">
        <v>622</v>
      </c>
      <c r="E806" s="7" t="s">
        <v>1002</v>
      </c>
      <c r="F806" s="7" t="s">
        <v>3556</v>
      </c>
      <c r="G806" s="7" t="s">
        <v>2191</v>
      </c>
      <c r="H806" s="7" t="s">
        <v>3557</v>
      </c>
      <c r="I806" s="7" t="s">
        <v>1508</v>
      </c>
      <c r="J806" s="7" t="s">
        <v>633</v>
      </c>
    </row>
    <row r="807" spans="1:10">
      <c r="A807" s="7" t="s">
        <v>3558</v>
      </c>
      <c r="B807" s="7" t="s">
        <v>519</v>
      </c>
      <c r="C807" s="7" t="s">
        <v>774</v>
      </c>
      <c r="D807" s="7" t="s">
        <v>614</v>
      </c>
      <c r="E807" s="7" t="s">
        <v>785</v>
      </c>
      <c r="F807" s="7" t="s">
        <v>3559</v>
      </c>
      <c r="G807" s="7" t="s">
        <v>672</v>
      </c>
      <c r="H807" s="7" t="s">
        <v>3560</v>
      </c>
      <c r="I807" s="7" t="s">
        <v>1164</v>
      </c>
      <c r="J807" s="7" t="s">
        <v>682</v>
      </c>
    </row>
    <row r="808" spans="1:10">
      <c r="A808" s="7" t="s">
        <v>3561</v>
      </c>
      <c r="B808" s="7" t="s">
        <v>39</v>
      </c>
      <c r="C808" s="7" t="s">
        <v>824</v>
      </c>
      <c r="D808" s="7" t="s">
        <v>627</v>
      </c>
      <c r="E808" s="7" t="s">
        <v>1902</v>
      </c>
      <c r="F808" s="7" t="s">
        <v>3562</v>
      </c>
      <c r="G808" s="7" t="s">
        <v>2872</v>
      </c>
      <c r="H808" s="7" t="s">
        <v>3563</v>
      </c>
      <c r="I808" s="7" t="s">
        <v>474</v>
      </c>
      <c r="J808" s="7" t="s">
        <v>613</v>
      </c>
    </row>
    <row r="809" spans="1:10">
      <c r="A809" s="7" t="s">
        <v>3564</v>
      </c>
      <c r="B809" s="7" t="s">
        <v>14</v>
      </c>
      <c r="C809" s="7" t="s">
        <v>663</v>
      </c>
      <c r="D809" s="7" t="s">
        <v>614</v>
      </c>
      <c r="E809" s="7" t="s">
        <v>666</v>
      </c>
      <c r="F809" s="7" t="s">
        <v>3565</v>
      </c>
      <c r="G809" s="7" t="s">
        <v>703</v>
      </c>
      <c r="H809" s="7" t="s">
        <v>3566</v>
      </c>
      <c r="I809" s="7" t="s">
        <v>492</v>
      </c>
      <c r="J809" s="7" t="s">
        <v>648</v>
      </c>
    </row>
    <row r="810" spans="1:10">
      <c r="A810" s="7" t="s">
        <v>3567</v>
      </c>
      <c r="B810" s="7" t="s">
        <v>367</v>
      </c>
      <c r="C810" s="7" t="s">
        <v>802</v>
      </c>
      <c r="D810" s="7" t="s">
        <v>605</v>
      </c>
      <c r="E810" s="7" t="s">
        <v>724</v>
      </c>
      <c r="F810" s="7" t="s">
        <v>3568</v>
      </c>
      <c r="G810" s="7" t="s">
        <v>1297</v>
      </c>
      <c r="H810" s="7" t="s">
        <v>3569</v>
      </c>
      <c r="I810" s="7" t="s">
        <v>746</v>
      </c>
      <c r="J810" s="7" t="s">
        <v>682</v>
      </c>
    </row>
    <row r="811" spans="1:10">
      <c r="A811" s="7" t="s">
        <v>3570</v>
      </c>
      <c r="B811" s="7" t="s">
        <v>350</v>
      </c>
      <c r="C811" s="7" t="s">
        <v>747</v>
      </c>
      <c r="D811" s="7" t="s">
        <v>622</v>
      </c>
      <c r="E811" s="7" t="s">
        <v>917</v>
      </c>
      <c r="F811" s="7" t="s">
        <v>3571</v>
      </c>
      <c r="G811" s="7" t="s">
        <v>2615</v>
      </c>
      <c r="H811" s="7" t="s">
        <v>3572</v>
      </c>
      <c r="I811" s="7" t="s">
        <v>539</v>
      </c>
      <c r="J811" s="7" t="s">
        <v>633</v>
      </c>
    </row>
    <row r="812" spans="1:10">
      <c r="A812" s="7" t="s">
        <v>3573</v>
      </c>
      <c r="B812" s="7" t="s">
        <v>122</v>
      </c>
      <c r="C812" s="7" t="s">
        <v>628</v>
      </c>
      <c r="D812" s="7" t="s">
        <v>607</v>
      </c>
      <c r="E812" s="7" t="s">
        <v>3574</v>
      </c>
      <c r="F812" s="7" t="s">
        <v>3575</v>
      </c>
      <c r="G812" s="7" t="s">
        <v>1774</v>
      </c>
      <c r="H812" s="7" t="s">
        <v>3576</v>
      </c>
      <c r="I812" s="7" t="s">
        <v>1913</v>
      </c>
      <c r="J812" s="7" t="s">
        <v>633</v>
      </c>
    </row>
    <row r="813" spans="1:10">
      <c r="A813" s="7" t="s">
        <v>3577</v>
      </c>
      <c r="B813" s="7" t="s">
        <v>345</v>
      </c>
      <c r="C813" s="7" t="s">
        <v>824</v>
      </c>
      <c r="D813" s="7" t="s">
        <v>614</v>
      </c>
      <c r="E813" s="7" t="s">
        <v>2332</v>
      </c>
      <c r="F813" s="7" t="s">
        <v>3578</v>
      </c>
      <c r="G813" s="7" t="s">
        <v>1242</v>
      </c>
      <c r="H813" s="7" t="s">
        <v>3579</v>
      </c>
      <c r="I813" s="7" t="s">
        <v>2036</v>
      </c>
      <c r="J813" s="7" t="s">
        <v>613</v>
      </c>
    </row>
    <row r="814" spans="1:10">
      <c r="A814" s="7" t="s">
        <v>3580</v>
      </c>
      <c r="B814" s="7" t="s">
        <v>554</v>
      </c>
      <c r="C814" s="7" t="s">
        <v>732</v>
      </c>
      <c r="D814" s="7" t="s">
        <v>627</v>
      </c>
      <c r="E814" s="7" t="s">
        <v>2739</v>
      </c>
      <c r="F814" s="7" t="s">
        <v>3581</v>
      </c>
      <c r="G814" s="7" t="s">
        <v>1284</v>
      </c>
      <c r="H814" s="7" t="s">
        <v>3582</v>
      </c>
      <c r="I814" s="7" t="s">
        <v>3583</v>
      </c>
      <c r="J814" s="7" t="s">
        <v>633</v>
      </c>
    </row>
    <row r="815" spans="1:10">
      <c r="A815" s="7" t="s">
        <v>3584</v>
      </c>
      <c r="B815" s="7" t="s">
        <v>554</v>
      </c>
      <c r="C815" s="7" t="s">
        <v>860</v>
      </c>
      <c r="D815" s="7" t="s">
        <v>607</v>
      </c>
      <c r="E815" s="7" t="s">
        <v>610</v>
      </c>
      <c r="F815" s="7" t="s">
        <v>3585</v>
      </c>
      <c r="G815" s="7" t="s">
        <v>809</v>
      </c>
      <c r="H815" s="7" t="s">
        <v>3586</v>
      </c>
      <c r="I815" s="7" t="s">
        <v>1291</v>
      </c>
      <c r="J815" s="7" t="s">
        <v>682</v>
      </c>
    </row>
    <row r="816" spans="1:10">
      <c r="A816" s="7" t="s">
        <v>3587</v>
      </c>
      <c r="B816" s="7" t="s">
        <v>578</v>
      </c>
      <c r="C816" s="7" t="s">
        <v>849</v>
      </c>
      <c r="D816" s="7" t="s">
        <v>622</v>
      </c>
      <c r="E816" s="7" t="s">
        <v>2028</v>
      </c>
      <c r="F816" s="7" t="s">
        <v>3588</v>
      </c>
      <c r="G816" s="7" t="s">
        <v>1578</v>
      </c>
      <c r="H816" s="7" t="s">
        <v>3589</v>
      </c>
      <c r="I816" s="7" t="s">
        <v>208</v>
      </c>
      <c r="J816" s="7" t="s">
        <v>613</v>
      </c>
    </row>
    <row r="817" spans="1:10">
      <c r="A817" s="7" t="s">
        <v>3590</v>
      </c>
      <c r="B817" s="7" t="s">
        <v>254</v>
      </c>
      <c r="C817" s="7" t="s">
        <v>802</v>
      </c>
      <c r="D817" s="7" t="s">
        <v>622</v>
      </c>
      <c r="E817" s="7" t="s">
        <v>785</v>
      </c>
      <c r="F817" s="7" t="s">
        <v>3591</v>
      </c>
      <c r="G817" s="7" t="s">
        <v>1269</v>
      </c>
      <c r="H817" s="7" t="s">
        <v>3592</v>
      </c>
      <c r="I817" s="7" t="s">
        <v>1362</v>
      </c>
      <c r="J817" s="7" t="s">
        <v>682</v>
      </c>
    </row>
    <row r="818" spans="1:10">
      <c r="A818" s="7" t="s">
        <v>3593</v>
      </c>
      <c r="B818" s="7" t="s">
        <v>391</v>
      </c>
      <c r="C818" s="7" t="s">
        <v>701</v>
      </c>
      <c r="D818" s="7" t="s">
        <v>614</v>
      </c>
      <c r="E818" s="7" t="s">
        <v>966</v>
      </c>
      <c r="F818" s="7" t="s">
        <v>3594</v>
      </c>
      <c r="G818" s="7" t="s">
        <v>937</v>
      </c>
      <c r="H818" s="7" t="s">
        <v>3595</v>
      </c>
      <c r="I818" s="7" t="s">
        <v>1594</v>
      </c>
      <c r="J818" s="7" t="s">
        <v>648</v>
      </c>
    </row>
    <row r="819" spans="1:10">
      <c r="A819" s="7" t="s">
        <v>3596</v>
      </c>
      <c r="B819" s="7" t="s">
        <v>27</v>
      </c>
      <c r="C819" s="7" t="s">
        <v>656</v>
      </c>
      <c r="D819" s="7" t="s">
        <v>627</v>
      </c>
      <c r="E819" s="7" t="s">
        <v>677</v>
      </c>
      <c r="F819" s="7" t="s">
        <v>3597</v>
      </c>
      <c r="G819" s="7" t="s">
        <v>1918</v>
      </c>
      <c r="H819" s="7" t="s">
        <v>3598</v>
      </c>
      <c r="I819" s="7" t="s">
        <v>948</v>
      </c>
      <c r="J819" s="7" t="s">
        <v>613</v>
      </c>
    </row>
    <row r="820" spans="1:10">
      <c r="A820" s="7" t="s">
        <v>3599</v>
      </c>
      <c r="B820" s="7" t="s">
        <v>312</v>
      </c>
      <c r="C820" s="7" t="s">
        <v>894</v>
      </c>
      <c r="D820" s="7" t="s">
        <v>607</v>
      </c>
      <c r="E820" s="7" t="s">
        <v>768</v>
      </c>
      <c r="F820" s="7" t="s">
        <v>3600</v>
      </c>
      <c r="G820" s="7" t="s">
        <v>1426</v>
      </c>
      <c r="H820" s="7" t="s">
        <v>3601</v>
      </c>
      <c r="I820" s="7" t="s">
        <v>35</v>
      </c>
      <c r="J820" s="7" t="s">
        <v>648</v>
      </c>
    </row>
    <row r="821" spans="1:10">
      <c r="A821" s="7" t="s">
        <v>3602</v>
      </c>
      <c r="B821" s="7" t="s">
        <v>200</v>
      </c>
      <c r="C821" s="7" t="s">
        <v>931</v>
      </c>
      <c r="D821" s="7" t="s">
        <v>622</v>
      </c>
      <c r="E821" s="7" t="s">
        <v>768</v>
      </c>
      <c r="F821" s="7" t="s">
        <v>3603</v>
      </c>
      <c r="G821" s="7" t="s">
        <v>645</v>
      </c>
      <c r="H821" s="7" t="s">
        <v>3604</v>
      </c>
      <c r="I821" s="7" t="s">
        <v>3605</v>
      </c>
      <c r="J821" s="7" t="s">
        <v>648</v>
      </c>
    </row>
    <row r="822" spans="1:10">
      <c r="A822" s="7" t="s">
        <v>3606</v>
      </c>
      <c r="B822" s="7" t="s">
        <v>301</v>
      </c>
      <c r="C822" s="7" t="s">
        <v>732</v>
      </c>
      <c r="D822" s="7" t="s">
        <v>627</v>
      </c>
      <c r="E822" s="7" t="s">
        <v>943</v>
      </c>
      <c r="F822" s="7" t="s">
        <v>3607</v>
      </c>
      <c r="G822" s="7" t="s">
        <v>724</v>
      </c>
      <c r="H822" s="7" t="s">
        <v>3608</v>
      </c>
      <c r="I822" s="7" t="s">
        <v>1508</v>
      </c>
      <c r="J822" s="7" t="s">
        <v>633</v>
      </c>
    </row>
    <row r="823" spans="1:10">
      <c r="A823" s="7" t="s">
        <v>3609</v>
      </c>
      <c r="B823" s="7" t="s">
        <v>443</v>
      </c>
      <c r="C823" s="7" t="s">
        <v>615</v>
      </c>
      <c r="D823" s="7" t="s">
        <v>607</v>
      </c>
      <c r="E823" s="7" t="s">
        <v>739</v>
      </c>
      <c r="F823" s="7" t="s">
        <v>3610</v>
      </c>
      <c r="G823" s="7" t="s">
        <v>864</v>
      </c>
      <c r="H823" s="7" t="s">
        <v>3611</v>
      </c>
      <c r="I823" s="7" t="s">
        <v>202</v>
      </c>
      <c r="J823" s="7" t="s">
        <v>621</v>
      </c>
    </row>
    <row r="824" spans="1:10">
      <c r="A824" s="7" t="s">
        <v>3612</v>
      </c>
      <c r="B824" s="7" t="s">
        <v>514</v>
      </c>
      <c r="C824" s="7" t="s">
        <v>931</v>
      </c>
      <c r="D824" s="7" t="s">
        <v>622</v>
      </c>
      <c r="E824" s="7" t="s">
        <v>888</v>
      </c>
      <c r="F824" s="7" t="s">
        <v>3613</v>
      </c>
      <c r="G824" s="7" t="s">
        <v>937</v>
      </c>
      <c r="H824" s="7" t="s">
        <v>3614</v>
      </c>
      <c r="I824" s="7" t="s">
        <v>2314</v>
      </c>
      <c r="J824" s="7" t="s">
        <v>648</v>
      </c>
    </row>
    <row r="825" spans="1:10">
      <c r="A825" s="7" t="s">
        <v>3615</v>
      </c>
      <c r="B825" s="7" t="s">
        <v>572</v>
      </c>
      <c r="C825" s="7" t="s">
        <v>855</v>
      </c>
      <c r="D825" s="7" t="s">
        <v>627</v>
      </c>
      <c r="E825" s="7" t="s">
        <v>744</v>
      </c>
      <c r="F825" s="7" t="s">
        <v>3616</v>
      </c>
      <c r="G825" s="7" t="s">
        <v>1445</v>
      </c>
      <c r="H825" s="7" t="s">
        <v>3617</v>
      </c>
      <c r="I825" s="7" t="s">
        <v>1805</v>
      </c>
      <c r="J825" s="7" t="s">
        <v>613</v>
      </c>
    </row>
    <row r="826" spans="1:10">
      <c r="A826" s="7" t="s">
        <v>3618</v>
      </c>
      <c r="B826" s="7" t="s">
        <v>265</v>
      </c>
      <c r="C826" s="7" t="s">
        <v>755</v>
      </c>
      <c r="D826" s="7" t="s">
        <v>607</v>
      </c>
      <c r="E826" s="7" t="s">
        <v>1392</v>
      </c>
      <c r="F826" s="7" t="s">
        <v>3619</v>
      </c>
      <c r="G826" s="7" t="s">
        <v>3620</v>
      </c>
      <c r="H826" s="7" t="s">
        <v>3621</v>
      </c>
      <c r="I826" s="7" t="s">
        <v>527</v>
      </c>
      <c r="J826" s="7" t="s">
        <v>613</v>
      </c>
    </row>
    <row r="827" spans="1:10">
      <c r="A827" s="7" t="s">
        <v>3622</v>
      </c>
      <c r="B827" s="7" t="s">
        <v>455</v>
      </c>
      <c r="C827" s="7" t="s">
        <v>676</v>
      </c>
      <c r="D827" s="7" t="s">
        <v>607</v>
      </c>
      <c r="E827" s="7" t="s">
        <v>677</v>
      </c>
      <c r="F827" s="7" t="s">
        <v>3623</v>
      </c>
      <c r="G827" s="7" t="s">
        <v>672</v>
      </c>
      <c r="H827" s="7" t="s">
        <v>3624</v>
      </c>
      <c r="I827" s="7" t="s">
        <v>1970</v>
      </c>
      <c r="J827" s="7" t="s">
        <v>682</v>
      </c>
    </row>
    <row r="828" spans="1:10">
      <c r="A828" s="7" t="s">
        <v>3625</v>
      </c>
      <c r="B828" s="7" t="s">
        <v>508</v>
      </c>
      <c r="C828" s="7" t="s">
        <v>663</v>
      </c>
      <c r="D828" s="7" t="s">
        <v>605</v>
      </c>
      <c r="E828" s="7" t="s">
        <v>666</v>
      </c>
      <c r="F828" s="7" t="s">
        <v>3626</v>
      </c>
      <c r="G828" s="7" t="s">
        <v>703</v>
      </c>
      <c r="H828" s="7" t="s">
        <v>3627</v>
      </c>
      <c r="I828" s="7" t="s">
        <v>2269</v>
      </c>
      <c r="J828" s="7" t="s">
        <v>648</v>
      </c>
    </row>
    <row r="829" spans="1:10">
      <c r="A829" s="7" t="s">
        <v>3628</v>
      </c>
      <c r="B829" s="7" t="s">
        <v>265</v>
      </c>
      <c r="C829" s="7" t="s">
        <v>656</v>
      </c>
      <c r="D829" s="7" t="s">
        <v>622</v>
      </c>
      <c r="E829" s="7" t="s">
        <v>1897</v>
      </c>
      <c r="F829" s="7" t="s">
        <v>3629</v>
      </c>
      <c r="G829" s="7" t="s">
        <v>1087</v>
      </c>
      <c r="H829" s="7" t="s">
        <v>3630</v>
      </c>
      <c r="I829" s="7" t="s">
        <v>1019</v>
      </c>
      <c r="J829" s="7" t="s">
        <v>613</v>
      </c>
    </row>
    <row r="830" spans="1:10">
      <c r="A830" s="7" t="s">
        <v>3631</v>
      </c>
      <c r="B830" s="7" t="s">
        <v>122</v>
      </c>
      <c r="C830" s="7" t="s">
        <v>748</v>
      </c>
      <c r="D830" s="7" t="s">
        <v>627</v>
      </c>
      <c r="E830" s="7" t="s">
        <v>2343</v>
      </c>
      <c r="F830" s="7" t="s">
        <v>3632</v>
      </c>
      <c r="G830" s="7" t="s">
        <v>1620</v>
      </c>
      <c r="H830" s="7" t="s">
        <v>3633</v>
      </c>
      <c r="I830" s="7" t="s">
        <v>3490</v>
      </c>
      <c r="J830" s="7" t="s">
        <v>754</v>
      </c>
    </row>
    <row r="831" spans="1:10">
      <c r="A831" s="7" t="s">
        <v>3634</v>
      </c>
      <c r="B831" s="7" t="s">
        <v>45</v>
      </c>
      <c r="C831" s="7" t="s">
        <v>855</v>
      </c>
      <c r="D831" s="7" t="s">
        <v>614</v>
      </c>
      <c r="E831" s="7" t="s">
        <v>3635</v>
      </c>
      <c r="F831" s="7" t="s">
        <v>3636</v>
      </c>
      <c r="G831" s="7" t="s">
        <v>782</v>
      </c>
      <c r="H831" s="7" t="s">
        <v>3637</v>
      </c>
      <c r="I831" s="7" t="s">
        <v>202</v>
      </c>
      <c r="J831" s="7" t="s">
        <v>613</v>
      </c>
    </row>
    <row r="832" spans="1:10">
      <c r="A832" s="7" t="s">
        <v>3638</v>
      </c>
      <c r="B832" s="7" t="s">
        <v>466</v>
      </c>
      <c r="C832" s="7" t="s">
        <v>669</v>
      </c>
      <c r="D832" s="7" t="s">
        <v>607</v>
      </c>
      <c r="E832" s="7" t="s">
        <v>1574</v>
      </c>
      <c r="F832" s="7" t="s">
        <v>3639</v>
      </c>
      <c r="G832" s="7" t="s">
        <v>1072</v>
      </c>
      <c r="H832" s="7" t="s">
        <v>3640</v>
      </c>
      <c r="I832" s="7" t="s">
        <v>2469</v>
      </c>
      <c r="J832" s="7" t="s">
        <v>613</v>
      </c>
    </row>
    <row r="833" spans="1:10">
      <c r="A833" s="7" t="s">
        <v>3641</v>
      </c>
      <c r="B833" s="7" t="s">
        <v>158</v>
      </c>
      <c r="C833" s="7" t="s">
        <v>863</v>
      </c>
      <c r="D833" s="7" t="s">
        <v>627</v>
      </c>
      <c r="E833" s="7" t="s">
        <v>1111</v>
      </c>
      <c r="F833" s="7" t="s">
        <v>3642</v>
      </c>
      <c r="G833" s="7" t="s">
        <v>812</v>
      </c>
      <c r="H833" s="7" t="s">
        <v>3643</v>
      </c>
      <c r="I833" s="7" t="s">
        <v>1473</v>
      </c>
      <c r="J833" s="7" t="s">
        <v>754</v>
      </c>
    </row>
    <row r="834" spans="1:10">
      <c r="A834" s="7" t="s">
        <v>3644</v>
      </c>
      <c r="B834" s="7" t="s">
        <v>14</v>
      </c>
      <c r="C834" s="7" t="s">
        <v>762</v>
      </c>
      <c r="D834" s="7" t="s">
        <v>622</v>
      </c>
      <c r="E834" s="7" t="s">
        <v>610</v>
      </c>
      <c r="F834" s="7" t="s">
        <v>3645</v>
      </c>
      <c r="G834" s="7" t="s">
        <v>1140</v>
      </c>
      <c r="H834" s="7" t="s">
        <v>3646</v>
      </c>
      <c r="I834" s="7" t="s">
        <v>1051</v>
      </c>
      <c r="J834" s="7" t="s">
        <v>682</v>
      </c>
    </row>
    <row r="835" spans="1:10">
      <c r="A835" s="7" t="s">
        <v>3647</v>
      </c>
      <c r="B835" s="7" t="s">
        <v>176</v>
      </c>
      <c r="C835" s="7" t="s">
        <v>696</v>
      </c>
      <c r="D835" s="7" t="s">
        <v>607</v>
      </c>
      <c r="E835" s="7" t="s">
        <v>1081</v>
      </c>
      <c r="F835" s="7" t="s">
        <v>3648</v>
      </c>
      <c r="G835" s="7" t="s">
        <v>864</v>
      </c>
      <c r="H835" s="7" t="s">
        <v>3649</v>
      </c>
      <c r="I835" s="7" t="s">
        <v>948</v>
      </c>
      <c r="J835" s="7" t="s">
        <v>621</v>
      </c>
    </row>
    <row r="836" spans="1:10">
      <c r="A836" s="7" t="s">
        <v>3650</v>
      </c>
      <c r="B836" s="7" t="s">
        <v>525</v>
      </c>
      <c r="C836" s="7" t="s">
        <v>732</v>
      </c>
      <c r="D836" s="7" t="s">
        <v>614</v>
      </c>
      <c r="E836" s="7" t="s">
        <v>2453</v>
      </c>
      <c r="F836" s="7" t="s">
        <v>3651</v>
      </c>
      <c r="G836" s="7" t="s">
        <v>945</v>
      </c>
      <c r="H836" s="7" t="s">
        <v>3652</v>
      </c>
      <c r="I836" s="7" t="s">
        <v>580</v>
      </c>
      <c r="J836" s="7" t="s">
        <v>633</v>
      </c>
    </row>
    <row r="837" spans="1:10">
      <c r="A837" s="7" t="s">
        <v>3653</v>
      </c>
      <c r="B837" s="7" t="s">
        <v>122</v>
      </c>
      <c r="C837" s="7" t="s">
        <v>843</v>
      </c>
      <c r="D837" s="7" t="s">
        <v>607</v>
      </c>
      <c r="E837" s="7" t="s">
        <v>658</v>
      </c>
      <c r="F837" s="7" t="s">
        <v>3654</v>
      </c>
      <c r="G837" s="7" t="s">
        <v>817</v>
      </c>
      <c r="H837" s="7" t="s">
        <v>3655</v>
      </c>
      <c r="I837" s="7" t="s">
        <v>550</v>
      </c>
      <c r="J837" s="7" t="s">
        <v>621</v>
      </c>
    </row>
    <row r="838" spans="1:10">
      <c r="A838" s="7" t="s">
        <v>3656</v>
      </c>
      <c r="B838" s="7" t="s">
        <v>218</v>
      </c>
      <c r="C838" s="7" t="s">
        <v>628</v>
      </c>
      <c r="D838" s="7" t="s">
        <v>607</v>
      </c>
      <c r="E838" s="7" t="s">
        <v>2343</v>
      </c>
      <c r="F838" s="7" t="s">
        <v>3657</v>
      </c>
      <c r="G838" s="7" t="s">
        <v>2769</v>
      </c>
      <c r="H838" s="7" t="s">
        <v>3658</v>
      </c>
      <c r="I838" s="7" t="s">
        <v>1778</v>
      </c>
      <c r="J838" s="7" t="s">
        <v>633</v>
      </c>
    </row>
    <row r="839" spans="1:10">
      <c r="A839" s="7" t="s">
        <v>3659</v>
      </c>
      <c r="B839" s="7" t="s">
        <v>20</v>
      </c>
      <c r="C839" s="7" t="s">
        <v>722</v>
      </c>
      <c r="D839" s="7" t="s">
        <v>622</v>
      </c>
      <c r="E839" s="7" t="s">
        <v>733</v>
      </c>
      <c r="F839" s="7" t="s">
        <v>3660</v>
      </c>
      <c r="G839" s="7" t="s">
        <v>1219</v>
      </c>
      <c r="H839" s="7" t="s">
        <v>3661</v>
      </c>
      <c r="I839" s="7" t="s">
        <v>647</v>
      </c>
      <c r="J839" s="7" t="s">
        <v>640</v>
      </c>
    </row>
    <row r="840" spans="1:10">
      <c r="A840" s="7" t="s">
        <v>3662</v>
      </c>
      <c r="B840" s="7" t="s">
        <v>425</v>
      </c>
      <c r="C840" s="7" t="s">
        <v>876</v>
      </c>
      <c r="D840" s="7" t="s">
        <v>627</v>
      </c>
      <c r="E840" s="7" t="s">
        <v>821</v>
      </c>
      <c r="F840" s="7" t="s">
        <v>3663</v>
      </c>
      <c r="G840" s="7" t="s">
        <v>864</v>
      </c>
      <c r="H840" s="7" t="s">
        <v>3664</v>
      </c>
      <c r="I840" s="7" t="s">
        <v>3665</v>
      </c>
      <c r="J840" s="7" t="s">
        <v>754</v>
      </c>
    </row>
    <row r="841" spans="1:10">
      <c r="A841" s="7" t="s">
        <v>3666</v>
      </c>
      <c r="B841" s="7" t="s">
        <v>188</v>
      </c>
      <c r="C841" s="7" t="s">
        <v>606</v>
      </c>
      <c r="D841" s="7" t="s">
        <v>614</v>
      </c>
      <c r="E841" s="7" t="s">
        <v>780</v>
      </c>
      <c r="F841" s="7" t="s">
        <v>3667</v>
      </c>
      <c r="G841" s="7" t="s">
        <v>2069</v>
      </c>
      <c r="H841" s="7" t="s">
        <v>3668</v>
      </c>
      <c r="I841" s="7" t="s">
        <v>1750</v>
      </c>
      <c r="J841" s="7" t="s">
        <v>613</v>
      </c>
    </row>
    <row r="842" spans="1:10">
      <c r="A842" s="7" t="s">
        <v>3669</v>
      </c>
      <c r="B842" s="7" t="s">
        <v>248</v>
      </c>
      <c r="C842" s="7" t="s">
        <v>762</v>
      </c>
      <c r="D842" s="7" t="s">
        <v>607</v>
      </c>
      <c r="E842" s="7" t="s">
        <v>724</v>
      </c>
      <c r="F842" s="7" t="s">
        <v>3670</v>
      </c>
      <c r="G842" s="7" t="s">
        <v>765</v>
      </c>
      <c r="H842" s="7" t="s">
        <v>3671</v>
      </c>
      <c r="I842" s="7" t="s">
        <v>1605</v>
      </c>
      <c r="J842" s="7" t="s">
        <v>682</v>
      </c>
    </row>
    <row r="843" spans="1:10">
      <c r="A843" s="7" t="s">
        <v>3672</v>
      </c>
      <c r="B843" s="7" t="s">
        <v>502</v>
      </c>
      <c r="C843" s="7" t="s">
        <v>855</v>
      </c>
      <c r="D843" s="7" t="s">
        <v>614</v>
      </c>
      <c r="E843" s="7" t="s">
        <v>1116</v>
      </c>
      <c r="F843" s="7" t="s">
        <v>3673</v>
      </c>
      <c r="G843" s="7" t="s">
        <v>1041</v>
      </c>
      <c r="H843" s="7" t="s">
        <v>3674</v>
      </c>
      <c r="I843" s="7" t="s">
        <v>1546</v>
      </c>
      <c r="J843" s="7" t="s">
        <v>613</v>
      </c>
    </row>
    <row r="844" spans="1:10">
      <c r="A844" s="7" t="s">
        <v>3675</v>
      </c>
      <c r="B844" s="7" t="s">
        <v>45</v>
      </c>
      <c r="C844" s="7" t="s">
        <v>949</v>
      </c>
      <c r="D844" s="7" t="s">
        <v>605</v>
      </c>
      <c r="E844" s="7" t="s">
        <v>635</v>
      </c>
      <c r="F844" s="7" t="s">
        <v>3676</v>
      </c>
      <c r="G844" s="7" t="s">
        <v>735</v>
      </c>
      <c r="H844" s="7" t="s">
        <v>3677</v>
      </c>
      <c r="I844" s="7" t="s">
        <v>1960</v>
      </c>
      <c r="J844" s="7" t="s">
        <v>640</v>
      </c>
    </row>
    <row r="845" spans="1:10">
      <c r="A845" s="7" t="s">
        <v>3678</v>
      </c>
      <c r="B845" s="7" t="s">
        <v>397</v>
      </c>
      <c r="C845" s="7" t="s">
        <v>876</v>
      </c>
      <c r="D845" s="7" t="s">
        <v>605</v>
      </c>
      <c r="E845" s="7" t="s">
        <v>1310</v>
      </c>
      <c r="F845" s="7" t="s">
        <v>3679</v>
      </c>
      <c r="G845" s="7" t="s">
        <v>3680</v>
      </c>
      <c r="H845" s="7" t="s">
        <v>3681</v>
      </c>
      <c r="I845" s="7" t="s">
        <v>358</v>
      </c>
      <c r="J845" s="7" t="s">
        <v>754</v>
      </c>
    </row>
    <row r="846" spans="1:10">
      <c r="A846" s="7" t="s">
        <v>3682</v>
      </c>
      <c r="B846" s="7" t="s">
        <v>194</v>
      </c>
      <c r="C846" s="7" t="s">
        <v>901</v>
      </c>
      <c r="D846" s="7" t="s">
        <v>607</v>
      </c>
      <c r="E846" s="7" t="s">
        <v>1471</v>
      </c>
      <c r="F846" s="7" t="s">
        <v>3683</v>
      </c>
      <c r="G846" s="7" t="s">
        <v>1774</v>
      </c>
      <c r="H846" s="7" t="s">
        <v>3684</v>
      </c>
      <c r="I846" s="7" t="s">
        <v>885</v>
      </c>
      <c r="J846" s="7" t="s">
        <v>633</v>
      </c>
    </row>
    <row r="847" spans="1:10">
      <c r="A847" s="7" t="s">
        <v>3685</v>
      </c>
      <c r="B847" s="7" t="s">
        <v>408</v>
      </c>
      <c r="C847" s="7" t="s">
        <v>700</v>
      </c>
      <c r="D847" s="7" t="s">
        <v>627</v>
      </c>
      <c r="E847" s="7" t="s">
        <v>2059</v>
      </c>
      <c r="F847" s="7" t="s">
        <v>3686</v>
      </c>
      <c r="G847" s="7" t="s">
        <v>2405</v>
      </c>
      <c r="H847" s="7" t="s">
        <v>3687</v>
      </c>
      <c r="I847" s="7" t="s">
        <v>1605</v>
      </c>
      <c r="J847" s="7" t="s">
        <v>613</v>
      </c>
    </row>
    <row r="848" spans="1:10">
      <c r="A848" s="7" t="s">
        <v>3688</v>
      </c>
      <c r="B848" s="7" t="s">
        <v>57</v>
      </c>
      <c r="C848" s="7" t="s">
        <v>843</v>
      </c>
      <c r="D848" s="7" t="s">
        <v>627</v>
      </c>
      <c r="E848" s="7" t="s">
        <v>616</v>
      </c>
      <c r="F848" s="7" t="s">
        <v>3689</v>
      </c>
      <c r="G848" s="7" t="s">
        <v>864</v>
      </c>
      <c r="H848" s="7" t="s">
        <v>3690</v>
      </c>
      <c r="I848" s="7" t="s">
        <v>1508</v>
      </c>
      <c r="J848" s="7" t="s">
        <v>621</v>
      </c>
    </row>
    <row r="849" spans="1:10">
      <c r="A849" s="7" t="s">
        <v>3691</v>
      </c>
      <c r="B849" s="7" t="s">
        <v>33</v>
      </c>
      <c r="C849" s="7" t="s">
        <v>641</v>
      </c>
      <c r="D849" s="7" t="s">
        <v>605</v>
      </c>
      <c r="E849" s="7" t="s">
        <v>763</v>
      </c>
      <c r="F849" s="7" t="s">
        <v>3692</v>
      </c>
      <c r="G849" s="7" t="s">
        <v>1269</v>
      </c>
      <c r="H849" s="7" t="s">
        <v>3693</v>
      </c>
      <c r="I849" s="7" t="s">
        <v>2909</v>
      </c>
      <c r="J849" s="7" t="s">
        <v>682</v>
      </c>
    </row>
    <row r="850" spans="1:10">
      <c r="A850" s="7" t="s">
        <v>3694</v>
      </c>
      <c r="B850" s="7" t="s">
        <v>80</v>
      </c>
      <c r="C850" s="7" t="s">
        <v>901</v>
      </c>
      <c r="D850" s="7" t="s">
        <v>605</v>
      </c>
      <c r="E850" s="7" t="s">
        <v>765</v>
      </c>
      <c r="F850" s="7" t="s">
        <v>3695</v>
      </c>
      <c r="G850" s="7" t="s">
        <v>809</v>
      </c>
      <c r="H850" s="7" t="s">
        <v>3696</v>
      </c>
      <c r="I850" s="7" t="s">
        <v>761</v>
      </c>
      <c r="J850" s="7" t="s">
        <v>633</v>
      </c>
    </row>
    <row r="851" spans="1:10">
      <c r="A851" s="7" t="s">
        <v>3697</v>
      </c>
      <c r="B851" s="7" t="s">
        <v>543</v>
      </c>
      <c r="C851" s="7" t="s">
        <v>701</v>
      </c>
      <c r="D851" s="7" t="s">
        <v>627</v>
      </c>
      <c r="E851" s="7" t="s">
        <v>1021</v>
      </c>
      <c r="F851" s="7" t="s">
        <v>3698</v>
      </c>
      <c r="G851" s="7" t="s">
        <v>950</v>
      </c>
      <c r="H851" s="7" t="s">
        <v>3699</v>
      </c>
      <c r="I851" s="7" t="s">
        <v>919</v>
      </c>
      <c r="J851" s="7" t="s">
        <v>648</v>
      </c>
    </row>
    <row r="852" spans="1:10">
      <c r="A852" s="7" t="s">
        <v>3700</v>
      </c>
      <c r="B852" s="7" t="s">
        <v>182</v>
      </c>
      <c r="C852" s="7" t="s">
        <v>690</v>
      </c>
      <c r="D852" s="7" t="s">
        <v>622</v>
      </c>
      <c r="E852" s="7" t="s">
        <v>763</v>
      </c>
      <c r="F852" s="7" t="s">
        <v>3701</v>
      </c>
      <c r="G852" s="7" t="s">
        <v>1269</v>
      </c>
      <c r="H852" s="7" t="s">
        <v>3702</v>
      </c>
      <c r="I852" s="7" t="s">
        <v>154</v>
      </c>
      <c r="J852" s="7" t="s">
        <v>682</v>
      </c>
    </row>
    <row r="853" spans="1:10">
      <c r="A853" s="7" t="s">
        <v>3703</v>
      </c>
      <c r="B853" s="7" t="s">
        <v>212</v>
      </c>
      <c r="C853" s="7" t="s">
        <v>843</v>
      </c>
      <c r="D853" s="7" t="s">
        <v>614</v>
      </c>
      <c r="E853" s="7" t="s">
        <v>817</v>
      </c>
      <c r="F853" s="7" t="s">
        <v>3704</v>
      </c>
      <c r="G853" s="7" t="s">
        <v>660</v>
      </c>
      <c r="H853" s="7" t="s">
        <v>3705</v>
      </c>
      <c r="I853" s="7" t="s">
        <v>1109</v>
      </c>
      <c r="J853" s="7" t="s">
        <v>621</v>
      </c>
    </row>
    <row r="854" spans="1:10">
      <c r="A854" s="7" t="s">
        <v>3706</v>
      </c>
      <c r="B854" s="7" t="s">
        <v>301</v>
      </c>
      <c r="C854" s="7" t="s">
        <v>876</v>
      </c>
      <c r="D854" s="7" t="s">
        <v>622</v>
      </c>
      <c r="E854" s="7" t="s">
        <v>3173</v>
      </c>
      <c r="F854" s="7" t="s">
        <v>3707</v>
      </c>
      <c r="G854" s="7" t="s">
        <v>2049</v>
      </c>
      <c r="H854" s="7" t="s">
        <v>3708</v>
      </c>
      <c r="I854" s="7" t="s">
        <v>285</v>
      </c>
      <c r="J854" s="7" t="s">
        <v>754</v>
      </c>
    </row>
    <row r="855" spans="1:10">
      <c r="A855" s="7" t="s">
        <v>3709</v>
      </c>
      <c r="B855" s="7" t="s">
        <v>98</v>
      </c>
      <c r="C855" s="7" t="s">
        <v>723</v>
      </c>
      <c r="D855" s="7" t="s">
        <v>622</v>
      </c>
      <c r="E855" s="7" t="s">
        <v>943</v>
      </c>
      <c r="F855" s="7" t="s">
        <v>3710</v>
      </c>
      <c r="G855" s="7" t="s">
        <v>677</v>
      </c>
      <c r="H855" s="7" t="s">
        <v>3711</v>
      </c>
      <c r="I855" s="7" t="s">
        <v>3583</v>
      </c>
      <c r="J855" s="7" t="s">
        <v>682</v>
      </c>
    </row>
    <row r="856" spans="1:10">
      <c r="A856" s="7" t="s">
        <v>3712</v>
      </c>
      <c r="B856" s="7" t="s">
        <v>200</v>
      </c>
      <c r="C856" s="7" t="s">
        <v>901</v>
      </c>
      <c r="D856" s="7" t="s">
        <v>607</v>
      </c>
      <c r="E856" s="7" t="s">
        <v>2129</v>
      </c>
      <c r="F856" s="7" t="s">
        <v>3713</v>
      </c>
      <c r="G856" s="7" t="s">
        <v>3714</v>
      </c>
      <c r="H856" s="7" t="s">
        <v>3715</v>
      </c>
      <c r="I856" s="7" t="s">
        <v>1271</v>
      </c>
      <c r="J856" s="7" t="s">
        <v>633</v>
      </c>
    </row>
    <row r="857" spans="1:10">
      <c r="A857" s="7" t="s">
        <v>3716</v>
      </c>
      <c r="B857" s="7" t="s">
        <v>455</v>
      </c>
      <c r="C857" s="7" t="s">
        <v>701</v>
      </c>
      <c r="D857" s="7" t="s">
        <v>614</v>
      </c>
      <c r="E857" s="7" t="s">
        <v>888</v>
      </c>
      <c r="F857" s="7" t="s">
        <v>3717</v>
      </c>
      <c r="G857" s="7" t="s">
        <v>955</v>
      </c>
      <c r="H857" s="7" t="s">
        <v>3718</v>
      </c>
      <c r="I857" s="7" t="s">
        <v>65</v>
      </c>
      <c r="J857" s="7" t="s">
        <v>648</v>
      </c>
    </row>
    <row r="858" spans="1:10">
      <c r="A858" s="7" t="s">
        <v>3719</v>
      </c>
      <c r="B858" s="7" t="s">
        <v>318</v>
      </c>
      <c r="C858" s="7" t="s">
        <v>926</v>
      </c>
      <c r="D858" s="7" t="s">
        <v>605</v>
      </c>
      <c r="E858" s="7" t="s">
        <v>733</v>
      </c>
      <c r="F858" s="7" t="s">
        <v>3720</v>
      </c>
      <c r="G858" s="7" t="s">
        <v>637</v>
      </c>
      <c r="H858" s="7" t="s">
        <v>3721</v>
      </c>
      <c r="I858" s="7" t="s">
        <v>1508</v>
      </c>
      <c r="J858" s="7" t="s">
        <v>754</v>
      </c>
    </row>
    <row r="859" spans="1:10">
      <c r="A859" s="7" t="s">
        <v>3722</v>
      </c>
      <c r="B859" s="7" t="s">
        <v>277</v>
      </c>
      <c r="C859" s="7" t="s">
        <v>843</v>
      </c>
      <c r="D859" s="7" t="s">
        <v>627</v>
      </c>
      <c r="E859" s="7" t="s">
        <v>658</v>
      </c>
      <c r="F859" s="7" t="s">
        <v>3723</v>
      </c>
      <c r="G859" s="7" t="s">
        <v>739</v>
      </c>
      <c r="H859" s="7" t="s">
        <v>3724</v>
      </c>
      <c r="I859" s="7" t="s">
        <v>2289</v>
      </c>
      <c r="J859" s="7" t="s">
        <v>621</v>
      </c>
    </row>
    <row r="860" spans="1:10">
      <c r="A860" s="7" t="s">
        <v>3725</v>
      </c>
      <c r="B860" s="7" t="s">
        <v>283</v>
      </c>
      <c r="C860" s="7" t="s">
        <v>657</v>
      </c>
      <c r="D860" s="7" t="s">
        <v>605</v>
      </c>
      <c r="E860" s="7" t="s">
        <v>921</v>
      </c>
      <c r="F860" s="7" t="s">
        <v>3726</v>
      </c>
      <c r="G860" s="7" t="s">
        <v>698</v>
      </c>
      <c r="H860" s="7" t="s">
        <v>3727</v>
      </c>
      <c r="I860" s="7" t="s">
        <v>1004</v>
      </c>
      <c r="J860" s="7" t="s">
        <v>621</v>
      </c>
    </row>
    <row r="861" spans="1:10">
      <c r="A861" s="7" t="s">
        <v>3728</v>
      </c>
      <c r="B861" s="7" t="s">
        <v>379</v>
      </c>
      <c r="C861" s="7" t="s">
        <v>628</v>
      </c>
      <c r="D861" s="7" t="s">
        <v>605</v>
      </c>
      <c r="E861" s="7" t="s">
        <v>2737</v>
      </c>
      <c r="F861" s="7" t="s">
        <v>3729</v>
      </c>
      <c r="G861" s="7" t="s">
        <v>780</v>
      </c>
      <c r="H861" s="7" t="s">
        <v>3730</v>
      </c>
      <c r="I861" s="7" t="s">
        <v>3009</v>
      </c>
      <c r="J861" s="7" t="s">
        <v>633</v>
      </c>
    </row>
    <row r="862" spans="1:10">
      <c r="A862" s="7" t="s">
        <v>3731</v>
      </c>
      <c r="B862" s="7" t="s">
        <v>182</v>
      </c>
      <c r="C862" s="7" t="s">
        <v>732</v>
      </c>
      <c r="D862" s="7" t="s">
        <v>605</v>
      </c>
      <c r="E862" s="7" t="s">
        <v>733</v>
      </c>
      <c r="F862" s="7" t="s">
        <v>3732</v>
      </c>
      <c r="G862" s="7" t="s">
        <v>730</v>
      </c>
      <c r="H862" s="7" t="s">
        <v>3733</v>
      </c>
      <c r="I862" s="7" t="s">
        <v>1315</v>
      </c>
      <c r="J862" s="7" t="s">
        <v>633</v>
      </c>
    </row>
    <row r="863" spans="1:10">
      <c r="A863" s="7" t="s">
        <v>3734</v>
      </c>
      <c r="B863" s="7" t="s">
        <v>295</v>
      </c>
      <c r="C863" s="7" t="s">
        <v>641</v>
      </c>
      <c r="D863" s="7" t="s">
        <v>627</v>
      </c>
      <c r="E863" s="7" t="s">
        <v>724</v>
      </c>
      <c r="F863" s="7" t="s">
        <v>3735</v>
      </c>
      <c r="G863" s="7" t="s">
        <v>877</v>
      </c>
      <c r="H863" s="7" t="s">
        <v>3736</v>
      </c>
      <c r="I863" s="7" t="s">
        <v>2057</v>
      </c>
      <c r="J863" s="7" t="s">
        <v>682</v>
      </c>
    </row>
    <row r="864" spans="1:10">
      <c r="A864" s="7" t="s">
        <v>3737</v>
      </c>
      <c r="B864" s="7" t="s">
        <v>584</v>
      </c>
      <c r="C864" s="7" t="s">
        <v>691</v>
      </c>
      <c r="D864" s="7" t="s">
        <v>622</v>
      </c>
      <c r="E864" s="7" t="s">
        <v>2521</v>
      </c>
      <c r="F864" s="7" t="s">
        <v>3738</v>
      </c>
      <c r="G864" s="7" t="s">
        <v>934</v>
      </c>
      <c r="H864" s="7" t="s">
        <v>3739</v>
      </c>
      <c r="I864" s="7" t="s">
        <v>2712</v>
      </c>
      <c r="J864" s="7" t="s">
        <v>613</v>
      </c>
    </row>
    <row r="865" spans="1:10">
      <c r="A865" s="7" t="s">
        <v>3740</v>
      </c>
      <c r="B865" s="7" t="s">
        <v>200</v>
      </c>
      <c r="C865" s="7" t="s">
        <v>675</v>
      </c>
      <c r="D865" s="7" t="s">
        <v>605</v>
      </c>
      <c r="E865" s="7" t="s">
        <v>635</v>
      </c>
      <c r="F865" s="7" t="s">
        <v>3741</v>
      </c>
      <c r="G865" s="7" t="s">
        <v>814</v>
      </c>
      <c r="H865" s="7" t="s">
        <v>3742</v>
      </c>
      <c r="I865" s="7" t="s">
        <v>1371</v>
      </c>
      <c r="J865" s="7" t="s">
        <v>640</v>
      </c>
    </row>
    <row r="866" spans="1:10">
      <c r="A866" s="7" t="s">
        <v>3743</v>
      </c>
      <c r="B866" s="7" t="s">
        <v>194</v>
      </c>
      <c r="C866" s="7" t="s">
        <v>722</v>
      </c>
      <c r="D866" s="7" t="s">
        <v>605</v>
      </c>
      <c r="E866" s="7" t="s">
        <v>735</v>
      </c>
      <c r="F866" s="7" t="s">
        <v>3744</v>
      </c>
      <c r="G866" s="7" t="s">
        <v>897</v>
      </c>
      <c r="H866" s="7" t="s">
        <v>1912</v>
      </c>
      <c r="I866" s="7" t="s">
        <v>1291</v>
      </c>
      <c r="J866" s="7" t="s">
        <v>640</v>
      </c>
    </row>
    <row r="867" spans="1:10">
      <c r="A867" s="7" t="s">
        <v>3745</v>
      </c>
      <c r="B867" s="7" t="s">
        <v>128</v>
      </c>
      <c r="C867" s="7" t="s">
        <v>700</v>
      </c>
      <c r="D867" s="7" t="s">
        <v>607</v>
      </c>
      <c r="E867" s="7" t="s">
        <v>1369</v>
      </c>
      <c r="F867" s="7" t="s">
        <v>3746</v>
      </c>
      <c r="G867" s="7" t="s">
        <v>3202</v>
      </c>
      <c r="H867" s="7" t="s">
        <v>3747</v>
      </c>
      <c r="I867" s="7" t="s">
        <v>568</v>
      </c>
      <c r="J867" s="7" t="s">
        <v>613</v>
      </c>
    </row>
    <row r="868" spans="1:10">
      <c r="A868" s="7" t="s">
        <v>3748</v>
      </c>
      <c r="B868" s="7" t="s">
        <v>86</v>
      </c>
      <c r="C868" s="7" t="s">
        <v>825</v>
      </c>
      <c r="D868" s="7" t="s">
        <v>605</v>
      </c>
      <c r="E868" s="7" t="s">
        <v>821</v>
      </c>
      <c r="F868" s="7" t="s">
        <v>3749</v>
      </c>
      <c r="G868" s="7" t="s">
        <v>712</v>
      </c>
      <c r="H868" s="7" t="s">
        <v>3750</v>
      </c>
      <c r="I868" s="7" t="s">
        <v>1552</v>
      </c>
      <c r="J868" s="7" t="s">
        <v>621</v>
      </c>
    </row>
    <row r="869" spans="1:10">
      <c r="A869" s="7" t="s">
        <v>3751</v>
      </c>
      <c r="B869" s="7" t="s">
        <v>584</v>
      </c>
      <c r="C869" s="7" t="s">
        <v>732</v>
      </c>
      <c r="D869" s="7" t="s">
        <v>605</v>
      </c>
      <c r="E869" s="7" t="s">
        <v>768</v>
      </c>
      <c r="F869" s="7" t="s">
        <v>3752</v>
      </c>
      <c r="G869" s="7" t="s">
        <v>703</v>
      </c>
      <c r="H869" s="7" t="s">
        <v>3753</v>
      </c>
      <c r="I869" s="7" t="s">
        <v>399</v>
      </c>
      <c r="J869" s="7" t="s">
        <v>633</v>
      </c>
    </row>
    <row r="870" spans="1:10">
      <c r="A870" s="7" t="s">
        <v>3754</v>
      </c>
      <c r="B870" s="7" t="s">
        <v>194</v>
      </c>
      <c r="C870" s="7" t="s">
        <v>622</v>
      </c>
      <c r="D870" s="7" t="s">
        <v>607</v>
      </c>
      <c r="E870" s="7" t="s">
        <v>1383</v>
      </c>
      <c r="F870" s="7" t="s">
        <v>3755</v>
      </c>
      <c r="G870" s="7" t="s">
        <v>635</v>
      </c>
      <c r="H870" s="7" t="s">
        <v>3756</v>
      </c>
      <c r="I870" s="7" t="s">
        <v>2451</v>
      </c>
      <c r="J870" s="7" t="s">
        <v>640</v>
      </c>
    </row>
    <row r="871" spans="1:10">
      <c r="A871" s="7" t="s">
        <v>3757</v>
      </c>
      <c r="B871" s="7" t="s">
        <v>110</v>
      </c>
      <c r="C871" s="7" t="s">
        <v>657</v>
      </c>
      <c r="D871" s="7" t="s">
        <v>607</v>
      </c>
      <c r="E871" s="7" t="s">
        <v>827</v>
      </c>
      <c r="F871" s="7" t="s">
        <v>3758</v>
      </c>
      <c r="G871" s="7" t="s">
        <v>616</v>
      </c>
      <c r="H871" s="7" t="s">
        <v>3759</v>
      </c>
      <c r="I871" s="7" t="s">
        <v>244</v>
      </c>
      <c r="J871" s="7" t="s">
        <v>621</v>
      </c>
    </row>
    <row r="872" spans="1:10">
      <c r="A872" s="7" t="s">
        <v>3760</v>
      </c>
      <c r="B872" s="7" t="s">
        <v>367</v>
      </c>
      <c r="C872" s="7" t="s">
        <v>700</v>
      </c>
      <c r="D872" s="7" t="s">
        <v>605</v>
      </c>
      <c r="E872" s="7" t="s">
        <v>1002</v>
      </c>
      <c r="F872" s="7" t="s">
        <v>3761</v>
      </c>
      <c r="G872" s="7" t="s">
        <v>934</v>
      </c>
      <c r="H872" s="7" t="s">
        <v>3762</v>
      </c>
      <c r="I872" s="7" t="s">
        <v>2095</v>
      </c>
      <c r="J872" s="7" t="s">
        <v>613</v>
      </c>
    </row>
    <row r="873" spans="1:10">
      <c r="A873" s="7" t="s">
        <v>3763</v>
      </c>
      <c r="B873" s="7" t="s">
        <v>554</v>
      </c>
      <c r="C873" s="7" t="s">
        <v>690</v>
      </c>
      <c r="D873" s="7" t="s">
        <v>614</v>
      </c>
      <c r="E873" s="7" t="s">
        <v>610</v>
      </c>
      <c r="F873" s="7" t="s">
        <v>3764</v>
      </c>
      <c r="G873" s="7" t="s">
        <v>1269</v>
      </c>
      <c r="H873" s="7" t="s">
        <v>3765</v>
      </c>
      <c r="I873" s="7" t="s">
        <v>1244</v>
      </c>
      <c r="J873" s="7" t="s">
        <v>682</v>
      </c>
    </row>
    <row r="874" spans="1:10">
      <c r="A874" s="7" t="s">
        <v>3766</v>
      </c>
      <c r="B874" s="7" t="s">
        <v>164</v>
      </c>
      <c r="C874" s="7" t="s">
        <v>931</v>
      </c>
      <c r="D874" s="7" t="s">
        <v>627</v>
      </c>
      <c r="E874" s="7" t="s">
        <v>645</v>
      </c>
      <c r="F874" s="7" t="s">
        <v>3767</v>
      </c>
      <c r="G874" s="7" t="s">
        <v>1246</v>
      </c>
      <c r="H874" s="7" t="s">
        <v>3768</v>
      </c>
      <c r="I874" s="7" t="s">
        <v>788</v>
      </c>
      <c r="J874" s="7" t="s">
        <v>648</v>
      </c>
    </row>
    <row r="875" spans="1:10">
      <c r="A875" s="7" t="s">
        <v>3769</v>
      </c>
      <c r="B875" s="7" t="s">
        <v>63</v>
      </c>
      <c r="C875" s="7" t="s">
        <v>949</v>
      </c>
      <c r="D875" s="7" t="s">
        <v>605</v>
      </c>
      <c r="E875" s="7" t="s">
        <v>635</v>
      </c>
      <c r="F875" s="7" t="s">
        <v>3770</v>
      </c>
      <c r="G875" s="7" t="s">
        <v>1122</v>
      </c>
      <c r="H875" s="7" t="s">
        <v>3771</v>
      </c>
      <c r="I875" s="7" t="s">
        <v>1280</v>
      </c>
      <c r="J875" s="7" t="s">
        <v>640</v>
      </c>
    </row>
    <row r="876" spans="1:10">
      <c r="A876" s="7" t="s">
        <v>3772</v>
      </c>
      <c r="B876" s="7" t="s">
        <v>69</v>
      </c>
      <c r="C876" s="7" t="s">
        <v>690</v>
      </c>
      <c r="D876" s="7" t="s">
        <v>605</v>
      </c>
      <c r="E876" s="7" t="s">
        <v>610</v>
      </c>
      <c r="F876" s="7" t="s">
        <v>3773</v>
      </c>
      <c r="G876" s="7" t="s">
        <v>809</v>
      </c>
      <c r="H876" s="7" t="s">
        <v>3774</v>
      </c>
      <c r="I876" s="7" t="s">
        <v>510</v>
      </c>
      <c r="J876" s="7" t="s">
        <v>682</v>
      </c>
    </row>
    <row r="877" spans="1:10">
      <c r="A877" s="7" t="s">
        <v>3775</v>
      </c>
      <c r="B877" s="7" t="s">
        <v>98</v>
      </c>
      <c r="C877" s="7" t="s">
        <v>627</v>
      </c>
      <c r="D877" s="7" t="s">
        <v>627</v>
      </c>
      <c r="E877" s="7" t="s">
        <v>1107</v>
      </c>
      <c r="F877" s="7" t="s">
        <v>3776</v>
      </c>
      <c r="G877" s="7" t="s">
        <v>660</v>
      </c>
      <c r="H877" s="7" t="s">
        <v>3777</v>
      </c>
      <c r="I877" s="7" t="s">
        <v>3197</v>
      </c>
      <c r="J877" s="7" t="s">
        <v>621</v>
      </c>
    </row>
    <row r="878" spans="1:10">
      <c r="A878" s="7" t="s">
        <v>3778</v>
      </c>
      <c r="B878" s="7" t="s">
        <v>248</v>
      </c>
      <c r="C878" s="7" t="s">
        <v>855</v>
      </c>
      <c r="D878" s="7" t="s">
        <v>607</v>
      </c>
      <c r="E878" s="7" t="s">
        <v>1918</v>
      </c>
      <c r="F878" s="7" t="s">
        <v>3779</v>
      </c>
      <c r="G878" s="7" t="s">
        <v>1255</v>
      </c>
      <c r="H878" s="7" t="s">
        <v>3780</v>
      </c>
      <c r="I878" s="7" t="s">
        <v>2451</v>
      </c>
      <c r="J878" s="7" t="s">
        <v>613</v>
      </c>
    </row>
    <row r="879" spans="1:10">
      <c r="A879" s="7" t="s">
        <v>3781</v>
      </c>
      <c r="B879" s="7" t="s">
        <v>339</v>
      </c>
      <c r="C879" s="7" t="s">
        <v>627</v>
      </c>
      <c r="D879" s="7" t="s">
        <v>614</v>
      </c>
      <c r="E879" s="7" t="s">
        <v>921</v>
      </c>
      <c r="F879" s="7" t="s">
        <v>3782</v>
      </c>
      <c r="G879" s="7" t="s">
        <v>1461</v>
      </c>
      <c r="H879" s="7" t="s">
        <v>3783</v>
      </c>
      <c r="I879" s="7" t="s">
        <v>154</v>
      </c>
      <c r="J879" s="7" t="s">
        <v>621</v>
      </c>
    </row>
    <row r="880" spans="1:10">
      <c r="A880" s="7" t="s">
        <v>3784</v>
      </c>
      <c r="B880" s="7" t="s">
        <v>543</v>
      </c>
      <c r="C880" s="7" t="s">
        <v>792</v>
      </c>
      <c r="D880" s="7" t="s">
        <v>614</v>
      </c>
      <c r="E880" s="7" t="s">
        <v>1158</v>
      </c>
      <c r="F880" s="7" t="s">
        <v>3785</v>
      </c>
      <c r="G880" s="7" t="s">
        <v>812</v>
      </c>
      <c r="H880" s="7" t="s">
        <v>3786</v>
      </c>
      <c r="I880" s="7" t="s">
        <v>1142</v>
      </c>
      <c r="J880" s="7" t="s">
        <v>640</v>
      </c>
    </row>
    <row r="881" spans="1:10">
      <c r="A881" s="7" t="s">
        <v>3787</v>
      </c>
      <c r="B881" s="7" t="s">
        <v>265</v>
      </c>
      <c r="C881" s="7" t="s">
        <v>797</v>
      </c>
      <c r="D881" s="7" t="s">
        <v>607</v>
      </c>
      <c r="E881" s="7" t="s">
        <v>666</v>
      </c>
      <c r="F881" s="7" t="s">
        <v>3788</v>
      </c>
      <c r="G881" s="7" t="s">
        <v>952</v>
      </c>
      <c r="H881" s="7" t="s">
        <v>3789</v>
      </c>
      <c r="I881" s="7" t="s">
        <v>510</v>
      </c>
      <c r="J881" s="7" t="s">
        <v>648</v>
      </c>
    </row>
    <row r="882" spans="1:10">
      <c r="A882" s="7" t="s">
        <v>3790</v>
      </c>
      <c r="B882" s="7" t="s">
        <v>92</v>
      </c>
      <c r="C882" s="7" t="s">
        <v>642</v>
      </c>
      <c r="D882" s="7" t="s">
        <v>627</v>
      </c>
      <c r="E882" s="7" t="s">
        <v>1476</v>
      </c>
      <c r="F882" s="7" t="s">
        <v>3791</v>
      </c>
      <c r="G882" s="7" t="s">
        <v>966</v>
      </c>
      <c r="H882" s="7" t="s">
        <v>3792</v>
      </c>
      <c r="I882" s="7" t="s">
        <v>539</v>
      </c>
      <c r="J882" s="7" t="s">
        <v>648</v>
      </c>
    </row>
    <row r="883" spans="1:10">
      <c r="A883" s="7" t="s">
        <v>3793</v>
      </c>
      <c r="B883" s="7" t="s">
        <v>525</v>
      </c>
      <c r="C883" s="7" t="s">
        <v>931</v>
      </c>
      <c r="D883" s="7" t="s">
        <v>614</v>
      </c>
      <c r="E883" s="7" t="s">
        <v>666</v>
      </c>
      <c r="F883" s="7" t="s">
        <v>3794</v>
      </c>
      <c r="G883" s="7" t="s">
        <v>957</v>
      </c>
      <c r="H883" s="7" t="s">
        <v>3795</v>
      </c>
      <c r="I883" s="7" t="s">
        <v>381</v>
      </c>
      <c r="J883" s="7" t="s">
        <v>648</v>
      </c>
    </row>
    <row r="884" spans="1:10">
      <c r="A884" s="7" t="s">
        <v>3796</v>
      </c>
      <c r="B884" s="7" t="s">
        <v>248</v>
      </c>
      <c r="C884" s="7" t="s">
        <v>806</v>
      </c>
      <c r="D884" s="7" t="s">
        <v>627</v>
      </c>
      <c r="E884" s="7" t="s">
        <v>3797</v>
      </c>
      <c r="F884" s="7" t="s">
        <v>3798</v>
      </c>
      <c r="G884" s="7" t="s">
        <v>844</v>
      </c>
      <c r="H884" s="7" t="s">
        <v>3799</v>
      </c>
      <c r="I884" s="7" t="s">
        <v>1051</v>
      </c>
      <c r="J884" s="7" t="s">
        <v>633</v>
      </c>
    </row>
    <row r="885" spans="1:10">
      <c r="A885" s="7" t="s">
        <v>3800</v>
      </c>
      <c r="B885" s="7" t="s">
        <v>537</v>
      </c>
      <c r="C885" s="7" t="s">
        <v>668</v>
      </c>
      <c r="D885" s="7" t="s">
        <v>622</v>
      </c>
      <c r="E885" s="7" t="s">
        <v>1255</v>
      </c>
      <c r="F885" s="7" t="s">
        <v>3801</v>
      </c>
      <c r="G885" s="7" t="s">
        <v>1389</v>
      </c>
      <c r="H885" s="7" t="s">
        <v>3802</v>
      </c>
      <c r="I885" s="7" t="s">
        <v>1867</v>
      </c>
      <c r="J885" s="7" t="s">
        <v>633</v>
      </c>
    </row>
    <row r="886" spans="1:10">
      <c r="A886" s="7" t="s">
        <v>3803</v>
      </c>
      <c r="B886" s="7" t="s">
        <v>496</v>
      </c>
      <c r="C886" s="7" t="s">
        <v>748</v>
      </c>
      <c r="D886" s="7" t="s">
        <v>614</v>
      </c>
      <c r="E886" s="7" t="s">
        <v>1471</v>
      </c>
      <c r="F886" s="7" t="s">
        <v>3804</v>
      </c>
      <c r="G886" s="7" t="s">
        <v>2630</v>
      </c>
      <c r="H886" s="7" t="s">
        <v>3805</v>
      </c>
      <c r="I886" s="7" t="s">
        <v>791</v>
      </c>
      <c r="J886" s="7" t="s">
        <v>754</v>
      </c>
    </row>
    <row r="887" spans="1:10">
      <c r="A887" s="7" t="s">
        <v>3806</v>
      </c>
      <c r="B887" s="7" t="s">
        <v>271</v>
      </c>
      <c r="C887" s="7" t="s">
        <v>886</v>
      </c>
      <c r="D887" s="7" t="s">
        <v>622</v>
      </c>
      <c r="E887" s="7" t="s">
        <v>1476</v>
      </c>
      <c r="F887" s="7" t="s">
        <v>3807</v>
      </c>
      <c r="G887" s="7" t="s">
        <v>950</v>
      </c>
      <c r="H887" s="7" t="s">
        <v>3808</v>
      </c>
      <c r="I887" s="7" t="s">
        <v>655</v>
      </c>
      <c r="J887" s="7" t="s">
        <v>648</v>
      </c>
    </row>
    <row r="888" spans="1:10">
      <c r="A888" s="7" t="s">
        <v>3809</v>
      </c>
      <c r="B888" s="7" t="s">
        <v>537</v>
      </c>
      <c r="C888" s="7" t="s">
        <v>876</v>
      </c>
      <c r="D888" s="7" t="s">
        <v>622</v>
      </c>
      <c r="E888" s="7" t="s">
        <v>2580</v>
      </c>
      <c r="F888" s="7" t="s">
        <v>3810</v>
      </c>
      <c r="G888" s="7" t="s">
        <v>1392</v>
      </c>
      <c r="H888" s="7" t="s">
        <v>3811</v>
      </c>
      <c r="I888" s="7" t="s">
        <v>3490</v>
      </c>
      <c r="J888" s="7" t="s">
        <v>754</v>
      </c>
    </row>
    <row r="889" spans="1:10">
      <c r="A889" s="7" t="s">
        <v>3812</v>
      </c>
      <c r="B889" s="7" t="s">
        <v>86</v>
      </c>
      <c r="C889" s="7" t="s">
        <v>954</v>
      </c>
      <c r="D889" s="7" t="s">
        <v>622</v>
      </c>
      <c r="E889" s="7" t="s">
        <v>763</v>
      </c>
      <c r="F889" s="7" t="s">
        <v>3813</v>
      </c>
      <c r="G889" s="7" t="s">
        <v>974</v>
      </c>
      <c r="H889" s="7" t="s">
        <v>3814</v>
      </c>
      <c r="I889" s="7" t="s">
        <v>2795</v>
      </c>
      <c r="J889" s="7" t="s">
        <v>682</v>
      </c>
    </row>
    <row r="890" spans="1:10">
      <c r="A890" s="7" t="s">
        <v>3815</v>
      </c>
      <c r="B890" s="7" t="s">
        <v>301</v>
      </c>
      <c r="C890" s="7" t="s">
        <v>806</v>
      </c>
      <c r="D890" s="7" t="s">
        <v>622</v>
      </c>
      <c r="E890" s="7" t="s">
        <v>1479</v>
      </c>
      <c r="F890" s="7" t="s">
        <v>3816</v>
      </c>
      <c r="G890" s="7" t="s">
        <v>3204</v>
      </c>
      <c r="H890" s="7" t="s">
        <v>3817</v>
      </c>
      <c r="I890" s="7" t="s">
        <v>1716</v>
      </c>
      <c r="J890" s="7" t="s">
        <v>633</v>
      </c>
    </row>
    <row r="891" spans="1:10">
      <c r="A891" s="7" t="s">
        <v>3818</v>
      </c>
      <c r="B891" s="7" t="s">
        <v>379</v>
      </c>
      <c r="C891" s="7" t="s">
        <v>650</v>
      </c>
      <c r="D891" s="7" t="s">
        <v>627</v>
      </c>
      <c r="E891" s="7" t="s">
        <v>1077</v>
      </c>
      <c r="F891" s="7" t="s">
        <v>3819</v>
      </c>
      <c r="G891" s="7" t="s">
        <v>1389</v>
      </c>
      <c r="H891" s="7" t="s">
        <v>3820</v>
      </c>
      <c r="I891" s="7" t="s">
        <v>2325</v>
      </c>
      <c r="J891" s="7" t="s">
        <v>633</v>
      </c>
    </row>
    <row r="892" spans="1:10">
      <c r="A892" s="7" t="s">
        <v>3821</v>
      </c>
      <c r="B892" s="7" t="s">
        <v>164</v>
      </c>
      <c r="C892" s="7" t="s">
        <v>634</v>
      </c>
      <c r="D892" s="7" t="s">
        <v>614</v>
      </c>
      <c r="E892" s="7" t="s">
        <v>895</v>
      </c>
      <c r="F892" s="7" t="s">
        <v>3822</v>
      </c>
      <c r="G892" s="7" t="s">
        <v>706</v>
      </c>
      <c r="H892" s="7" t="s">
        <v>3823</v>
      </c>
      <c r="I892" s="7" t="s">
        <v>981</v>
      </c>
      <c r="J892" s="7" t="s">
        <v>640</v>
      </c>
    </row>
    <row r="893" spans="1:10">
      <c r="A893" s="7" t="s">
        <v>3824</v>
      </c>
      <c r="B893" s="7" t="s">
        <v>152</v>
      </c>
      <c r="C893" s="7" t="s">
        <v>675</v>
      </c>
      <c r="D893" s="7" t="s">
        <v>627</v>
      </c>
      <c r="E893" s="7" t="s">
        <v>1383</v>
      </c>
      <c r="F893" s="7" t="s">
        <v>3825</v>
      </c>
      <c r="G893" s="7" t="s">
        <v>1158</v>
      </c>
      <c r="H893" s="7" t="s">
        <v>3826</v>
      </c>
      <c r="I893" s="7" t="s">
        <v>948</v>
      </c>
      <c r="J893" s="7" t="s">
        <v>640</v>
      </c>
    </row>
    <row r="894" spans="1:10">
      <c r="A894" s="7" t="s">
        <v>3827</v>
      </c>
      <c r="B894" s="7" t="s">
        <v>63</v>
      </c>
      <c r="C894" s="7" t="s">
        <v>926</v>
      </c>
      <c r="D894" s="7" t="s">
        <v>622</v>
      </c>
      <c r="E894" s="7" t="s">
        <v>2485</v>
      </c>
      <c r="F894" s="7" t="s">
        <v>2048</v>
      </c>
      <c r="G894" s="7" t="s">
        <v>2646</v>
      </c>
      <c r="H894" s="7" t="s">
        <v>3828</v>
      </c>
      <c r="I894" s="7" t="s">
        <v>2763</v>
      </c>
      <c r="J894" s="7" t="s">
        <v>754</v>
      </c>
    </row>
    <row r="895" spans="1:10">
      <c r="A895" s="7" t="s">
        <v>3829</v>
      </c>
      <c r="B895" s="7" t="s">
        <v>543</v>
      </c>
      <c r="C895" s="7" t="s">
        <v>830</v>
      </c>
      <c r="D895" s="7" t="s">
        <v>627</v>
      </c>
      <c r="E895" s="7" t="s">
        <v>3157</v>
      </c>
      <c r="F895" s="7" t="s">
        <v>3830</v>
      </c>
      <c r="G895" s="7" t="s">
        <v>2630</v>
      </c>
      <c r="H895" s="7" t="s">
        <v>3831</v>
      </c>
      <c r="I895" s="7" t="s">
        <v>1636</v>
      </c>
      <c r="J895" s="7" t="s">
        <v>613</v>
      </c>
    </row>
    <row r="896" spans="1:10">
      <c r="A896" s="7" t="s">
        <v>3832</v>
      </c>
      <c r="B896" s="7" t="s">
        <v>391</v>
      </c>
      <c r="C896" s="7" t="s">
        <v>650</v>
      </c>
      <c r="D896" s="7" t="s">
        <v>605</v>
      </c>
      <c r="E896" s="7" t="s">
        <v>2485</v>
      </c>
      <c r="F896" s="7" t="s">
        <v>3833</v>
      </c>
      <c r="G896" s="7" t="s">
        <v>983</v>
      </c>
      <c r="H896" s="7" t="s">
        <v>3834</v>
      </c>
      <c r="I896" s="7" t="s">
        <v>184</v>
      </c>
      <c r="J896" s="7" t="s">
        <v>633</v>
      </c>
    </row>
    <row r="897" spans="1:10">
      <c r="A897" s="7" t="s">
        <v>3835</v>
      </c>
      <c r="B897" s="7" t="s">
        <v>318</v>
      </c>
      <c r="C897" s="7" t="s">
        <v>855</v>
      </c>
      <c r="D897" s="7" t="s">
        <v>605</v>
      </c>
      <c r="E897" s="7" t="s">
        <v>3836</v>
      </c>
      <c r="F897" s="7" t="s">
        <v>3837</v>
      </c>
      <c r="G897" s="7" t="s">
        <v>1488</v>
      </c>
      <c r="H897" s="7" t="s">
        <v>3838</v>
      </c>
      <c r="I897" s="7" t="s">
        <v>854</v>
      </c>
      <c r="J897" s="7" t="s">
        <v>613</v>
      </c>
    </row>
    <row r="898" spans="1:10">
      <c r="A898" s="7" t="s">
        <v>3839</v>
      </c>
      <c r="B898" s="7" t="s">
        <v>188</v>
      </c>
      <c r="C898" s="7" t="s">
        <v>797</v>
      </c>
      <c r="D898" s="7" t="s">
        <v>607</v>
      </c>
      <c r="E898" s="7" t="s">
        <v>950</v>
      </c>
      <c r="F898" s="7" t="s">
        <v>3840</v>
      </c>
      <c r="G898" s="7" t="s">
        <v>937</v>
      </c>
      <c r="H898" s="7" t="s">
        <v>3841</v>
      </c>
      <c r="I898" s="7" t="s">
        <v>3274</v>
      </c>
      <c r="J898" s="7" t="s">
        <v>648</v>
      </c>
    </row>
    <row r="899" spans="1:10">
      <c r="A899" s="7" t="s">
        <v>3842</v>
      </c>
      <c r="B899" s="7" t="s">
        <v>110</v>
      </c>
      <c r="C899" s="7" t="s">
        <v>728</v>
      </c>
      <c r="D899" s="7" t="s">
        <v>605</v>
      </c>
      <c r="E899" s="7" t="s">
        <v>733</v>
      </c>
      <c r="F899" s="7" t="s">
        <v>3843</v>
      </c>
      <c r="G899" s="7" t="s">
        <v>897</v>
      </c>
      <c r="H899" s="7" t="s">
        <v>3844</v>
      </c>
      <c r="I899" s="7" t="s">
        <v>3845</v>
      </c>
      <c r="J899" s="7" t="s">
        <v>640</v>
      </c>
    </row>
    <row r="900" spans="1:10">
      <c r="A900" s="7" t="s">
        <v>3846</v>
      </c>
      <c r="B900" s="7" t="s">
        <v>69</v>
      </c>
      <c r="C900" s="7" t="s">
        <v>926</v>
      </c>
      <c r="D900" s="7" t="s">
        <v>605</v>
      </c>
      <c r="E900" s="7" t="s">
        <v>2615</v>
      </c>
      <c r="F900" s="7" t="s">
        <v>3847</v>
      </c>
      <c r="G900" s="7" t="s">
        <v>2082</v>
      </c>
      <c r="H900" s="7" t="s">
        <v>3848</v>
      </c>
      <c r="I900" s="7" t="s">
        <v>1625</v>
      </c>
      <c r="J900" s="7" t="s">
        <v>754</v>
      </c>
    </row>
    <row r="901" spans="1:10">
      <c r="A901" s="7" t="s">
        <v>3849</v>
      </c>
      <c r="B901" s="7" t="s">
        <v>164</v>
      </c>
      <c r="C901" s="7" t="s">
        <v>901</v>
      </c>
      <c r="D901" s="7" t="s">
        <v>622</v>
      </c>
      <c r="E901" s="7" t="s">
        <v>2646</v>
      </c>
      <c r="F901" s="7" t="s">
        <v>3850</v>
      </c>
      <c r="G901" s="7" t="s">
        <v>793</v>
      </c>
      <c r="H901" s="7" t="s">
        <v>3851</v>
      </c>
      <c r="I901" s="7" t="s">
        <v>2515</v>
      </c>
      <c r="J901" s="7" t="s">
        <v>633</v>
      </c>
    </row>
    <row r="902" spans="1:10">
      <c r="A902" s="7" t="s">
        <v>3852</v>
      </c>
      <c r="B902" s="7" t="s">
        <v>260</v>
      </c>
      <c r="C902" s="7" t="s">
        <v>664</v>
      </c>
      <c r="D902" s="7" t="s">
        <v>627</v>
      </c>
      <c r="E902" s="7" t="s">
        <v>768</v>
      </c>
      <c r="F902" s="7" t="s">
        <v>3853</v>
      </c>
      <c r="G902" s="7" t="s">
        <v>888</v>
      </c>
      <c r="H902" s="7" t="s">
        <v>3854</v>
      </c>
      <c r="I902" s="7" t="s">
        <v>556</v>
      </c>
      <c r="J902" s="7" t="s">
        <v>648</v>
      </c>
    </row>
    <row r="903" spans="1:10">
      <c r="A903" s="7" t="s">
        <v>3855</v>
      </c>
      <c r="B903" s="7" t="s">
        <v>152</v>
      </c>
      <c r="C903" s="7" t="s">
        <v>732</v>
      </c>
      <c r="D903" s="7" t="s">
        <v>607</v>
      </c>
      <c r="E903" s="7" t="s">
        <v>1497</v>
      </c>
      <c r="F903" s="7" t="s">
        <v>3856</v>
      </c>
      <c r="G903" s="7" t="s">
        <v>1645</v>
      </c>
      <c r="H903" s="7" t="s">
        <v>3857</v>
      </c>
      <c r="I903" s="7" t="s">
        <v>1315</v>
      </c>
      <c r="J903" s="7" t="s">
        <v>633</v>
      </c>
    </row>
    <row r="904" spans="1:10">
      <c r="A904" s="7" t="s">
        <v>3858</v>
      </c>
      <c r="B904" s="7" t="s">
        <v>391</v>
      </c>
      <c r="C904" s="7" t="s">
        <v>926</v>
      </c>
      <c r="D904" s="7" t="s">
        <v>614</v>
      </c>
      <c r="E904" s="7" t="s">
        <v>2047</v>
      </c>
      <c r="F904" s="7" t="s">
        <v>3859</v>
      </c>
      <c r="G904" s="7" t="s">
        <v>775</v>
      </c>
      <c r="H904" s="7" t="s">
        <v>3860</v>
      </c>
      <c r="I904" s="7" t="s">
        <v>2576</v>
      </c>
      <c r="J904" s="7" t="s">
        <v>754</v>
      </c>
    </row>
    <row r="905" spans="1:10">
      <c r="A905" s="7" t="s">
        <v>3861</v>
      </c>
      <c r="B905" s="7" t="s">
        <v>80</v>
      </c>
      <c r="C905" s="7" t="s">
        <v>614</v>
      </c>
      <c r="D905" s="7" t="s">
        <v>627</v>
      </c>
      <c r="E905" s="7" t="s">
        <v>735</v>
      </c>
      <c r="F905" s="7" t="s">
        <v>3862</v>
      </c>
      <c r="G905" s="7" t="s">
        <v>1219</v>
      </c>
      <c r="H905" s="7" t="s">
        <v>3863</v>
      </c>
      <c r="I905" s="7" t="s">
        <v>2358</v>
      </c>
      <c r="J905" s="7" t="s">
        <v>640</v>
      </c>
    </row>
    <row r="906" spans="1:10">
      <c r="A906" s="7" t="s">
        <v>3864</v>
      </c>
      <c r="B906" s="7" t="s">
        <v>472</v>
      </c>
      <c r="C906" s="7" t="s">
        <v>634</v>
      </c>
      <c r="D906" s="7" t="s">
        <v>605</v>
      </c>
      <c r="E906" s="7" t="s">
        <v>812</v>
      </c>
      <c r="F906" s="7" t="s">
        <v>3865</v>
      </c>
      <c r="G906" s="7" t="s">
        <v>706</v>
      </c>
      <c r="H906" s="7" t="s">
        <v>3866</v>
      </c>
      <c r="I906" s="7" t="s">
        <v>1114</v>
      </c>
      <c r="J906" s="7" t="s">
        <v>640</v>
      </c>
    </row>
    <row r="907" spans="1:10">
      <c r="A907" s="7" t="s">
        <v>3867</v>
      </c>
      <c r="B907" s="7" t="s">
        <v>589</v>
      </c>
      <c r="C907" s="7" t="s">
        <v>839</v>
      </c>
      <c r="D907" s="7" t="s">
        <v>622</v>
      </c>
      <c r="E907" s="7" t="s">
        <v>1383</v>
      </c>
      <c r="F907" s="7" t="s">
        <v>3868</v>
      </c>
      <c r="G907" s="7" t="s">
        <v>706</v>
      </c>
      <c r="H907" s="7" t="s">
        <v>3869</v>
      </c>
      <c r="I907" s="7" t="s">
        <v>1594</v>
      </c>
      <c r="J907" s="7" t="s">
        <v>640</v>
      </c>
    </row>
    <row r="908" spans="1:10">
      <c r="A908" s="7" t="s">
        <v>3870</v>
      </c>
      <c r="B908" s="7" t="s">
        <v>277</v>
      </c>
      <c r="C908" s="7" t="s">
        <v>756</v>
      </c>
      <c r="D908" s="7" t="s">
        <v>614</v>
      </c>
      <c r="E908" s="7" t="s">
        <v>2751</v>
      </c>
      <c r="F908" s="7" t="s">
        <v>3871</v>
      </c>
      <c r="G908" s="7" t="s">
        <v>795</v>
      </c>
      <c r="H908" s="7" t="s">
        <v>3872</v>
      </c>
      <c r="I908" s="7" t="s">
        <v>1092</v>
      </c>
      <c r="J908" s="7" t="s">
        <v>613</v>
      </c>
    </row>
    <row r="909" spans="1:10">
      <c r="A909" s="7" t="s">
        <v>3873</v>
      </c>
      <c r="B909" s="7" t="s">
        <v>531</v>
      </c>
      <c r="C909" s="7" t="s">
        <v>642</v>
      </c>
      <c r="D909" s="7" t="s">
        <v>607</v>
      </c>
      <c r="E909" s="7" t="s">
        <v>768</v>
      </c>
      <c r="F909" s="7" t="s">
        <v>3874</v>
      </c>
      <c r="G909" s="7" t="s">
        <v>1426</v>
      </c>
      <c r="H909" s="7" t="s">
        <v>3875</v>
      </c>
      <c r="I909" s="7" t="s">
        <v>1109</v>
      </c>
      <c r="J909" s="7" t="s">
        <v>648</v>
      </c>
    </row>
    <row r="910" spans="1:10">
      <c r="A910" s="7" t="s">
        <v>3876</v>
      </c>
      <c r="B910" s="7" t="s">
        <v>496</v>
      </c>
      <c r="C910" s="7" t="s">
        <v>748</v>
      </c>
      <c r="D910" s="7" t="s">
        <v>605</v>
      </c>
      <c r="E910" s="7" t="s">
        <v>712</v>
      </c>
      <c r="F910" s="7" t="s">
        <v>3877</v>
      </c>
      <c r="G910" s="7" t="s">
        <v>658</v>
      </c>
      <c r="H910" s="7" t="s">
        <v>3878</v>
      </c>
      <c r="I910" s="7" t="s">
        <v>427</v>
      </c>
      <c r="J910" s="7" t="s">
        <v>754</v>
      </c>
    </row>
    <row r="911" spans="1:10">
      <c r="A911" s="7" t="s">
        <v>3879</v>
      </c>
      <c r="B911" s="7" t="s">
        <v>391</v>
      </c>
      <c r="C911" s="7" t="s">
        <v>894</v>
      </c>
      <c r="D911" s="7" t="s">
        <v>627</v>
      </c>
      <c r="E911" s="7" t="s">
        <v>645</v>
      </c>
      <c r="F911" s="7" t="s">
        <v>3880</v>
      </c>
      <c r="G911" s="7" t="s">
        <v>1503</v>
      </c>
      <c r="H911" s="7" t="s">
        <v>3881</v>
      </c>
      <c r="I911" s="7" t="s">
        <v>238</v>
      </c>
      <c r="J911" s="7" t="s">
        <v>648</v>
      </c>
    </row>
    <row r="912" spans="1:10">
      <c r="A912" s="7" t="s">
        <v>3882</v>
      </c>
      <c r="B912" s="7" t="s">
        <v>419</v>
      </c>
      <c r="C912" s="7" t="s">
        <v>738</v>
      </c>
      <c r="D912" s="7" t="s">
        <v>627</v>
      </c>
      <c r="E912" s="7" t="s">
        <v>1284</v>
      </c>
      <c r="F912" s="7" t="s">
        <v>3883</v>
      </c>
      <c r="G912" s="7" t="s">
        <v>2175</v>
      </c>
      <c r="H912" s="7" t="s">
        <v>3884</v>
      </c>
      <c r="I912" s="7" t="s">
        <v>871</v>
      </c>
      <c r="J912" s="7" t="s">
        <v>754</v>
      </c>
    </row>
    <row r="913" spans="1:10">
      <c r="A913" s="7" t="s">
        <v>3885</v>
      </c>
      <c r="B913" s="7" t="s">
        <v>367</v>
      </c>
      <c r="C913" s="7" t="s">
        <v>663</v>
      </c>
      <c r="D913" s="7" t="s">
        <v>627</v>
      </c>
      <c r="E913" s="7" t="s">
        <v>666</v>
      </c>
      <c r="F913" s="7" t="s">
        <v>3886</v>
      </c>
      <c r="G913" s="7" t="s">
        <v>1431</v>
      </c>
      <c r="H913" s="7" t="s">
        <v>3887</v>
      </c>
      <c r="I913" s="7" t="s">
        <v>2162</v>
      </c>
      <c r="J913" s="7" t="s">
        <v>648</v>
      </c>
    </row>
    <row r="914" spans="1:10">
      <c r="A914" s="7" t="s">
        <v>3888</v>
      </c>
      <c r="B914" s="7" t="s">
        <v>543</v>
      </c>
      <c r="C914" s="7" t="s">
        <v>669</v>
      </c>
      <c r="D914" s="7" t="s">
        <v>607</v>
      </c>
      <c r="E914" s="7" t="s">
        <v>717</v>
      </c>
      <c r="F914" s="7" t="s">
        <v>3889</v>
      </c>
      <c r="G914" s="7" t="s">
        <v>2332</v>
      </c>
      <c r="H914" s="7" t="s">
        <v>3890</v>
      </c>
      <c r="I914" s="7" t="s">
        <v>320</v>
      </c>
      <c r="J914" s="7" t="s">
        <v>613</v>
      </c>
    </row>
    <row r="915" spans="1:10">
      <c r="A915" s="7" t="s">
        <v>3891</v>
      </c>
      <c r="B915" s="7" t="s">
        <v>289</v>
      </c>
      <c r="C915" s="7" t="s">
        <v>792</v>
      </c>
      <c r="D915" s="7" t="s">
        <v>627</v>
      </c>
      <c r="E915" s="7" t="s">
        <v>733</v>
      </c>
      <c r="F915" s="7" t="s">
        <v>3892</v>
      </c>
      <c r="G915" s="7" t="s">
        <v>730</v>
      </c>
      <c r="H915" s="7" t="s">
        <v>3893</v>
      </c>
      <c r="I915" s="7" t="s">
        <v>184</v>
      </c>
      <c r="J915" s="7" t="s">
        <v>640</v>
      </c>
    </row>
    <row r="916" spans="1:10">
      <c r="A916" s="7" t="s">
        <v>3894</v>
      </c>
      <c r="B916" s="7" t="s">
        <v>86</v>
      </c>
      <c r="C916" s="7" t="s">
        <v>802</v>
      </c>
      <c r="D916" s="7" t="s">
        <v>605</v>
      </c>
      <c r="E916" s="7" t="s">
        <v>763</v>
      </c>
      <c r="F916" s="7" t="s">
        <v>3895</v>
      </c>
      <c r="G916" s="7" t="s">
        <v>809</v>
      </c>
      <c r="H916" s="7" t="s">
        <v>3896</v>
      </c>
      <c r="I916" s="7" t="s">
        <v>2366</v>
      </c>
      <c r="J916" s="7" t="s">
        <v>682</v>
      </c>
    </row>
    <row r="917" spans="1:10">
      <c r="A917" s="7" t="s">
        <v>3897</v>
      </c>
      <c r="B917" s="7" t="s">
        <v>373</v>
      </c>
      <c r="C917" s="7" t="s">
        <v>792</v>
      </c>
      <c r="D917" s="7" t="s">
        <v>614</v>
      </c>
      <c r="E917" s="7" t="s">
        <v>1383</v>
      </c>
      <c r="F917" s="7" t="s">
        <v>3898</v>
      </c>
      <c r="G917" s="7" t="s">
        <v>730</v>
      </c>
      <c r="H917" s="7" t="s">
        <v>3899</v>
      </c>
      <c r="I917" s="7" t="s">
        <v>919</v>
      </c>
      <c r="J917" s="7" t="s">
        <v>640</v>
      </c>
    </row>
    <row r="918" spans="1:10">
      <c r="A918" s="7" t="s">
        <v>3900</v>
      </c>
      <c r="B918" s="7" t="s">
        <v>312</v>
      </c>
      <c r="C918" s="7" t="s">
        <v>683</v>
      </c>
      <c r="D918" s="7" t="s">
        <v>622</v>
      </c>
      <c r="E918" s="7" t="s">
        <v>3901</v>
      </c>
      <c r="F918" s="7" t="s">
        <v>3902</v>
      </c>
      <c r="G918" s="7" t="s">
        <v>3163</v>
      </c>
      <c r="H918" s="7" t="s">
        <v>3903</v>
      </c>
      <c r="I918" s="7" t="s">
        <v>1508</v>
      </c>
      <c r="J918" s="7" t="s">
        <v>613</v>
      </c>
    </row>
    <row r="919" spans="1:10">
      <c r="A919" s="7" t="s">
        <v>3904</v>
      </c>
      <c r="B919" s="7" t="s">
        <v>490</v>
      </c>
      <c r="C919" s="7" t="s">
        <v>722</v>
      </c>
      <c r="D919" s="7" t="s">
        <v>614</v>
      </c>
      <c r="E919" s="7" t="s">
        <v>735</v>
      </c>
      <c r="F919" s="7" t="s">
        <v>1470</v>
      </c>
      <c r="G919" s="7" t="s">
        <v>1122</v>
      </c>
      <c r="H919" s="7" t="s">
        <v>3905</v>
      </c>
      <c r="I919" s="7" t="s">
        <v>3145</v>
      </c>
      <c r="J919" s="7" t="s">
        <v>640</v>
      </c>
    </row>
    <row r="920" spans="1:10">
      <c r="A920" s="7" t="s">
        <v>3906</v>
      </c>
      <c r="B920" s="7" t="s">
        <v>230</v>
      </c>
      <c r="C920" s="7" t="s">
        <v>802</v>
      </c>
      <c r="D920" s="7" t="s">
        <v>607</v>
      </c>
      <c r="E920" s="7" t="s">
        <v>785</v>
      </c>
      <c r="F920" s="7" t="s">
        <v>3105</v>
      </c>
      <c r="G920" s="7" t="s">
        <v>693</v>
      </c>
      <c r="H920" s="7" t="s">
        <v>3907</v>
      </c>
      <c r="I920" s="7" t="s">
        <v>341</v>
      </c>
      <c r="J920" s="7" t="s">
        <v>682</v>
      </c>
    </row>
    <row r="921" spans="1:10">
      <c r="A921" s="7" t="s">
        <v>3908</v>
      </c>
      <c r="B921" s="7" t="s">
        <v>158</v>
      </c>
      <c r="C921" s="7" t="s">
        <v>650</v>
      </c>
      <c r="D921" s="7" t="s">
        <v>605</v>
      </c>
      <c r="E921" s="7" t="s">
        <v>2580</v>
      </c>
      <c r="F921" s="7" t="s">
        <v>3909</v>
      </c>
      <c r="G921" s="7" t="s">
        <v>1394</v>
      </c>
      <c r="H921" s="7" t="s">
        <v>3910</v>
      </c>
      <c r="I921" s="7" t="s">
        <v>1130</v>
      </c>
      <c r="J921" s="7" t="s">
        <v>633</v>
      </c>
    </row>
    <row r="922" spans="1:10">
      <c r="A922" s="7" t="s">
        <v>3911</v>
      </c>
      <c r="B922" s="7" t="s">
        <v>460</v>
      </c>
      <c r="C922" s="7" t="s">
        <v>716</v>
      </c>
      <c r="D922" s="7" t="s">
        <v>627</v>
      </c>
      <c r="E922" s="7" t="s">
        <v>1456</v>
      </c>
      <c r="F922" s="7" t="s">
        <v>3912</v>
      </c>
      <c r="G922" s="7" t="s">
        <v>2049</v>
      </c>
      <c r="H922" s="7" t="s">
        <v>3343</v>
      </c>
      <c r="I922" s="7" t="s">
        <v>2162</v>
      </c>
      <c r="J922" s="7" t="s">
        <v>613</v>
      </c>
    </row>
    <row r="923" spans="1:10">
      <c r="A923" s="7" t="s">
        <v>3913</v>
      </c>
      <c r="B923" s="7" t="s">
        <v>57</v>
      </c>
      <c r="C923" s="7" t="s">
        <v>716</v>
      </c>
      <c r="D923" s="7" t="s">
        <v>605</v>
      </c>
      <c r="E923" s="7" t="s">
        <v>1242</v>
      </c>
      <c r="F923" s="7" t="s">
        <v>3914</v>
      </c>
      <c r="G923" s="7" t="s">
        <v>3915</v>
      </c>
      <c r="H923" s="7" t="s">
        <v>3916</v>
      </c>
      <c r="I923" s="7" t="s">
        <v>1055</v>
      </c>
      <c r="J923" s="7" t="s">
        <v>613</v>
      </c>
    </row>
    <row r="924" spans="1:10">
      <c r="A924" s="7" t="s">
        <v>3917</v>
      </c>
      <c r="B924" s="7" t="s">
        <v>206</v>
      </c>
      <c r="C924" s="7" t="s">
        <v>649</v>
      </c>
      <c r="D924" s="7" t="s">
        <v>627</v>
      </c>
      <c r="E924" s="7" t="s">
        <v>943</v>
      </c>
      <c r="F924" s="7" t="s">
        <v>3918</v>
      </c>
      <c r="G924" s="7" t="s">
        <v>785</v>
      </c>
      <c r="H924" s="7" t="s">
        <v>3919</v>
      </c>
      <c r="I924" s="7" t="s">
        <v>904</v>
      </c>
      <c r="J924" s="7" t="s">
        <v>682</v>
      </c>
    </row>
    <row r="925" spans="1:10">
      <c r="A925" s="7" t="s">
        <v>3920</v>
      </c>
      <c r="B925" s="7" t="s">
        <v>80</v>
      </c>
      <c r="C925" s="7" t="s">
        <v>711</v>
      </c>
      <c r="D925" s="7" t="s">
        <v>605</v>
      </c>
      <c r="E925" s="7" t="s">
        <v>1206</v>
      </c>
      <c r="F925" s="7" t="s">
        <v>3921</v>
      </c>
      <c r="G925" s="7" t="s">
        <v>2487</v>
      </c>
      <c r="H925" s="7" t="s">
        <v>3922</v>
      </c>
      <c r="I925" s="7" t="s">
        <v>2515</v>
      </c>
      <c r="J925" s="7" t="s">
        <v>613</v>
      </c>
    </row>
    <row r="926" spans="1:10">
      <c r="A926" s="7" t="s">
        <v>3923</v>
      </c>
      <c r="B926" s="7" t="s">
        <v>75</v>
      </c>
      <c r="C926" s="7" t="s">
        <v>784</v>
      </c>
      <c r="D926" s="7" t="s">
        <v>605</v>
      </c>
      <c r="E926" s="7" t="s">
        <v>1512</v>
      </c>
      <c r="F926" s="7" t="s">
        <v>3924</v>
      </c>
      <c r="G926" s="7" t="s">
        <v>3635</v>
      </c>
      <c r="H926" s="7" t="s">
        <v>3925</v>
      </c>
      <c r="I926" s="7" t="s">
        <v>244</v>
      </c>
      <c r="J926" s="7" t="s">
        <v>754</v>
      </c>
    </row>
    <row r="927" spans="1:10">
      <c r="A927" s="7" t="s">
        <v>3926</v>
      </c>
      <c r="B927" s="7" t="s">
        <v>295</v>
      </c>
      <c r="C927" s="7" t="s">
        <v>824</v>
      </c>
      <c r="D927" s="7" t="s">
        <v>627</v>
      </c>
      <c r="E927" s="7" t="s">
        <v>2485</v>
      </c>
      <c r="F927" s="7" t="s">
        <v>3927</v>
      </c>
      <c r="G927" s="7" t="s">
        <v>2219</v>
      </c>
      <c r="H927" s="7" t="s">
        <v>3928</v>
      </c>
      <c r="I927" s="7" t="s">
        <v>1546</v>
      </c>
      <c r="J927" s="7" t="s">
        <v>613</v>
      </c>
    </row>
    <row r="928" spans="1:10">
      <c r="A928" s="7" t="s">
        <v>3929</v>
      </c>
      <c r="B928" s="7" t="s">
        <v>589</v>
      </c>
      <c r="C928" s="7" t="s">
        <v>657</v>
      </c>
      <c r="D928" s="7" t="s">
        <v>627</v>
      </c>
      <c r="E928" s="7" t="s">
        <v>1081</v>
      </c>
      <c r="F928" s="7" t="s">
        <v>3930</v>
      </c>
      <c r="G928" s="7" t="s">
        <v>817</v>
      </c>
      <c r="H928" s="7" t="s">
        <v>3931</v>
      </c>
      <c r="I928" s="7" t="s">
        <v>1306</v>
      </c>
      <c r="J928" s="7" t="s">
        <v>621</v>
      </c>
    </row>
    <row r="929" spans="1:10">
      <c r="A929" s="7" t="s">
        <v>3932</v>
      </c>
      <c r="B929" s="7" t="s">
        <v>75</v>
      </c>
      <c r="C929" s="7" t="s">
        <v>716</v>
      </c>
      <c r="D929" s="7" t="s">
        <v>622</v>
      </c>
      <c r="E929" s="7" t="s">
        <v>1461</v>
      </c>
      <c r="F929" s="7" t="s">
        <v>3933</v>
      </c>
      <c r="G929" s="7" t="s">
        <v>2109</v>
      </c>
      <c r="H929" s="7" t="s">
        <v>3934</v>
      </c>
      <c r="I929" s="7" t="s">
        <v>3935</v>
      </c>
      <c r="J929" s="7" t="s">
        <v>613</v>
      </c>
    </row>
    <row r="930" spans="1:10">
      <c r="A930" s="7" t="s">
        <v>3936</v>
      </c>
      <c r="B930" s="7" t="s">
        <v>502</v>
      </c>
      <c r="C930" s="7" t="s">
        <v>716</v>
      </c>
      <c r="D930" s="7" t="s">
        <v>605</v>
      </c>
      <c r="E930" s="7" t="s">
        <v>879</v>
      </c>
      <c r="F930" s="7" t="s">
        <v>3937</v>
      </c>
      <c r="G930" s="7" t="s">
        <v>1499</v>
      </c>
      <c r="H930" s="7" t="s">
        <v>3938</v>
      </c>
      <c r="I930" s="7" t="s">
        <v>148</v>
      </c>
      <c r="J930" s="7" t="s">
        <v>613</v>
      </c>
    </row>
    <row r="931" spans="1:10">
      <c r="A931" s="7" t="s">
        <v>3939</v>
      </c>
      <c r="B931" s="7" t="s">
        <v>490</v>
      </c>
      <c r="C931" s="7" t="s">
        <v>849</v>
      </c>
      <c r="D931" s="7" t="s">
        <v>622</v>
      </c>
      <c r="E931" s="7" t="s">
        <v>1072</v>
      </c>
      <c r="F931" s="7" t="s">
        <v>3940</v>
      </c>
      <c r="G931" s="7" t="s">
        <v>2145</v>
      </c>
      <c r="H931" s="7" t="s">
        <v>3941</v>
      </c>
      <c r="I931" s="7" t="s">
        <v>106</v>
      </c>
      <c r="J931" s="7" t="s">
        <v>613</v>
      </c>
    </row>
    <row r="932" spans="1:10">
      <c r="A932" s="7" t="s">
        <v>3942</v>
      </c>
      <c r="B932" s="7" t="s">
        <v>318</v>
      </c>
      <c r="C932" s="7" t="s">
        <v>628</v>
      </c>
      <c r="D932" s="7" t="s">
        <v>605</v>
      </c>
      <c r="E932" s="7" t="s">
        <v>1490</v>
      </c>
      <c r="F932" s="7" t="s">
        <v>3943</v>
      </c>
      <c r="G932" s="7" t="s">
        <v>2751</v>
      </c>
      <c r="H932" s="7" t="s">
        <v>3944</v>
      </c>
      <c r="I932" s="7" t="s">
        <v>1055</v>
      </c>
      <c r="J932" s="7" t="s">
        <v>633</v>
      </c>
    </row>
    <row r="933" spans="1:10">
      <c r="A933" s="7" t="s">
        <v>3945</v>
      </c>
      <c r="B933" s="7" t="s">
        <v>230</v>
      </c>
      <c r="C933" s="7" t="s">
        <v>926</v>
      </c>
      <c r="D933" s="7" t="s">
        <v>614</v>
      </c>
      <c r="E933" s="7" t="s">
        <v>1559</v>
      </c>
      <c r="F933" s="7" t="s">
        <v>3946</v>
      </c>
      <c r="G933" s="7" t="s">
        <v>821</v>
      </c>
      <c r="H933" s="7" t="s">
        <v>3947</v>
      </c>
      <c r="I933" s="7" t="s">
        <v>1570</v>
      </c>
      <c r="J933" s="7" t="s">
        <v>754</v>
      </c>
    </row>
    <row r="934" spans="1:10">
      <c r="A934" s="7" t="s">
        <v>3948</v>
      </c>
      <c r="B934" s="7" t="s">
        <v>230</v>
      </c>
      <c r="C934" s="7" t="s">
        <v>876</v>
      </c>
      <c r="D934" s="7" t="s">
        <v>622</v>
      </c>
      <c r="E934" s="7" t="s">
        <v>660</v>
      </c>
      <c r="F934" s="7" t="s">
        <v>3949</v>
      </c>
      <c r="G934" s="7" t="s">
        <v>1153</v>
      </c>
      <c r="H934" s="7" t="s">
        <v>3950</v>
      </c>
      <c r="I934" s="7" t="s">
        <v>1847</v>
      </c>
      <c r="J934" s="7" t="s">
        <v>754</v>
      </c>
    </row>
    <row r="935" spans="1:10">
      <c r="A935" s="7" t="s">
        <v>3951</v>
      </c>
      <c r="B935" s="7" t="s">
        <v>134</v>
      </c>
      <c r="C935" s="7" t="s">
        <v>664</v>
      </c>
      <c r="D935" s="7" t="s">
        <v>607</v>
      </c>
      <c r="E935" s="7" t="s">
        <v>768</v>
      </c>
      <c r="F935" s="7" t="s">
        <v>3952</v>
      </c>
      <c r="G935" s="7" t="s">
        <v>1021</v>
      </c>
      <c r="H935" s="7" t="s">
        <v>3953</v>
      </c>
      <c r="I935" s="7" t="s">
        <v>881</v>
      </c>
      <c r="J935" s="7" t="s">
        <v>648</v>
      </c>
    </row>
    <row r="936" spans="1:10">
      <c r="A936" s="7" t="s">
        <v>3954</v>
      </c>
      <c r="B936" s="7" t="s">
        <v>277</v>
      </c>
      <c r="C936" s="7" t="s">
        <v>664</v>
      </c>
      <c r="D936" s="7" t="s">
        <v>607</v>
      </c>
      <c r="E936" s="7" t="s">
        <v>643</v>
      </c>
      <c r="F936" s="7" t="s">
        <v>3955</v>
      </c>
      <c r="G936" s="7" t="s">
        <v>666</v>
      </c>
      <c r="H936" s="7" t="s">
        <v>3956</v>
      </c>
      <c r="I936" s="7" t="s">
        <v>2379</v>
      </c>
      <c r="J936" s="7" t="s">
        <v>648</v>
      </c>
    </row>
    <row r="937" spans="1:10">
      <c r="A937" s="7" t="s">
        <v>3957</v>
      </c>
      <c r="B937" s="7" t="s">
        <v>271</v>
      </c>
      <c r="C937" s="7" t="s">
        <v>657</v>
      </c>
      <c r="D937" s="7" t="s">
        <v>627</v>
      </c>
      <c r="E937" s="7" t="s">
        <v>821</v>
      </c>
      <c r="F937" s="7" t="s">
        <v>3958</v>
      </c>
      <c r="G937" s="7" t="s">
        <v>658</v>
      </c>
      <c r="H937" s="7" t="s">
        <v>2339</v>
      </c>
      <c r="I937" s="7" t="s">
        <v>612</v>
      </c>
      <c r="J937" s="7" t="s">
        <v>621</v>
      </c>
    </row>
    <row r="938" spans="1:10">
      <c r="A938" s="7" t="s">
        <v>3959</v>
      </c>
      <c r="B938" s="7" t="s">
        <v>572</v>
      </c>
      <c r="C938" s="7" t="s">
        <v>876</v>
      </c>
      <c r="D938" s="7" t="s">
        <v>614</v>
      </c>
      <c r="E938" s="7" t="s">
        <v>974</v>
      </c>
      <c r="F938" s="7" t="s">
        <v>3960</v>
      </c>
      <c r="G938" s="7" t="s">
        <v>877</v>
      </c>
      <c r="H938" s="7" t="s">
        <v>3961</v>
      </c>
      <c r="I938" s="7" t="s">
        <v>1061</v>
      </c>
      <c r="J938" s="7" t="s">
        <v>754</v>
      </c>
    </row>
    <row r="939" spans="1:10">
      <c r="A939" s="7" t="s">
        <v>3962</v>
      </c>
      <c r="B939" s="7" t="s">
        <v>33</v>
      </c>
      <c r="C939" s="7" t="s">
        <v>909</v>
      </c>
      <c r="D939" s="7" t="s">
        <v>622</v>
      </c>
      <c r="E939" s="7" t="s">
        <v>666</v>
      </c>
      <c r="F939" s="7" t="s">
        <v>3963</v>
      </c>
      <c r="G939" s="7" t="s">
        <v>957</v>
      </c>
      <c r="H939" s="7" t="s">
        <v>3964</v>
      </c>
      <c r="I939" s="7" t="s">
        <v>480</v>
      </c>
      <c r="J939" s="7" t="s">
        <v>648</v>
      </c>
    </row>
    <row r="940" spans="1:10">
      <c r="A940" s="7" t="s">
        <v>3965</v>
      </c>
      <c r="B940" s="7" t="s">
        <v>496</v>
      </c>
      <c r="C940" s="7" t="s">
        <v>663</v>
      </c>
      <c r="D940" s="7" t="s">
        <v>627</v>
      </c>
      <c r="E940" s="7" t="s">
        <v>643</v>
      </c>
      <c r="F940" s="7" t="s">
        <v>3966</v>
      </c>
      <c r="G940" s="7" t="s">
        <v>1476</v>
      </c>
      <c r="H940" s="7" t="s">
        <v>3967</v>
      </c>
      <c r="I940" s="7" t="s">
        <v>468</v>
      </c>
      <c r="J940" s="7" t="s">
        <v>648</v>
      </c>
    </row>
    <row r="941" spans="1:10">
      <c r="A941" s="7" t="s">
        <v>3968</v>
      </c>
      <c r="B941" s="7" t="s">
        <v>484</v>
      </c>
      <c r="C941" s="7" t="s">
        <v>901</v>
      </c>
      <c r="D941" s="7" t="s">
        <v>627</v>
      </c>
      <c r="E941" s="7" t="s">
        <v>1008</v>
      </c>
      <c r="F941" s="7" t="s">
        <v>3969</v>
      </c>
      <c r="G941" s="7" t="s">
        <v>3635</v>
      </c>
      <c r="H941" s="7" t="s">
        <v>3970</v>
      </c>
      <c r="I941" s="7" t="s">
        <v>71</v>
      </c>
      <c r="J941" s="7" t="s">
        <v>633</v>
      </c>
    </row>
    <row r="942" spans="1:10">
      <c r="A942" s="7" t="s">
        <v>3971</v>
      </c>
      <c r="B942" s="7" t="s">
        <v>345</v>
      </c>
      <c r="C942" s="7" t="s">
        <v>715</v>
      </c>
      <c r="D942" s="7" t="s">
        <v>627</v>
      </c>
      <c r="E942" s="7" t="s">
        <v>2139</v>
      </c>
      <c r="F942" s="7" t="s">
        <v>3972</v>
      </c>
      <c r="G942" s="7" t="s">
        <v>2020</v>
      </c>
      <c r="H942" s="7" t="s">
        <v>3973</v>
      </c>
      <c r="I942" s="7" t="s">
        <v>1315</v>
      </c>
      <c r="J942" s="7" t="s">
        <v>633</v>
      </c>
    </row>
    <row r="943" spans="1:10">
      <c r="A943" s="7" t="s">
        <v>3974</v>
      </c>
      <c r="B943" s="7" t="s">
        <v>146</v>
      </c>
      <c r="C943" s="7" t="s">
        <v>876</v>
      </c>
      <c r="D943" s="7" t="s">
        <v>605</v>
      </c>
      <c r="E943" s="7" t="s">
        <v>3975</v>
      </c>
      <c r="F943" s="7" t="s">
        <v>3976</v>
      </c>
      <c r="G943" s="7" t="s">
        <v>1620</v>
      </c>
      <c r="H943" s="7" t="s">
        <v>3977</v>
      </c>
      <c r="I943" s="7" t="s">
        <v>196</v>
      </c>
      <c r="J943" s="7" t="s">
        <v>754</v>
      </c>
    </row>
    <row r="944" spans="1:10">
      <c r="A944" s="7" t="s">
        <v>3978</v>
      </c>
      <c r="B944" s="7" t="s">
        <v>158</v>
      </c>
      <c r="C944" s="7" t="s">
        <v>738</v>
      </c>
      <c r="D944" s="7" t="s">
        <v>627</v>
      </c>
      <c r="E944" s="7" t="s">
        <v>2671</v>
      </c>
      <c r="F944" s="7" t="s">
        <v>3979</v>
      </c>
      <c r="G944" s="7" t="s">
        <v>1012</v>
      </c>
      <c r="H944" s="7" t="s">
        <v>3980</v>
      </c>
      <c r="I944" s="7" t="s">
        <v>1074</v>
      </c>
      <c r="J944" s="7" t="s">
        <v>754</v>
      </c>
    </row>
    <row r="945" spans="1:10">
      <c r="A945" s="7" t="s">
        <v>3981</v>
      </c>
      <c r="B945" s="7" t="s">
        <v>146</v>
      </c>
      <c r="C945" s="7" t="s">
        <v>606</v>
      </c>
      <c r="D945" s="7" t="s">
        <v>627</v>
      </c>
      <c r="E945" s="7" t="s">
        <v>1887</v>
      </c>
      <c r="F945" s="7" t="s">
        <v>3982</v>
      </c>
      <c r="G945" s="7" t="s">
        <v>1328</v>
      </c>
      <c r="H945" s="7" t="s">
        <v>3983</v>
      </c>
      <c r="I945" s="7" t="s">
        <v>908</v>
      </c>
      <c r="J945" s="7" t="s">
        <v>613</v>
      </c>
    </row>
    <row r="946" spans="1:10">
      <c r="A946" s="7" t="s">
        <v>3984</v>
      </c>
      <c r="B946" s="7" t="s">
        <v>230</v>
      </c>
      <c r="C946" s="7" t="s">
        <v>715</v>
      </c>
      <c r="D946" s="7" t="s">
        <v>614</v>
      </c>
      <c r="E946" s="7" t="s">
        <v>2536</v>
      </c>
      <c r="F946" s="7" t="s">
        <v>3985</v>
      </c>
      <c r="G946" s="7" t="s">
        <v>1367</v>
      </c>
      <c r="H946" s="7" t="s">
        <v>3986</v>
      </c>
      <c r="I946" s="7" t="s">
        <v>1778</v>
      </c>
      <c r="J946" s="7" t="s">
        <v>633</v>
      </c>
    </row>
    <row r="947" spans="1:10">
      <c r="A947" s="7" t="s">
        <v>3987</v>
      </c>
      <c r="B947" s="7" t="s">
        <v>301</v>
      </c>
      <c r="C947" s="7" t="s">
        <v>711</v>
      </c>
      <c r="D947" s="7" t="s">
        <v>627</v>
      </c>
      <c r="E947" s="7" t="s">
        <v>2405</v>
      </c>
      <c r="F947" s="7" t="s">
        <v>3988</v>
      </c>
      <c r="G947" s="7" t="s">
        <v>2872</v>
      </c>
      <c r="H947" s="7" t="s">
        <v>3989</v>
      </c>
      <c r="I947" s="7" t="s">
        <v>480</v>
      </c>
      <c r="J947" s="7" t="s">
        <v>613</v>
      </c>
    </row>
    <row r="948" spans="1:10">
      <c r="A948" s="7" t="s">
        <v>3990</v>
      </c>
      <c r="B948" s="7" t="s">
        <v>589</v>
      </c>
      <c r="C948" s="7" t="s">
        <v>684</v>
      </c>
      <c r="D948" s="7" t="s">
        <v>622</v>
      </c>
      <c r="E948" s="7" t="s">
        <v>1308</v>
      </c>
      <c r="F948" s="7" t="s">
        <v>3991</v>
      </c>
      <c r="G948" s="7" t="s">
        <v>1578</v>
      </c>
      <c r="H948" s="7" t="s">
        <v>3992</v>
      </c>
      <c r="I948" s="7" t="s">
        <v>1640</v>
      </c>
      <c r="J948" s="7" t="s">
        <v>633</v>
      </c>
    </row>
    <row r="949" spans="1:10">
      <c r="A949" s="7" t="s">
        <v>3993</v>
      </c>
      <c r="B949" s="7" t="s">
        <v>362</v>
      </c>
      <c r="C949" s="7" t="s">
        <v>762</v>
      </c>
      <c r="D949" s="7" t="s">
        <v>622</v>
      </c>
      <c r="E949" s="7" t="s">
        <v>693</v>
      </c>
      <c r="F949" s="7" t="s">
        <v>3994</v>
      </c>
      <c r="G949" s="7" t="s">
        <v>724</v>
      </c>
      <c r="H949" s="7" t="s">
        <v>3995</v>
      </c>
      <c r="I949" s="7" t="s">
        <v>1566</v>
      </c>
      <c r="J949" s="7" t="s">
        <v>682</v>
      </c>
    </row>
    <row r="950" spans="1:10">
      <c r="A950" s="7" t="s">
        <v>3996</v>
      </c>
      <c r="B950" s="7" t="s">
        <v>122</v>
      </c>
      <c r="C950" s="7" t="s">
        <v>641</v>
      </c>
      <c r="D950" s="7" t="s">
        <v>627</v>
      </c>
      <c r="E950" s="7" t="s">
        <v>943</v>
      </c>
      <c r="F950" s="7" t="s">
        <v>3997</v>
      </c>
      <c r="G950" s="7" t="s">
        <v>763</v>
      </c>
      <c r="H950" s="7" t="s">
        <v>3998</v>
      </c>
      <c r="I950" s="7" t="s">
        <v>1495</v>
      </c>
      <c r="J950" s="7" t="s">
        <v>682</v>
      </c>
    </row>
    <row r="951" spans="1:10">
      <c r="A951" s="7" t="s">
        <v>3999</v>
      </c>
      <c r="B951" s="7" t="s">
        <v>86</v>
      </c>
      <c r="C951" s="7" t="s">
        <v>820</v>
      </c>
      <c r="D951" s="7" t="s">
        <v>622</v>
      </c>
      <c r="E951" s="7" t="s">
        <v>1691</v>
      </c>
      <c r="F951" s="7" t="s">
        <v>4000</v>
      </c>
      <c r="G951" s="7" t="s">
        <v>3574</v>
      </c>
      <c r="H951" s="7" t="s">
        <v>4001</v>
      </c>
      <c r="I951" s="7" t="s">
        <v>498</v>
      </c>
      <c r="J951" s="7" t="s">
        <v>754</v>
      </c>
    </row>
    <row r="952" spans="1:10">
      <c r="A952" s="7" t="s">
        <v>4002</v>
      </c>
      <c r="B952" s="7" t="s">
        <v>146</v>
      </c>
      <c r="C952" s="7" t="s">
        <v>691</v>
      </c>
      <c r="D952" s="7" t="s">
        <v>605</v>
      </c>
      <c r="E952" s="7" t="s">
        <v>1153</v>
      </c>
      <c r="F952" s="7" t="s">
        <v>4003</v>
      </c>
      <c r="G952" s="7" t="s">
        <v>1330</v>
      </c>
      <c r="H952" s="7" t="s">
        <v>4004</v>
      </c>
      <c r="I952" s="7" t="s">
        <v>2583</v>
      </c>
      <c r="J952" s="7" t="s">
        <v>613</v>
      </c>
    </row>
    <row r="953" spans="1:10">
      <c r="A953" s="7" t="s">
        <v>4005</v>
      </c>
      <c r="B953" s="7" t="s">
        <v>164</v>
      </c>
      <c r="C953" s="7" t="s">
        <v>839</v>
      </c>
      <c r="D953" s="7" t="s">
        <v>627</v>
      </c>
      <c r="E953" s="7" t="s">
        <v>735</v>
      </c>
      <c r="F953" s="7" t="s">
        <v>4006</v>
      </c>
      <c r="G953" s="7" t="s">
        <v>1012</v>
      </c>
      <c r="H953" s="7" t="s">
        <v>4007</v>
      </c>
      <c r="I953" s="7" t="s">
        <v>1315</v>
      </c>
      <c r="J953" s="7" t="s">
        <v>640</v>
      </c>
    </row>
    <row r="954" spans="1:10">
      <c r="A954" s="7" t="s">
        <v>4008</v>
      </c>
      <c r="B954" s="7" t="s">
        <v>449</v>
      </c>
      <c r="C954" s="7" t="s">
        <v>824</v>
      </c>
      <c r="D954" s="7" t="s">
        <v>605</v>
      </c>
      <c r="E954" s="7" t="s">
        <v>1289</v>
      </c>
      <c r="F954" s="7" t="s">
        <v>4009</v>
      </c>
      <c r="G954" s="7" t="s">
        <v>1503</v>
      </c>
      <c r="H954" s="7" t="s">
        <v>4010</v>
      </c>
      <c r="I954" s="7" t="s">
        <v>1004</v>
      </c>
      <c r="J954" s="7" t="s">
        <v>613</v>
      </c>
    </row>
    <row r="955" spans="1:10">
      <c r="A955" s="7" t="s">
        <v>4011</v>
      </c>
      <c r="B955" s="7" t="s">
        <v>373</v>
      </c>
      <c r="C955" s="7" t="s">
        <v>843</v>
      </c>
      <c r="D955" s="7" t="s">
        <v>622</v>
      </c>
      <c r="E955" s="7" t="s">
        <v>821</v>
      </c>
      <c r="F955" s="7" t="s">
        <v>4012</v>
      </c>
      <c r="G955" s="7" t="s">
        <v>1081</v>
      </c>
      <c r="H955" s="7" t="s">
        <v>4013</v>
      </c>
      <c r="I955" s="7" t="s">
        <v>1814</v>
      </c>
      <c r="J955" s="7" t="s">
        <v>621</v>
      </c>
    </row>
    <row r="956" spans="1:10">
      <c r="A956" s="7" t="s">
        <v>4014</v>
      </c>
      <c r="B956" s="7" t="s">
        <v>92</v>
      </c>
      <c r="C956" s="7" t="s">
        <v>747</v>
      </c>
      <c r="D956" s="7" t="s">
        <v>627</v>
      </c>
      <c r="E956" s="7" t="s">
        <v>1072</v>
      </c>
      <c r="F956" s="7" t="s">
        <v>4015</v>
      </c>
      <c r="G956" s="7" t="s">
        <v>2145</v>
      </c>
      <c r="H956" s="7" t="s">
        <v>4016</v>
      </c>
      <c r="I956" s="7" t="s">
        <v>154</v>
      </c>
      <c r="J956" s="7" t="s">
        <v>633</v>
      </c>
    </row>
    <row r="957" spans="1:10">
      <c r="A957" s="7" t="s">
        <v>4017</v>
      </c>
      <c r="B957" s="7" t="s">
        <v>224</v>
      </c>
      <c r="C957" s="7" t="s">
        <v>797</v>
      </c>
      <c r="D957" s="7" t="s">
        <v>607</v>
      </c>
      <c r="E957" s="7" t="s">
        <v>666</v>
      </c>
      <c r="F957" s="7" t="s">
        <v>4018</v>
      </c>
      <c r="G957" s="7" t="s">
        <v>1289</v>
      </c>
      <c r="H957" s="7" t="s">
        <v>4019</v>
      </c>
      <c r="I957" s="7" t="s">
        <v>2515</v>
      </c>
      <c r="J957" s="7" t="s">
        <v>648</v>
      </c>
    </row>
    <row r="958" spans="1:10">
      <c r="A958" s="7" t="s">
        <v>4020</v>
      </c>
      <c r="B958" s="7" t="s">
        <v>230</v>
      </c>
      <c r="C958" s="7" t="s">
        <v>716</v>
      </c>
      <c r="D958" s="7" t="s">
        <v>605</v>
      </c>
      <c r="E958" s="7" t="s">
        <v>917</v>
      </c>
      <c r="F958" s="7" t="s">
        <v>4021</v>
      </c>
      <c r="G958" s="7" t="s">
        <v>2615</v>
      </c>
      <c r="H958" s="7" t="s">
        <v>4022</v>
      </c>
      <c r="I958" s="7" t="s">
        <v>65</v>
      </c>
      <c r="J958" s="7" t="s">
        <v>613</v>
      </c>
    </row>
    <row r="959" spans="1:10">
      <c r="A959" s="7" t="s">
        <v>4023</v>
      </c>
      <c r="B959" s="7" t="s">
        <v>57</v>
      </c>
      <c r="C959" s="7" t="s">
        <v>676</v>
      </c>
      <c r="D959" s="7" t="s">
        <v>622</v>
      </c>
      <c r="E959" s="7" t="s">
        <v>724</v>
      </c>
      <c r="F959" s="7" t="s">
        <v>4024</v>
      </c>
      <c r="G959" s="7" t="s">
        <v>809</v>
      </c>
      <c r="H959" s="7" t="s">
        <v>4025</v>
      </c>
      <c r="I959" s="7" t="s">
        <v>3935</v>
      </c>
      <c r="J959" s="7" t="s">
        <v>682</v>
      </c>
    </row>
    <row r="960" spans="1:10">
      <c r="A960" s="7" t="s">
        <v>4026</v>
      </c>
      <c r="B960" s="7" t="s">
        <v>578</v>
      </c>
      <c r="C960" s="7" t="s">
        <v>824</v>
      </c>
      <c r="D960" s="7" t="s">
        <v>605</v>
      </c>
      <c r="E960" s="7" t="s">
        <v>2769</v>
      </c>
      <c r="F960" s="7" t="s">
        <v>4027</v>
      </c>
      <c r="G960" s="7" t="s">
        <v>1620</v>
      </c>
      <c r="H960" s="7" t="s">
        <v>4028</v>
      </c>
      <c r="I960" s="7" t="s">
        <v>1778</v>
      </c>
      <c r="J960" s="7" t="s">
        <v>613</v>
      </c>
    </row>
    <row r="961" spans="1:10">
      <c r="A961" s="7" t="s">
        <v>4029</v>
      </c>
      <c r="B961" s="7" t="s">
        <v>194</v>
      </c>
      <c r="C961" s="7" t="s">
        <v>825</v>
      </c>
      <c r="D961" s="7" t="s">
        <v>622</v>
      </c>
      <c r="E961" s="7" t="s">
        <v>827</v>
      </c>
      <c r="F961" s="7" t="s">
        <v>4030</v>
      </c>
      <c r="G961" s="7" t="s">
        <v>658</v>
      </c>
      <c r="H961" s="7" t="s">
        <v>4031</v>
      </c>
      <c r="I961" s="7" t="s">
        <v>1640</v>
      </c>
      <c r="J961" s="7" t="s">
        <v>621</v>
      </c>
    </row>
    <row r="962" spans="1:10">
      <c r="A962" s="7" t="s">
        <v>4032</v>
      </c>
      <c r="B962" s="7" t="s">
        <v>98</v>
      </c>
      <c r="C962" s="7" t="s">
        <v>605</v>
      </c>
      <c r="D962" s="7" t="s">
        <v>607</v>
      </c>
      <c r="E962" s="7" t="s">
        <v>1111</v>
      </c>
      <c r="F962" s="7" t="s">
        <v>4033</v>
      </c>
      <c r="G962" s="7" t="s">
        <v>812</v>
      </c>
      <c r="H962" s="7" t="s">
        <v>4034</v>
      </c>
      <c r="I962" s="7" t="s">
        <v>1194</v>
      </c>
      <c r="J962" s="7" t="s">
        <v>754</v>
      </c>
    </row>
    <row r="963" spans="1:10">
      <c r="A963" s="7" t="s">
        <v>4035</v>
      </c>
      <c r="B963" s="7" t="s">
        <v>170</v>
      </c>
      <c r="C963" s="7" t="s">
        <v>711</v>
      </c>
      <c r="D963" s="7" t="s">
        <v>607</v>
      </c>
      <c r="E963" s="7" t="s">
        <v>2028</v>
      </c>
      <c r="F963" s="7" t="s">
        <v>4036</v>
      </c>
      <c r="G963" s="7" t="s">
        <v>777</v>
      </c>
      <c r="H963" s="7" t="s">
        <v>4037</v>
      </c>
      <c r="I963" s="7" t="s">
        <v>352</v>
      </c>
      <c r="J963" s="7" t="s">
        <v>613</v>
      </c>
    </row>
    <row r="964" spans="1:10">
      <c r="A964" s="7" t="s">
        <v>4038</v>
      </c>
      <c r="B964" s="7" t="s">
        <v>152</v>
      </c>
      <c r="C964" s="7" t="s">
        <v>774</v>
      </c>
      <c r="D964" s="7" t="s">
        <v>605</v>
      </c>
      <c r="E964" s="7" t="s">
        <v>679</v>
      </c>
      <c r="F964" s="7" t="s">
        <v>4039</v>
      </c>
      <c r="G964" s="7" t="s">
        <v>763</v>
      </c>
      <c r="H964" s="7" t="s">
        <v>4040</v>
      </c>
      <c r="I964" s="7" t="s">
        <v>591</v>
      </c>
      <c r="J964" s="7" t="s">
        <v>682</v>
      </c>
    </row>
    <row r="965" spans="1:10">
      <c r="A965" s="7" t="s">
        <v>4041</v>
      </c>
      <c r="B965" s="7" t="s">
        <v>578</v>
      </c>
      <c r="C965" s="7" t="s">
        <v>732</v>
      </c>
      <c r="D965" s="7" t="s">
        <v>627</v>
      </c>
      <c r="E965" s="7" t="s">
        <v>4042</v>
      </c>
      <c r="F965" s="7" t="s">
        <v>4043</v>
      </c>
      <c r="G965" s="7" t="s">
        <v>1273</v>
      </c>
      <c r="H965" s="7" t="s">
        <v>4044</v>
      </c>
      <c r="I965" s="7" t="s">
        <v>1660</v>
      </c>
      <c r="J965" s="7" t="s">
        <v>633</v>
      </c>
    </row>
    <row r="966" spans="1:10">
      <c r="A966" s="7" t="s">
        <v>4045</v>
      </c>
      <c r="B966" s="7" t="s">
        <v>472</v>
      </c>
      <c r="C966" s="7" t="s">
        <v>723</v>
      </c>
      <c r="D966" s="7" t="s">
        <v>605</v>
      </c>
      <c r="E966" s="7" t="s">
        <v>677</v>
      </c>
      <c r="F966" s="7" t="s">
        <v>4046</v>
      </c>
      <c r="G966" s="7" t="s">
        <v>763</v>
      </c>
      <c r="H966" s="7" t="s">
        <v>4047</v>
      </c>
      <c r="I966" s="7" t="s">
        <v>3032</v>
      </c>
      <c r="J966" s="7" t="s">
        <v>682</v>
      </c>
    </row>
    <row r="967" spans="1:10">
      <c r="A967" s="7" t="s">
        <v>4048</v>
      </c>
      <c r="B967" s="7" t="s">
        <v>362</v>
      </c>
      <c r="C967" s="7" t="s">
        <v>690</v>
      </c>
      <c r="D967" s="7" t="s">
        <v>614</v>
      </c>
      <c r="E967" s="7" t="s">
        <v>1136</v>
      </c>
      <c r="F967" s="7" t="s">
        <v>4049</v>
      </c>
      <c r="G967" s="7" t="s">
        <v>1269</v>
      </c>
      <c r="H967" s="7" t="s">
        <v>4050</v>
      </c>
      <c r="I967" s="7" t="s">
        <v>527</v>
      </c>
      <c r="J967" s="7" t="s">
        <v>682</v>
      </c>
    </row>
    <row r="968" spans="1:10">
      <c r="A968" s="7" t="s">
        <v>4051</v>
      </c>
      <c r="B968" s="7" t="s">
        <v>248</v>
      </c>
      <c r="C968" s="7" t="s">
        <v>949</v>
      </c>
      <c r="D968" s="7" t="s">
        <v>627</v>
      </c>
      <c r="E968" s="7" t="s">
        <v>735</v>
      </c>
      <c r="F968" s="7" t="s">
        <v>4052</v>
      </c>
      <c r="G968" s="7" t="s">
        <v>708</v>
      </c>
      <c r="H968" s="7" t="s">
        <v>4053</v>
      </c>
      <c r="I968" s="7" t="s">
        <v>1257</v>
      </c>
      <c r="J968" s="7" t="s">
        <v>640</v>
      </c>
    </row>
    <row r="969" spans="1:10">
      <c r="A969" s="7" t="s">
        <v>4054</v>
      </c>
      <c r="B969" s="7" t="s">
        <v>14</v>
      </c>
      <c r="C969" s="7" t="s">
        <v>663</v>
      </c>
      <c r="D969" s="7" t="s">
        <v>614</v>
      </c>
      <c r="E969" s="7" t="s">
        <v>950</v>
      </c>
      <c r="F969" s="7" t="s">
        <v>4055</v>
      </c>
      <c r="G969" s="7" t="s">
        <v>937</v>
      </c>
      <c r="H969" s="7" t="s">
        <v>4056</v>
      </c>
      <c r="I969" s="7" t="s">
        <v>3197</v>
      </c>
      <c r="J969" s="7" t="s">
        <v>648</v>
      </c>
    </row>
    <row r="970" spans="1:10">
      <c r="A970" s="7" t="s">
        <v>4057</v>
      </c>
      <c r="B970" s="7" t="s">
        <v>27</v>
      </c>
      <c r="C970" s="7" t="s">
        <v>748</v>
      </c>
      <c r="D970" s="7" t="s">
        <v>627</v>
      </c>
      <c r="E970" s="7" t="s">
        <v>703</v>
      </c>
      <c r="F970" s="7" t="s">
        <v>2719</v>
      </c>
      <c r="G970" s="7" t="s">
        <v>1289</v>
      </c>
      <c r="H970" s="7" t="s">
        <v>4058</v>
      </c>
      <c r="I970" s="7" t="s">
        <v>710</v>
      </c>
      <c r="J970" s="7" t="s">
        <v>754</v>
      </c>
    </row>
    <row r="971" spans="1:10">
      <c r="A971" s="7" t="s">
        <v>4059</v>
      </c>
      <c r="B971" s="7" t="s">
        <v>122</v>
      </c>
      <c r="C971" s="7" t="s">
        <v>830</v>
      </c>
      <c r="D971" s="7" t="s">
        <v>627</v>
      </c>
      <c r="E971" s="7" t="s">
        <v>891</v>
      </c>
      <c r="F971" s="7" t="s">
        <v>4060</v>
      </c>
      <c r="G971" s="7" t="s">
        <v>3211</v>
      </c>
      <c r="H971" s="7" t="s">
        <v>4061</v>
      </c>
      <c r="I971" s="7" t="s">
        <v>1257</v>
      </c>
      <c r="J971" s="7" t="s">
        <v>613</v>
      </c>
    </row>
    <row r="972" spans="1:10">
      <c r="A972" s="7" t="s">
        <v>4062</v>
      </c>
      <c r="B972" s="7" t="s">
        <v>164</v>
      </c>
      <c r="C972" s="7" t="s">
        <v>860</v>
      </c>
      <c r="D972" s="7" t="s">
        <v>605</v>
      </c>
      <c r="E972" s="7" t="s">
        <v>677</v>
      </c>
      <c r="F972" s="7" t="s">
        <v>4063</v>
      </c>
      <c r="G972" s="7" t="s">
        <v>1269</v>
      </c>
      <c r="H972" s="7" t="s">
        <v>4064</v>
      </c>
      <c r="I972" s="7" t="s">
        <v>439</v>
      </c>
      <c r="J972" s="7" t="s">
        <v>682</v>
      </c>
    </row>
    <row r="973" spans="1:10">
      <c r="A973" s="7" t="s">
        <v>4065</v>
      </c>
      <c r="B973" s="7" t="s">
        <v>158</v>
      </c>
      <c r="C973" s="7" t="s">
        <v>756</v>
      </c>
      <c r="D973" s="7" t="s">
        <v>614</v>
      </c>
      <c r="E973" s="7" t="s">
        <v>2194</v>
      </c>
      <c r="F973" s="7" t="s">
        <v>4066</v>
      </c>
      <c r="G973" s="7" t="s">
        <v>3346</v>
      </c>
      <c r="H973" s="7" t="s">
        <v>4067</v>
      </c>
      <c r="I973" s="7" t="s">
        <v>1362</v>
      </c>
      <c r="J973" s="7" t="s">
        <v>613</v>
      </c>
    </row>
    <row r="974" spans="1:10">
      <c r="A974" s="7" t="s">
        <v>4068</v>
      </c>
      <c r="B974" s="7" t="s">
        <v>188</v>
      </c>
      <c r="C974" s="7" t="s">
        <v>807</v>
      </c>
      <c r="D974" s="7" t="s">
        <v>622</v>
      </c>
      <c r="E974" s="7" t="s">
        <v>670</v>
      </c>
      <c r="F974" s="7" t="s">
        <v>4069</v>
      </c>
      <c r="G974" s="7" t="s">
        <v>724</v>
      </c>
      <c r="H974" s="7" t="s">
        <v>4070</v>
      </c>
      <c r="I974" s="7" t="s">
        <v>1357</v>
      </c>
      <c r="J974" s="7" t="s">
        <v>682</v>
      </c>
    </row>
    <row r="975" spans="1:10">
      <c r="A975" s="7" t="s">
        <v>4071</v>
      </c>
      <c r="B975" s="7" t="s">
        <v>86</v>
      </c>
      <c r="C975" s="7" t="s">
        <v>711</v>
      </c>
      <c r="D975" s="7" t="s">
        <v>627</v>
      </c>
      <c r="E975" s="7" t="s">
        <v>712</v>
      </c>
      <c r="F975" s="7" t="s">
        <v>4072</v>
      </c>
      <c r="G975" s="7" t="s">
        <v>616</v>
      </c>
      <c r="H975" s="7" t="s">
        <v>4073</v>
      </c>
      <c r="I975" s="7" t="s">
        <v>244</v>
      </c>
      <c r="J975" s="7" t="s">
        <v>613</v>
      </c>
    </row>
    <row r="976" spans="1:10">
      <c r="A976" s="7" t="s">
        <v>4074</v>
      </c>
      <c r="B976" s="7" t="s">
        <v>455</v>
      </c>
      <c r="C976" s="7" t="s">
        <v>723</v>
      </c>
      <c r="D976" s="7" t="s">
        <v>614</v>
      </c>
      <c r="E976" s="7" t="s">
        <v>693</v>
      </c>
      <c r="F976" s="7" t="s">
        <v>4075</v>
      </c>
      <c r="G976" s="7" t="s">
        <v>765</v>
      </c>
      <c r="H976" s="7" t="s">
        <v>4076</v>
      </c>
      <c r="I976" s="7" t="s">
        <v>439</v>
      </c>
      <c r="J976" s="7" t="s">
        <v>682</v>
      </c>
    </row>
    <row r="977" spans="1:10">
      <c r="A977" s="7" t="s">
        <v>4077</v>
      </c>
      <c r="B977" s="7" t="s">
        <v>104</v>
      </c>
      <c r="C977" s="7" t="s">
        <v>711</v>
      </c>
      <c r="D977" s="7" t="s">
        <v>614</v>
      </c>
      <c r="E977" s="7" t="s">
        <v>2139</v>
      </c>
      <c r="F977" s="7" t="s">
        <v>4078</v>
      </c>
      <c r="G977" s="7" t="s">
        <v>4079</v>
      </c>
      <c r="H977" s="7" t="s">
        <v>4080</v>
      </c>
      <c r="I977" s="7" t="s">
        <v>3186</v>
      </c>
      <c r="J977" s="7" t="s">
        <v>613</v>
      </c>
    </row>
    <row r="978" spans="1:10">
      <c r="A978" s="7" t="s">
        <v>4081</v>
      </c>
      <c r="B978" s="7" t="s">
        <v>33</v>
      </c>
      <c r="C978" s="7" t="s">
        <v>860</v>
      </c>
      <c r="D978" s="7" t="s">
        <v>614</v>
      </c>
      <c r="E978" s="7" t="s">
        <v>610</v>
      </c>
      <c r="F978" s="7" t="s">
        <v>4082</v>
      </c>
      <c r="G978" s="7" t="s">
        <v>724</v>
      </c>
      <c r="H978" s="7" t="s">
        <v>4083</v>
      </c>
      <c r="I978" s="7" t="s">
        <v>3219</v>
      </c>
      <c r="J978" s="7" t="s">
        <v>682</v>
      </c>
    </row>
    <row r="979" spans="1:10">
      <c r="A979" s="7" t="s">
        <v>4084</v>
      </c>
      <c r="B979" s="7" t="s">
        <v>116</v>
      </c>
      <c r="C979" s="7" t="s">
        <v>774</v>
      </c>
      <c r="D979" s="7" t="s">
        <v>627</v>
      </c>
      <c r="E979" s="7" t="s">
        <v>785</v>
      </c>
      <c r="F979" s="7" t="s">
        <v>4085</v>
      </c>
      <c r="G979" s="7" t="s">
        <v>1918</v>
      </c>
      <c r="H979" s="7" t="s">
        <v>4086</v>
      </c>
      <c r="I979" s="7" t="s">
        <v>1357</v>
      </c>
      <c r="J979" s="7" t="s">
        <v>682</v>
      </c>
    </row>
    <row r="980" spans="1:10">
      <c r="A980" s="7" t="s">
        <v>4087</v>
      </c>
      <c r="B980" s="7" t="s">
        <v>182</v>
      </c>
      <c r="C980" s="7" t="s">
        <v>663</v>
      </c>
      <c r="D980" s="7" t="s">
        <v>627</v>
      </c>
      <c r="E980" s="7" t="s">
        <v>966</v>
      </c>
      <c r="F980" s="7" t="s">
        <v>4088</v>
      </c>
      <c r="G980" s="7" t="s">
        <v>952</v>
      </c>
      <c r="H980" s="7" t="s">
        <v>4089</v>
      </c>
      <c r="I980" s="7" t="s">
        <v>3009</v>
      </c>
      <c r="J980" s="7" t="s">
        <v>648</v>
      </c>
    </row>
    <row r="981" spans="1:10">
      <c r="A981" s="7" t="s">
        <v>4090</v>
      </c>
      <c r="B981" s="7" t="s">
        <v>397</v>
      </c>
      <c r="C981" s="7" t="s">
        <v>683</v>
      </c>
      <c r="D981" s="7" t="s">
        <v>607</v>
      </c>
      <c r="E981" s="7" t="s">
        <v>1823</v>
      </c>
      <c r="F981" s="7" t="s">
        <v>4091</v>
      </c>
      <c r="G981" s="7" t="s">
        <v>2319</v>
      </c>
      <c r="H981" s="7" t="s">
        <v>4092</v>
      </c>
      <c r="I981" s="7" t="s">
        <v>1625</v>
      </c>
      <c r="J981" s="7" t="s">
        <v>613</v>
      </c>
    </row>
    <row r="982" spans="1:10">
      <c r="A982" s="7" t="s">
        <v>4093</v>
      </c>
      <c r="B982" s="7" t="s">
        <v>86</v>
      </c>
      <c r="C982" s="7" t="s">
        <v>855</v>
      </c>
      <c r="D982" s="7" t="s">
        <v>614</v>
      </c>
      <c r="E982" s="7" t="s">
        <v>1542</v>
      </c>
      <c r="F982" s="7" t="s">
        <v>4094</v>
      </c>
      <c r="G982" s="7" t="s">
        <v>3337</v>
      </c>
      <c r="H982" s="7" t="s">
        <v>4095</v>
      </c>
      <c r="I982" s="7" t="s">
        <v>1566</v>
      </c>
      <c r="J982" s="7" t="s">
        <v>613</v>
      </c>
    </row>
    <row r="983" spans="1:10">
      <c r="A983" s="7" t="s">
        <v>4096</v>
      </c>
      <c r="B983" s="7" t="s">
        <v>116</v>
      </c>
      <c r="C983" s="7" t="s">
        <v>860</v>
      </c>
      <c r="D983" s="7" t="s">
        <v>627</v>
      </c>
      <c r="E983" s="7" t="s">
        <v>785</v>
      </c>
      <c r="F983" s="7" t="s">
        <v>4097</v>
      </c>
      <c r="G983" s="7" t="s">
        <v>693</v>
      </c>
      <c r="H983" s="7" t="s">
        <v>4098</v>
      </c>
      <c r="I983" s="7" t="s">
        <v>1286</v>
      </c>
      <c r="J983" s="7" t="s">
        <v>682</v>
      </c>
    </row>
    <row r="984" spans="1:10">
      <c r="A984" s="7" t="s">
        <v>4099</v>
      </c>
      <c r="B984" s="7" t="s">
        <v>554</v>
      </c>
      <c r="C984" s="7" t="s">
        <v>959</v>
      </c>
      <c r="D984" s="7" t="s">
        <v>605</v>
      </c>
      <c r="E984" s="7" t="s">
        <v>1206</v>
      </c>
      <c r="F984" s="7" t="s">
        <v>4100</v>
      </c>
      <c r="G984" s="7" t="s">
        <v>1647</v>
      </c>
      <c r="H984" s="7" t="s">
        <v>1922</v>
      </c>
      <c r="I984" s="7" t="s">
        <v>2814</v>
      </c>
      <c r="J984" s="7" t="s">
        <v>633</v>
      </c>
    </row>
    <row r="985" spans="1:10">
      <c r="A985" s="7" t="s">
        <v>4101</v>
      </c>
      <c r="B985" s="7" t="s">
        <v>345</v>
      </c>
      <c r="C985" s="7" t="s">
        <v>863</v>
      </c>
      <c r="D985" s="7" t="s">
        <v>605</v>
      </c>
      <c r="E985" s="7" t="s">
        <v>751</v>
      </c>
      <c r="F985" s="7" t="s">
        <v>4102</v>
      </c>
      <c r="G985" s="7" t="s">
        <v>2129</v>
      </c>
      <c r="H985" s="7" t="s">
        <v>4103</v>
      </c>
      <c r="I985" s="7" t="s">
        <v>1814</v>
      </c>
      <c r="J985" s="7" t="s">
        <v>754</v>
      </c>
    </row>
    <row r="986" spans="1:10">
      <c r="A986" s="7" t="s">
        <v>4104</v>
      </c>
      <c r="B986" s="7" t="s">
        <v>414</v>
      </c>
      <c r="C986" s="7" t="s">
        <v>784</v>
      </c>
      <c r="D986" s="7" t="s">
        <v>627</v>
      </c>
      <c r="E986" s="7" t="s">
        <v>799</v>
      </c>
      <c r="F986" s="7" t="s">
        <v>4105</v>
      </c>
      <c r="G986" s="7" t="s">
        <v>1192</v>
      </c>
      <c r="H986" s="7" t="s">
        <v>4106</v>
      </c>
      <c r="I986" s="7" t="s">
        <v>746</v>
      </c>
      <c r="J986" s="7" t="s">
        <v>754</v>
      </c>
    </row>
    <row r="987" spans="1:10">
      <c r="A987" s="7" t="s">
        <v>4107</v>
      </c>
      <c r="B987" s="7" t="s">
        <v>508</v>
      </c>
      <c r="C987" s="7" t="s">
        <v>605</v>
      </c>
      <c r="D987" s="7" t="s">
        <v>614</v>
      </c>
      <c r="E987" s="7" t="s">
        <v>1081</v>
      </c>
      <c r="F987" s="7" t="s">
        <v>4108</v>
      </c>
      <c r="G987" s="7" t="s">
        <v>827</v>
      </c>
      <c r="H987" s="7" t="s">
        <v>4109</v>
      </c>
      <c r="I987" s="7" t="s">
        <v>971</v>
      </c>
      <c r="J987" s="7" t="s">
        <v>754</v>
      </c>
    </row>
    <row r="988" spans="1:10">
      <c r="A988" s="7" t="s">
        <v>4110</v>
      </c>
      <c r="B988" s="7" t="s">
        <v>110</v>
      </c>
      <c r="C988" s="7" t="s">
        <v>863</v>
      </c>
      <c r="D988" s="7" t="s">
        <v>622</v>
      </c>
      <c r="E988" s="7" t="s">
        <v>3295</v>
      </c>
      <c r="F988" s="7" t="s">
        <v>4111</v>
      </c>
      <c r="G988" s="7" t="s">
        <v>1181</v>
      </c>
      <c r="H988" s="7" t="s">
        <v>4112</v>
      </c>
      <c r="I988" s="7" t="s">
        <v>16</v>
      </c>
      <c r="J988" s="7" t="s">
        <v>754</v>
      </c>
    </row>
    <row r="989" spans="1:10">
      <c r="A989" s="7" t="s">
        <v>4113</v>
      </c>
      <c r="B989" s="7" t="s">
        <v>122</v>
      </c>
      <c r="C989" s="7" t="s">
        <v>627</v>
      </c>
      <c r="D989" s="7" t="s">
        <v>622</v>
      </c>
      <c r="E989" s="7" t="s">
        <v>921</v>
      </c>
      <c r="F989" s="7" t="s">
        <v>4114</v>
      </c>
      <c r="G989" s="7" t="s">
        <v>698</v>
      </c>
      <c r="H989" s="7" t="s">
        <v>4115</v>
      </c>
      <c r="I989" s="7" t="s">
        <v>2780</v>
      </c>
      <c r="J989" s="7" t="s">
        <v>621</v>
      </c>
    </row>
    <row r="990" spans="1:10">
      <c r="A990" s="7" t="s">
        <v>4116</v>
      </c>
      <c r="B990" s="7" t="s">
        <v>104</v>
      </c>
      <c r="C990" s="7" t="s">
        <v>728</v>
      </c>
      <c r="D990" s="7" t="s">
        <v>622</v>
      </c>
      <c r="E990" s="7" t="s">
        <v>1383</v>
      </c>
      <c r="F990" s="7" t="s">
        <v>4117</v>
      </c>
      <c r="G990" s="7" t="s">
        <v>814</v>
      </c>
      <c r="H990" s="7" t="s">
        <v>4118</v>
      </c>
      <c r="I990" s="7" t="s">
        <v>142</v>
      </c>
      <c r="J990" s="7" t="s">
        <v>640</v>
      </c>
    </row>
    <row r="991" spans="1:10">
      <c r="A991" s="7" t="s">
        <v>4119</v>
      </c>
      <c r="B991" s="7" t="s">
        <v>128</v>
      </c>
      <c r="C991" s="7" t="s">
        <v>748</v>
      </c>
      <c r="D991" s="7" t="s">
        <v>614</v>
      </c>
      <c r="E991" s="7" t="s">
        <v>2494</v>
      </c>
      <c r="F991" s="7" t="s">
        <v>4120</v>
      </c>
      <c r="G991" s="7" t="s">
        <v>2496</v>
      </c>
      <c r="H991" s="7" t="s">
        <v>4121</v>
      </c>
      <c r="I991" s="7" t="s">
        <v>1263</v>
      </c>
      <c r="J991" s="7" t="s">
        <v>754</v>
      </c>
    </row>
    <row r="992" spans="1:10">
      <c r="A992" s="7" t="s">
        <v>4122</v>
      </c>
      <c r="B992" s="7" t="s">
        <v>324</v>
      </c>
      <c r="C992" s="7" t="s">
        <v>806</v>
      </c>
      <c r="D992" s="7" t="s">
        <v>607</v>
      </c>
      <c r="E992" s="7" t="s">
        <v>733</v>
      </c>
      <c r="F992" s="7" t="s">
        <v>4123</v>
      </c>
      <c r="G992" s="7" t="s">
        <v>814</v>
      </c>
      <c r="H992" s="7" t="s">
        <v>4124</v>
      </c>
      <c r="I992" s="7" t="s">
        <v>1357</v>
      </c>
      <c r="J992" s="7" t="s">
        <v>633</v>
      </c>
    </row>
    <row r="993" spans="1:10">
      <c r="A993" s="7" t="s">
        <v>4125</v>
      </c>
      <c r="B993" s="7" t="s">
        <v>537</v>
      </c>
      <c r="C993" s="7" t="s">
        <v>657</v>
      </c>
      <c r="D993" s="7" t="s">
        <v>622</v>
      </c>
      <c r="E993" s="7" t="s">
        <v>821</v>
      </c>
      <c r="F993" s="7" t="s">
        <v>4126</v>
      </c>
      <c r="G993" s="7" t="s">
        <v>1081</v>
      </c>
      <c r="H993" s="7" t="s">
        <v>4127</v>
      </c>
      <c r="I993" s="7" t="s">
        <v>936</v>
      </c>
      <c r="J993" s="7" t="s">
        <v>621</v>
      </c>
    </row>
    <row r="994" spans="1:10">
      <c r="A994" s="7" t="s">
        <v>4128</v>
      </c>
      <c r="B994" s="7" t="s">
        <v>484</v>
      </c>
      <c r="C994" s="7" t="s">
        <v>849</v>
      </c>
      <c r="D994" s="7" t="s">
        <v>607</v>
      </c>
      <c r="E994" s="7" t="s">
        <v>1578</v>
      </c>
      <c r="F994" s="7" t="s">
        <v>4129</v>
      </c>
      <c r="G994" s="7" t="s">
        <v>3157</v>
      </c>
      <c r="H994" s="7" t="s">
        <v>4130</v>
      </c>
      <c r="I994" s="7" t="s">
        <v>1142</v>
      </c>
      <c r="J994" s="7" t="s">
        <v>613</v>
      </c>
    </row>
    <row r="995" spans="1:10">
      <c r="A995" s="7" t="s">
        <v>4131</v>
      </c>
      <c r="B995" s="7" t="s">
        <v>27</v>
      </c>
      <c r="C995" s="7" t="s">
        <v>949</v>
      </c>
      <c r="D995" s="7" t="s">
        <v>614</v>
      </c>
      <c r="E995" s="7" t="s">
        <v>897</v>
      </c>
      <c r="F995" s="7" t="s">
        <v>4132</v>
      </c>
      <c r="G995" s="7" t="s">
        <v>1122</v>
      </c>
      <c r="H995" s="7" t="s">
        <v>4133</v>
      </c>
      <c r="I995" s="7" t="s">
        <v>4134</v>
      </c>
      <c r="J995" s="7" t="s">
        <v>640</v>
      </c>
    </row>
    <row r="996" spans="1:10">
      <c r="A996" s="7" t="s">
        <v>4135</v>
      </c>
      <c r="B996" s="7" t="s">
        <v>525</v>
      </c>
      <c r="C996" s="7" t="s">
        <v>901</v>
      </c>
      <c r="D996" s="7" t="s">
        <v>614</v>
      </c>
      <c r="E996" s="7" t="s">
        <v>687</v>
      </c>
      <c r="F996" s="7" t="s">
        <v>4136</v>
      </c>
      <c r="G996" s="7" t="s">
        <v>846</v>
      </c>
      <c r="H996" s="7" t="s">
        <v>4137</v>
      </c>
      <c r="I996" s="7" t="s">
        <v>1847</v>
      </c>
      <c r="J996" s="7" t="s">
        <v>633</v>
      </c>
    </row>
    <row r="997" spans="1:10">
      <c r="A997" s="7" t="s">
        <v>4138</v>
      </c>
      <c r="B997" s="7" t="s">
        <v>455</v>
      </c>
      <c r="C997" s="7" t="s">
        <v>755</v>
      </c>
      <c r="D997" s="7" t="s">
        <v>607</v>
      </c>
      <c r="E997" s="7" t="s">
        <v>653</v>
      </c>
      <c r="F997" s="7" t="s">
        <v>4139</v>
      </c>
      <c r="G997" s="7" t="s">
        <v>2139</v>
      </c>
      <c r="H997" s="7" t="s">
        <v>3485</v>
      </c>
      <c r="I997" s="7" t="s">
        <v>838</v>
      </c>
      <c r="J997" s="7" t="s">
        <v>613</v>
      </c>
    </row>
    <row r="998" spans="1:10">
      <c r="A998" s="7" t="s">
        <v>4140</v>
      </c>
      <c r="B998" s="7" t="s">
        <v>578</v>
      </c>
      <c r="C998" s="7" t="s">
        <v>722</v>
      </c>
      <c r="D998" s="7" t="s">
        <v>614</v>
      </c>
      <c r="E998" s="7" t="s">
        <v>996</v>
      </c>
      <c r="F998" s="7" t="s">
        <v>4141</v>
      </c>
      <c r="G998" s="7" t="s">
        <v>812</v>
      </c>
      <c r="H998" s="7" t="s">
        <v>4142</v>
      </c>
      <c r="I998" s="7" t="s">
        <v>3300</v>
      </c>
      <c r="J998" s="7" t="s">
        <v>640</v>
      </c>
    </row>
    <row r="999" spans="1:10">
      <c r="A999" s="7" t="s">
        <v>4143</v>
      </c>
      <c r="B999" s="7" t="s">
        <v>277</v>
      </c>
      <c r="C999" s="7" t="s">
        <v>843</v>
      </c>
      <c r="D999" s="7" t="s">
        <v>605</v>
      </c>
      <c r="E999" s="7" t="s">
        <v>1107</v>
      </c>
      <c r="F999" s="7" t="s">
        <v>4144</v>
      </c>
      <c r="G999" s="7" t="s">
        <v>660</v>
      </c>
      <c r="H999" s="7" t="s">
        <v>4145</v>
      </c>
      <c r="I999" s="7" t="s">
        <v>1814</v>
      </c>
      <c r="J999" s="7" t="s">
        <v>621</v>
      </c>
    </row>
    <row r="1000" spans="1:10">
      <c r="A1000" s="7" t="s">
        <v>4146</v>
      </c>
      <c r="B1000" s="7" t="s">
        <v>324</v>
      </c>
      <c r="C1000" s="7" t="s">
        <v>728</v>
      </c>
      <c r="D1000" s="7" t="s">
        <v>614</v>
      </c>
      <c r="E1000" s="7" t="s">
        <v>1383</v>
      </c>
      <c r="F1000" s="7" t="s">
        <v>4147</v>
      </c>
      <c r="G1000" s="7" t="s">
        <v>812</v>
      </c>
      <c r="H1000" s="7" t="s">
        <v>4148</v>
      </c>
      <c r="I1000" s="7" t="s">
        <v>29</v>
      </c>
      <c r="J1000" s="7" t="s">
        <v>640</v>
      </c>
    </row>
    <row r="1001" spans="1:10">
      <c r="A1001" s="7" t="s">
        <v>4149</v>
      </c>
      <c r="B1001" s="7" t="s">
        <v>75</v>
      </c>
      <c r="C1001" s="7" t="s">
        <v>664</v>
      </c>
      <c r="D1001" s="7" t="s">
        <v>627</v>
      </c>
      <c r="E1001" s="7" t="s">
        <v>950</v>
      </c>
      <c r="F1001" s="7" t="s">
        <v>4150</v>
      </c>
      <c r="G1001" s="7" t="s">
        <v>952</v>
      </c>
      <c r="H1001" s="7" t="s">
        <v>4151</v>
      </c>
      <c r="I1001" s="7" t="s">
        <v>1874</v>
      </c>
      <c r="J1001" s="7" t="s">
        <v>648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pane ySplit="1" topLeftCell="A14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11" customWidth="1"/>
    <col min="2" max="2" width="20" customWidth="1"/>
    <col min="3" max="3" width="14" customWidth="1"/>
    <col min="4" max="4" width="12" customWidth="1"/>
    <col min="5" max="5" width="16" customWidth="1"/>
  </cols>
  <sheetData>
    <row r="1" spans="1:5">
      <c r="A1" s="10" t="s">
        <v>596</v>
      </c>
      <c r="B1" s="10" t="s">
        <v>4152</v>
      </c>
      <c r="C1" s="10" t="s">
        <v>4153</v>
      </c>
      <c r="D1" s="10" t="s">
        <v>4154</v>
      </c>
      <c r="E1" s="10" t="s">
        <v>603</v>
      </c>
    </row>
    <row r="2" spans="1:5">
      <c r="A2" s="7" t="s">
        <v>605</v>
      </c>
      <c r="B2" s="7" t="s">
        <v>4155</v>
      </c>
      <c r="C2" s="7" t="s">
        <v>4156</v>
      </c>
      <c r="D2" s="7" t="s">
        <v>4157</v>
      </c>
      <c r="E2" s="7" t="s">
        <v>754</v>
      </c>
    </row>
    <row r="3" spans="1:5">
      <c r="A3" s="7" t="s">
        <v>614</v>
      </c>
      <c r="B3" s="7" t="s">
        <v>4158</v>
      </c>
      <c r="C3" s="7" t="s">
        <v>4159</v>
      </c>
      <c r="D3" s="7" t="s">
        <v>2376</v>
      </c>
      <c r="E3" s="7" t="s">
        <v>640</v>
      </c>
    </row>
    <row r="4" spans="1:5">
      <c r="A4" s="7" t="s">
        <v>622</v>
      </c>
      <c r="B4" s="7" t="s">
        <v>4160</v>
      </c>
      <c r="C4" s="7" t="s">
        <v>4161</v>
      </c>
      <c r="D4" s="7" t="s">
        <v>4162</v>
      </c>
      <c r="E4" s="7" t="s">
        <v>640</v>
      </c>
    </row>
    <row r="5" spans="1:5">
      <c r="A5" s="7" t="s">
        <v>627</v>
      </c>
      <c r="B5" s="7" t="s">
        <v>4163</v>
      </c>
      <c r="C5" s="7" t="s">
        <v>4164</v>
      </c>
      <c r="D5" s="7" t="s">
        <v>4165</v>
      </c>
      <c r="E5" s="7" t="s">
        <v>621</v>
      </c>
    </row>
    <row r="6" spans="1:5">
      <c r="A6" s="7" t="s">
        <v>607</v>
      </c>
      <c r="B6" s="7" t="s">
        <v>4166</v>
      </c>
      <c r="C6" s="7" t="s">
        <v>4161</v>
      </c>
      <c r="D6" s="7" t="s">
        <v>4167</v>
      </c>
      <c r="E6" s="7" t="s">
        <v>754</v>
      </c>
    </row>
    <row r="7" spans="1:5">
      <c r="A7" s="7" t="s">
        <v>641</v>
      </c>
      <c r="B7" s="7" t="s">
        <v>4168</v>
      </c>
      <c r="C7" s="7" t="s">
        <v>4169</v>
      </c>
      <c r="D7" s="7" t="s">
        <v>4170</v>
      </c>
      <c r="E7" s="7" t="s">
        <v>682</v>
      </c>
    </row>
    <row r="8" spans="1:5">
      <c r="A8" s="7" t="s">
        <v>649</v>
      </c>
      <c r="B8" s="7" t="s">
        <v>4171</v>
      </c>
      <c r="C8" s="7" t="s">
        <v>4156</v>
      </c>
      <c r="D8" s="7" t="s">
        <v>2263</v>
      </c>
      <c r="E8" s="7" t="s">
        <v>682</v>
      </c>
    </row>
    <row r="9" spans="1:5">
      <c r="A9" s="7" t="s">
        <v>656</v>
      </c>
      <c r="B9" s="7" t="s">
        <v>4172</v>
      </c>
      <c r="C9" s="7" t="s">
        <v>4164</v>
      </c>
      <c r="D9" s="7" t="s">
        <v>1710</v>
      </c>
      <c r="E9" s="7" t="s">
        <v>613</v>
      </c>
    </row>
    <row r="10" spans="1:5">
      <c r="A10" s="7" t="s">
        <v>663</v>
      </c>
      <c r="B10" s="7" t="s">
        <v>4173</v>
      </c>
      <c r="C10" s="7" t="s">
        <v>4161</v>
      </c>
      <c r="D10" s="7" t="s">
        <v>4174</v>
      </c>
      <c r="E10" s="7" t="s">
        <v>648</v>
      </c>
    </row>
    <row r="11" spans="1:5">
      <c r="A11" s="7" t="s">
        <v>668</v>
      </c>
      <c r="B11" s="7" t="s">
        <v>4175</v>
      </c>
      <c r="C11" s="7" t="s">
        <v>4169</v>
      </c>
      <c r="D11" s="7" t="s">
        <v>1738</v>
      </c>
      <c r="E11" s="7" t="s">
        <v>633</v>
      </c>
    </row>
    <row r="12" spans="1:5">
      <c r="A12" s="7" t="s">
        <v>675</v>
      </c>
      <c r="B12" s="7" t="s">
        <v>4176</v>
      </c>
      <c r="C12" s="7" t="s">
        <v>4177</v>
      </c>
      <c r="D12" s="7" t="s">
        <v>4178</v>
      </c>
      <c r="E12" s="7" t="s">
        <v>640</v>
      </c>
    </row>
    <row r="13" spans="1:5">
      <c r="A13" s="7" t="s">
        <v>683</v>
      </c>
      <c r="B13" s="7" t="s">
        <v>4179</v>
      </c>
      <c r="C13" s="7" t="s">
        <v>4159</v>
      </c>
      <c r="D13" s="7" t="s">
        <v>3133</v>
      </c>
      <c r="E13" s="7" t="s">
        <v>613</v>
      </c>
    </row>
    <row r="14" spans="1:5">
      <c r="A14" s="7" t="s">
        <v>690</v>
      </c>
      <c r="B14" s="7" t="s">
        <v>4180</v>
      </c>
      <c r="C14" s="7" t="s">
        <v>4177</v>
      </c>
      <c r="D14" s="7" t="s">
        <v>4181</v>
      </c>
      <c r="E14" s="7" t="s">
        <v>682</v>
      </c>
    </row>
    <row r="15" spans="1:5">
      <c r="A15" s="7" t="s">
        <v>628</v>
      </c>
      <c r="B15" s="7" t="s">
        <v>4182</v>
      </c>
      <c r="C15" s="7" t="s">
        <v>4161</v>
      </c>
      <c r="D15" s="7" t="s">
        <v>4183</v>
      </c>
      <c r="E15" s="7" t="s">
        <v>633</v>
      </c>
    </row>
    <row r="16" spans="1:5">
      <c r="A16" s="7" t="s">
        <v>700</v>
      </c>
      <c r="B16" s="7" t="s">
        <v>4184</v>
      </c>
      <c r="C16" s="7" t="s">
        <v>648</v>
      </c>
      <c r="D16" s="7" t="s">
        <v>4185</v>
      </c>
      <c r="E16" s="7" t="s">
        <v>613</v>
      </c>
    </row>
    <row r="17" spans="1:5">
      <c r="A17" s="7" t="s">
        <v>676</v>
      </c>
      <c r="B17" s="7" t="s">
        <v>4186</v>
      </c>
      <c r="C17" s="7" t="s">
        <v>4164</v>
      </c>
      <c r="D17" s="7" t="s">
        <v>4187</v>
      </c>
      <c r="E17" s="7" t="s">
        <v>682</v>
      </c>
    </row>
    <row r="18" spans="1:5">
      <c r="A18" s="7" t="s">
        <v>711</v>
      </c>
      <c r="B18" s="7" t="s">
        <v>4188</v>
      </c>
      <c r="C18" s="7" t="s">
        <v>4156</v>
      </c>
      <c r="D18" s="7" t="s">
        <v>4189</v>
      </c>
      <c r="E18" s="7" t="s">
        <v>613</v>
      </c>
    </row>
    <row r="19" spans="1:5">
      <c r="A19" s="7" t="s">
        <v>715</v>
      </c>
      <c r="B19" s="7" t="s">
        <v>4190</v>
      </c>
      <c r="C19" s="7" t="s">
        <v>4159</v>
      </c>
      <c r="D19" s="7" t="s">
        <v>3481</v>
      </c>
      <c r="E19" s="7" t="s">
        <v>633</v>
      </c>
    </row>
    <row r="20" spans="1:5">
      <c r="A20" s="7" t="s">
        <v>722</v>
      </c>
      <c r="B20" s="7" t="s">
        <v>4191</v>
      </c>
      <c r="C20" s="7" t="s">
        <v>4177</v>
      </c>
      <c r="D20" s="7" t="s">
        <v>4192</v>
      </c>
      <c r="E20" s="7" t="s">
        <v>640</v>
      </c>
    </row>
    <row r="21" spans="1:5">
      <c r="A21" s="7" t="s">
        <v>691</v>
      </c>
      <c r="B21" s="7" t="s">
        <v>4193</v>
      </c>
      <c r="C21" s="7" t="s">
        <v>4161</v>
      </c>
      <c r="D21" s="7" t="s">
        <v>3220</v>
      </c>
      <c r="E21" s="7" t="s">
        <v>613</v>
      </c>
    </row>
    <row r="22" spans="1:5">
      <c r="A22" s="7" t="s">
        <v>701</v>
      </c>
      <c r="B22" s="7" t="s">
        <v>4194</v>
      </c>
      <c r="C22" s="7" t="s">
        <v>4161</v>
      </c>
      <c r="D22" s="7" t="s">
        <v>4195</v>
      </c>
      <c r="E22" s="7" t="s">
        <v>648</v>
      </c>
    </row>
    <row r="23" spans="1:5">
      <c r="A23" s="7" t="s">
        <v>738</v>
      </c>
      <c r="B23" s="7" t="s">
        <v>4196</v>
      </c>
      <c r="C23" s="7" t="s">
        <v>4156</v>
      </c>
      <c r="D23" s="7" t="s">
        <v>4197</v>
      </c>
      <c r="E23" s="7" t="s">
        <v>754</v>
      </c>
    </row>
    <row r="24" spans="1:5">
      <c r="A24" s="7" t="s">
        <v>716</v>
      </c>
      <c r="B24" s="7" t="s">
        <v>4198</v>
      </c>
      <c r="C24" s="7" t="s">
        <v>4164</v>
      </c>
      <c r="D24" s="7" t="s">
        <v>4199</v>
      </c>
      <c r="E24" s="7" t="s">
        <v>613</v>
      </c>
    </row>
    <row r="25" spans="1:5">
      <c r="A25" s="7" t="s">
        <v>747</v>
      </c>
      <c r="B25" s="7" t="s">
        <v>4200</v>
      </c>
      <c r="C25" s="7" t="s">
        <v>4177</v>
      </c>
      <c r="D25" s="7" t="s">
        <v>2694</v>
      </c>
      <c r="E25" s="7" t="s">
        <v>633</v>
      </c>
    </row>
    <row r="26" spans="1:5">
      <c r="A26" s="7" t="s">
        <v>755</v>
      </c>
      <c r="B26" s="7" t="s">
        <v>4201</v>
      </c>
      <c r="C26" s="7" t="s">
        <v>4159</v>
      </c>
      <c r="D26" s="7" t="s">
        <v>4202</v>
      </c>
      <c r="E26" s="7" t="s">
        <v>613</v>
      </c>
    </row>
    <row r="27" spans="1:5">
      <c r="A27" s="7" t="s">
        <v>762</v>
      </c>
      <c r="B27" s="7" t="s">
        <v>4203</v>
      </c>
      <c r="C27" s="7" t="s">
        <v>4161</v>
      </c>
      <c r="D27" s="7" t="s">
        <v>1851</v>
      </c>
      <c r="E27" s="7" t="s">
        <v>682</v>
      </c>
    </row>
    <row r="28" spans="1:5">
      <c r="A28" s="7" t="s">
        <v>664</v>
      </c>
      <c r="B28" s="7" t="s">
        <v>4204</v>
      </c>
      <c r="C28" s="7" t="s">
        <v>4169</v>
      </c>
      <c r="D28" s="7" t="s">
        <v>2740</v>
      </c>
      <c r="E28" s="7" t="s">
        <v>648</v>
      </c>
    </row>
    <row r="29" spans="1:5">
      <c r="A29" s="7" t="s">
        <v>642</v>
      </c>
      <c r="B29" s="7" t="s">
        <v>4205</v>
      </c>
      <c r="C29" s="7" t="s">
        <v>4164</v>
      </c>
      <c r="D29" s="7" t="s">
        <v>4206</v>
      </c>
      <c r="E29" s="7" t="s">
        <v>648</v>
      </c>
    </row>
    <row r="30" spans="1:5">
      <c r="A30" s="7" t="s">
        <v>774</v>
      </c>
      <c r="B30" s="7" t="s">
        <v>4207</v>
      </c>
      <c r="C30" s="7" t="s">
        <v>4161</v>
      </c>
      <c r="D30" s="7" t="s">
        <v>4208</v>
      </c>
      <c r="E30" s="7" t="s">
        <v>682</v>
      </c>
    </row>
    <row r="31" spans="1:5">
      <c r="A31" s="7" t="s">
        <v>756</v>
      </c>
      <c r="B31" s="7" t="s">
        <v>4209</v>
      </c>
      <c r="C31" s="7" t="s">
        <v>4161</v>
      </c>
      <c r="D31" s="7" t="s">
        <v>3392</v>
      </c>
      <c r="E31" s="7" t="s">
        <v>613</v>
      </c>
    </row>
    <row r="32" spans="1:5">
      <c r="A32" s="7" t="s">
        <v>784</v>
      </c>
      <c r="B32" s="7" t="s">
        <v>4210</v>
      </c>
      <c r="C32" s="7" t="s">
        <v>4161</v>
      </c>
      <c r="D32" s="7" t="s">
        <v>4211</v>
      </c>
      <c r="E32" s="7" t="s">
        <v>754</v>
      </c>
    </row>
    <row r="33" spans="1:5">
      <c r="A33" s="7" t="s">
        <v>732</v>
      </c>
      <c r="B33" s="7" t="s">
        <v>4212</v>
      </c>
      <c r="C33" s="7" t="s">
        <v>4156</v>
      </c>
      <c r="D33" s="7" t="s">
        <v>4213</v>
      </c>
      <c r="E33" s="7" t="s">
        <v>633</v>
      </c>
    </row>
    <row r="34" spans="1:5">
      <c r="A34" s="7" t="s">
        <v>792</v>
      </c>
      <c r="B34" s="7" t="s">
        <v>4214</v>
      </c>
      <c r="C34" s="7" t="s">
        <v>4161</v>
      </c>
      <c r="D34" s="7" t="s">
        <v>1940</v>
      </c>
      <c r="E34" s="7" t="s">
        <v>640</v>
      </c>
    </row>
    <row r="35" spans="1:5">
      <c r="A35" s="7" t="s">
        <v>797</v>
      </c>
      <c r="B35" s="7" t="s">
        <v>4215</v>
      </c>
      <c r="C35" s="7" t="s">
        <v>4156</v>
      </c>
      <c r="D35" s="7" t="s">
        <v>4216</v>
      </c>
      <c r="E35" s="7" t="s">
        <v>648</v>
      </c>
    </row>
    <row r="36" spans="1:5">
      <c r="A36" s="7" t="s">
        <v>802</v>
      </c>
      <c r="B36" s="7" t="s">
        <v>4217</v>
      </c>
      <c r="C36" s="7" t="s">
        <v>4161</v>
      </c>
      <c r="D36" s="7" t="s">
        <v>4218</v>
      </c>
      <c r="E36" s="7" t="s">
        <v>682</v>
      </c>
    </row>
    <row r="37" spans="1:5">
      <c r="A37" s="7" t="s">
        <v>806</v>
      </c>
      <c r="B37" s="7" t="s">
        <v>4219</v>
      </c>
      <c r="C37" s="7" t="s">
        <v>4159</v>
      </c>
      <c r="D37" s="7" t="s">
        <v>1523</v>
      </c>
      <c r="E37" s="7" t="s">
        <v>633</v>
      </c>
    </row>
    <row r="38" spans="1:5">
      <c r="A38" s="7" t="s">
        <v>811</v>
      </c>
      <c r="B38" s="7" t="s">
        <v>4220</v>
      </c>
      <c r="C38" s="7" t="s">
        <v>4161</v>
      </c>
      <c r="D38" s="7" t="s">
        <v>4221</v>
      </c>
      <c r="E38" s="7" t="s">
        <v>621</v>
      </c>
    </row>
    <row r="39" spans="1:5">
      <c r="A39" s="7" t="s">
        <v>684</v>
      </c>
      <c r="B39" s="7" t="s">
        <v>4222</v>
      </c>
      <c r="C39" s="7" t="s">
        <v>4169</v>
      </c>
      <c r="D39" s="7" t="s">
        <v>2787</v>
      </c>
      <c r="E39" s="7" t="s">
        <v>633</v>
      </c>
    </row>
    <row r="40" spans="1:5">
      <c r="A40" s="7" t="s">
        <v>820</v>
      </c>
      <c r="B40" s="7" t="s">
        <v>4223</v>
      </c>
      <c r="C40" s="7" t="s">
        <v>4177</v>
      </c>
      <c r="D40" s="7" t="s">
        <v>2193</v>
      </c>
      <c r="E40" s="7" t="s">
        <v>754</v>
      </c>
    </row>
    <row r="41" spans="1:5">
      <c r="A41" s="7" t="s">
        <v>824</v>
      </c>
      <c r="B41" s="7" t="s">
        <v>4224</v>
      </c>
      <c r="C41" s="7" t="s">
        <v>4164</v>
      </c>
      <c r="D41" s="7" t="s">
        <v>4225</v>
      </c>
      <c r="E41" s="7" t="s">
        <v>613</v>
      </c>
    </row>
    <row r="42" spans="1:5">
      <c r="A42" s="7" t="s">
        <v>615</v>
      </c>
      <c r="B42" s="7" t="s">
        <v>4226</v>
      </c>
      <c r="C42" s="7" t="s">
        <v>4164</v>
      </c>
      <c r="D42" s="7" t="s">
        <v>4227</v>
      </c>
      <c r="E42" s="7" t="s">
        <v>621</v>
      </c>
    </row>
    <row r="43" spans="1:5">
      <c r="A43" s="7" t="s">
        <v>748</v>
      </c>
      <c r="B43" s="7" t="s">
        <v>4228</v>
      </c>
      <c r="C43" s="7" t="s">
        <v>4164</v>
      </c>
      <c r="D43" s="7" t="s">
        <v>4229</v>
      </c>
      <c r="E43" s="7" t="s">
        <v>754</v>
      </c>
    </row>
    <row r="44" spans="1:5">
      <c r="A44" s="7" t="s">
        <v>657</v>
      </c>
      <c r="B44" s="7" t="s">
        <v>4230</v>
      </c>
      <c r="C44" s="7" t="s">
        <v>648</v>
      </c>
      <c r="D44" s="7" t="s">
        <v>3389</v>
      </c>
      <c r="E44" s="7" t="s">
        <v>621</v>
      </c>
    </row>
    <row r="45" spans="1:5">
      <c r="A45" s="7" t="s">
        <v>843</v>
      </c>
      <c r="B45" s="7" t="s">
        <v>4231</v>
      </c>
      <c r="C45" s="7" t="s">
        <v>4159</v>
      </c>
      <c r="D45" s="7" t="s">
        <v>3521</v>
      </c>
      <c r="E45" s="7" t="s">
        <v>621</v>
      </c>
    </row>
    <row r="46" spans="1:5">
      <c r="A46" s="7" t="s">
        <v>650</v>
      </c>
      <c r="B46" s="7" t="s">
        <v>4232</v>
      </c>
      <c r="C46" s="7" t="s">
        <v>648</v>
      </c>
      <c r="D46" s="7" t="s">
        <v>3301</v>
      </c>
      <c r="E46" s="7" t="s">
        <v>633</v>
      </c>
    </row>
    <row r="47" spans="1:5">
      <c r="A47" s="7" t="s">
        <v>855</v>
      </c>
      <c r="B47" s="7" t="s">
        <v>4233</v>
      </c>
      <c r="C47" s="7" t="s">
        <v>4169</v>
      </c>
      <c r="D47" s="7" t="s">
        <v>3414</v>
      </c>
      <c r="E47" s="7" t="s">
        <v>613</v>
      </c>
    </row>
    <row r="48" spans="1:5">
      <c r="A48" s="7" t="s">
        <v>860</v>
      </c>
      <c r="B48" s="7" t="s">
        <v>4234</v>
      </c>
      <c r="C48" s="7" t="s">
        <v>4161</v>
      </c>
      <c r="D48" s="7" t="s">
        <v>4235</v>
      </c>
      <c r="E48" s="7" t="s">
        <v>682</v>
      </c>
    </row>
    <row r="49" spans="1:5">
      <c r="A49" s="7" t="s">
        <v>825</v>
      </c>
      <c r="B49" s="7" t="s">
        <v>4236</v>
      </c>
      <c r="C49" s="7" t="s">
        <v>4161</v>
      </c>
      <c r="D49" s="7" t="s">
        <v>2349</v>
      </c>
      <c r="E49" s="7" t="s">
        <v>621</v>
      </c>
    </row>
    <row r="50" spans="1:5">
      <c r="A50" s="7" t="s">
        <v>839</v>
      </c>
      <c r="B50" s="7" t="s">
        <v>4237</v>
      </c>
      <c r="C50" s="7" t="s">
        <v>4161</v>
      </c>
      <c r="D50" s="7" t="s">
        <v>3858</v>
      </c>
      <c r="E50" s="7" t="s">
        <v>640</v>
      </c>
    </row>
    <row r="51" spans="1:5">
      <c r="A51" s="7" t="s">
        <v>872</v>
      </c>
      <c r="B51" s="7" t="s">
        <v>4238</v>
      </c>
      <c r="C51" s="7" t="s">
        <v>4159</v>
      </c>
      <c r="D51" s="7" t="s">
        <v>2307</v>
      </c>
      <c r="E51" s="7" t="s">
        <v>682</v>
      </c>
    </row>
    <row r="52" spans="1:5">
      <c r="A52" s="7" t="s">
        <v>876</v>
      </c>
      <c r="B52" s="7" t="s">
        <v>4239</v>
      </c>
      <c r="C52" s="7" t="s">
        <v>4156</v>
      </c>
      <c r="D52" s="7" t="s">
        <v>4240</v>
      </c>
      <c r="E52" s="7" t="s">
        <v>754</v>
      </c>
    </row>
    <row r="53" spans="1:5">
      <c r="A53" s="7" t="s">
        <v>728</v>
      </c>
      <c r="B53" s="7" t="s">
        <v>4241</v>
      </c>
      <c r="C53" s="7" t="s">
        <v>648</v>
      </c>
      <c r="D53" s="7" t="s">
        <v>1652</v>
      </c>
      <c r="E53" s="7" t="s">
        <v>640</v>
      </c>
    </row>
    <row r="54" spans="1:5">
      <c r="A54" s="7" t="s">
        <v>886</v>
      </c>
      <c r="B54" s="7" t="s">
        <v>4242</v>
      </c>
      <c r="C54" s="7" t="s">
        <v>4164</v>
      </c>
      <c r="D54" s="7" t="s">
        <v>4243</v>
      </c>
      <c r="E54" s="7" t="s">
        <v>648</v>
      </c>
    </row>
    <row r="55" spans="1:5">
      <c r="A55" s="7" t="s">
        <v>830</v>
      </c>
      <c r="B55" s="7" t="s">
        <v>4244</v>
      </c>
      <c r="C55" s="7" t="s">
        <v>4169</v>
      </c>
      <c r="D55" s="7" t="s">
        <v>4245</v>
      </c>
      <c r="E55" s="7" t="s">
        <v>613</v>
      </c>
    </row>
    <row r="56" spans="1:5">
      <c r="A56" s="7" t="s">
        <v>894</v>
      </c>
      <c r="B56" s="7" t="s">
        <v>4246</v>
      </c>
      <c r="C56" s="7" t="s">
        <v>4156</v>
      </c>
      <c r="D56" s="7" t="s">
        <v>4247</v>
      </c>
      <c r="E56" s="7" t="s">
        <v>648</v>
      </c>
    </row>
    <row r="57" spans="1:5">
      <c r="A57" s="7" t="s">
        <v>669</v>
      </c>
      <c r="B57" s="7" t="s">
        <v>4194</v>
      </c>
      <c r="C57" s="7" t="s">
        <v>648</v>
      </c>
      <c r="D57" s="7" t="s">
        <v>4248</v>
      </c>
      <c r="E57" s="7" t="s">
        <v>613</v>
      </c>
    </row>
    <row r="58" spans="1:5">
      <c r="A58" s="7" t="s">
        <v>901</v>
      </c>
      <c r="B58" s="7" t="s">
        <v>4249</v>
      </c>
      <c r="C58" s="7" t="s">
        <v>4161</v>
      </c>
      <c r="D58" s="7" t="s">
        <v>4250</v>
      </c>
      <c r="E58" s="7" t="s">
        <v>633</v>
      </c>
    </row>
    <row r="59" spans="1:5">
      <c r="A59" s="7" t="s">
        <v>634</v>
      </c>
      <c r="B59" s="7" t="s">
        <v>4251</v>
      </c>
      <c r="C59" s="7" t="s">
        <v>4169</v>
      </c>
      <c r="D59" s="7" t="s">
        <v>4252</v>
      </c>
      <c r="E59" s="7" t="s">
        <v>640</v>
      </c>
    </row>
    <row r="60" spans="1:5">
      <c r="A60" s="7" t="s">
        <v>909</v>
      </c>
      <c r="B60" s="7" t="s">
        <v>4253</v>
      </c>
      <c r="C60" s="7" t="s">
        <v>4169</v>
      </c>
      <c r="D60" s="7" t="s">
        <v>3573</v>
      </c>
      <c r="E60" s="7" t="s">
        <v>648</v>
      </c>
    </row>
    <row r="61" spans="1:5">
      <c r="A61" s="7" t="s">
        <v>696</v>
      </c>
      <c r="B61" s="7" t="s">
        <v>4254</v>
      </c>
      <c r="C61" s="7" t="s">
        <v>4164</v>
      </c>
      <c r="D61" s="7" t="s">
        <v>3625</v>
      </c>
      <c r="E61" s="7" t="s">
        <v>621</v>
      </c>
    </row>
    <row r="62" spans="1:5">
      <c r="A62" s="7" t="s">
        <v>849</v>
      </c>
      <c r="B62" s="7" t="s">
        <v>4255</v>
      </c>
      <c r="C62" s="7" t="s">
        <v>4159</v>
      </c>
      <c r="D62" s="7" t="s">
        <v>3570</v>
      </c>
      <c r="E62" s="7" t="s">
        <v>613</v>
      </c>
    </row>
    <row r="63" spans="1:5">
      <c r="A63" s="7" t="s">
        <v>723</v>
      </c>
      <c r="B63" s="7" t="s">
        <v>4256</v>
      </c>
      <c r="C63" s="7" t="s">
        <v>4161</v>
      </c>
      <c r="D63" s="7" t="s">
        <v>4257</v>
      </c>
      <c r="E63" s="7" t="s">
        <v>682</v>
      </c>
    </row>
    <row r="64" spans="1:5">
      <c r="A64" s="7" t="s">
        <v>926</v>
      </c>
      <c r="B64" s="7" t="s">
        <v>4258</v>
      </c>
      <c r="C64" s="7" t="s">
        <v>4164</v>
      </c>
      <c r="D64" s="7" t="s">
        <v>4259</v>
      </c>
      <c r="E64" s="7" t="s">
        <v>754</v>
      </c>
    </row>
    <row r="65" spans="1:5">
      <c r="A65" s="7" t="s">
        <v>931</v>
      </c>
      <c r="B65" s="7" t="s">
        <v>4260</v>
      </c>
      <c r="C65" s="7" t="s">
        <v>4156</v>
      </c>
      <c r="D65" s="7" t="s">
        <v>4261</v>
      </c>
      <c r="E65" s="7" t="s">
        <v>648</v>
      </c>
    </row>
    <row r="66" spans="1:5">
      <c r="A66" s="7" t="s">
        <v>863</v>
      </c>
      <c r="B66" s="7" t="s">
        <v>4262</v>
      </c>
      <c r="C66" s="7" t="s">
        <v>648</v>
      </c>
      <c r="D66" s="7" t="s">
        <v>4263</v>
      </c>
      <c r="E66" s="7" t="s">
        <v>754</v>
      </c>
    </row>
    <row r="67" spans="1:5">
      <c r="A67" s="7" t="s">
        <v>807</v>
      </c>
      <c r="B67" s="7" t="s">
        <v>4264</v>
      </c>
      <c r="C67" s="7" t="s">
        <v>4161</v>
      </c>
      <c r="D67" s="7" t="s">
        <v>2939</v>
      </c>
      <c r="E67" s="7" t="s">
        <v>682</v>
      </c>
    </row>
    <row r="68" spans="1:5">
      <c r="A68" s="7" t="s">
        <v>606</v>
      </c>
      <c r="B68" s="7" t="s">
        <v>4265</v>
      </c>
      <c r="C68" s="7" t="s">
        <v>648</v>
      </c>
      <c r="D68" s="7" t="s">
        <v>4266</v>
      </c>
      <c r="E68" s="7" t="s">
        <v>613</v>
      </c>
    </row>
    <row r="69" spans="1:5">
      <c r="A69" s="7" t="s">
        <v>949</v>
      </c>
      <c r="B69" s="7" t="s">
        <v>4267</v>
      </c>
      <c r="C69" s="7" t="s">
        <v>4156</v>
      </c>
      <c r="D69" s="7" t="s">
        <v>2897</v>
      </c>
      <c r="E69" s="7" t="s">
        <v>640</v>
      </c>
    </row>
    <row r="70" spans="1:5">
      <c r="A70" s="7" t="s">
        <v>954</v>
      </c>
      <c r="B70" s="7" t="s">
        <v>4268</v>
      </c>
      <c r="C70" s="7" t="s">
        <v>4169</v>
      </c>
      <c r="D70" s="7" t="s">
        <v>4143</v>
      </c>
      <c r="E70" s="7" t="s">
        <v>682</v>
      </c>
    </row>
    <row r="71" spans="1:5">
      <c r="A71" s="7" t="s">
        <v>959</v>
      </c>
      <c r="B71" s="7" t="s">
        <v>4262</v>
      </c>
      <c r="C71" s="7" t="s">
        <v>4164</v>
      </c>
      <c r="D71" s="7" t="s">
        <v>3745</v>
      </c>
      <c r="E71" s="7" t="s">
        <v>633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12" customWidth="1"/>
    <col min="3" max="3" width="18" customWidth="1"/>
    <col min="4" max="4" width="16" customWidth="1"/>
    <col min="5" max="5" width="15" customWidth="1"/>
    <col min="6" max="6" width="11" customWidth="1"/>
    <col min="7" max="7" width="18" customWidth="1"/>
    <col min="8" max="8" width="13" customWidth="1"/>
    <col min="9" max="9" width="9" customWidth="1"/>
    <col min="10" max="10" width="10" customWidth="1"/>
    <col min="11" max="11" width="12" customWidth="1"/>
    <col min="12" max="13" width="13" customWidth="1"/>
    <col min="14" max="14" width="12" customWidth="1"/>
    <col min="15" max="16" width="14" customWidth="1"/>
  </cols>
  <sheetData>
    <row r="1" spans="1:16">
      <c r="A1" s="10" t="s">
        <v>595</v>
      </c>
      <c r="B1" s="10" t="s">
        <v>0</v>
      </c>
      <c r="C1" s="10" t="s">
        <v>4269</v>
      </c>
      <c r="D1" s="10" t="s">
        <v>2</v>
      </c>
      <c r="E1" s="10" t="s">
        <v>4270</v>
      </c>
      <c r="F1" s="10" t="s">
        <v>596</v>
      </c>
      <c r="G1" s="10" t="s">
        <v>4152</v>
      </c>
      <c r="H1" s="10" t="s">
        <v>4153</v>
      </c>
      <c r="I1" s="10" t="s">
        <v>597</v>
      </c>
      <c r="J1" s="10" t="s">
        <v>4271</v>
      </c>
      <c r="K1" s="10" t="s">
        <v>4272</v>
      </c>
      <c r="L1" s="10" t="s">
        <v>598</v>
      </c>
      <c r="M1" s="10" t="s">
        <v>600</v>
      </c>
      <c r="N1" s="10" t="s">
        <v>4273</v>
      </c>
      <c r="O1" s="10" t="s">
        <v>603</v>
      </c>
      <c r="P1" s="10" t="s">
        <v>602</v>
      </c>
    </row>
    <row r="2" spans="1:16">
      <c r="A2" s="7" t="str">
        <f>Raw_Orders!A2</f>
        <v>1</v>
      </c>
      <c r="B2" s="7" t="str">
        <f>Raw_Orders!B2</f>
        <v>C037</v>
      </c>
      <c r="C2" s="7" t="str">
        <f>INDEX(Raw_Customers!$B$2:$B$101,MATCH($B2,Raw_Customers!$A$2:$A$101,0))</f>
        <v>Aradhya Kumar</v>
      </c>
      <c r="D2" s="7" t="str">
        <f>TRIM(INDEX(Raw_Customers!$C$2:$C$101,MATCH($B2,Raw_Customers!$A$2:$A$101,0)))</f>
        <v>Davanagere</v>
      </c>
      <c r="E2" s="7" t="str">
        <f>"+91-"&amp;RIGHT("0000000000"&amp;INDEX(Raw_Customers!$D$2:$D$101,MATCH($B2,Raw_Customers!$A$2:$A$101,0)),10)</f>
        <v>+91-1972392634</v>
      </c>
      <c r="F2" s="7" t="str">
        <f>Raw_Orders!C2</f>
        <v>67</v>
      </c>
      <c r="G2" s="7" t="str">
        <f>INDEX(Raw_Products!$B$2:$B$71,MATCH($F2,Raw_Products!$A$2:$A$71,0))</f>
        <v>Maiores Box</v>
      </c>
      <c r="H2" s="7" t="str">
        <f>INDEX(Raw_Products!$C$2:$C$71,MATCH($F2,Raw_Products!$A$2:$A$71,0))</f>
        <v>Raksha Bandhan</v>
      </c>
      <c r="I2" s="7">
        <f>VALUE(Raw_Orders!D2)</f>
        <v>5</v>
      </c>
      <c r="J2" s="11" t="str">
        <f>INDEX(Raw_Products!$D$2:$D$71,MATCH($F2,Raw_Products!$A$2:$A$71,0))</f>
        <v>1374</v>
      </c>
      <c r="K2" s="11">
        <f t="shared" ref="K2:K65" si="0">I2*J2</f>
        <v>6870</v>
      </c>
      <c r="L2" s="12">
        <f>DATE(VALUE(RIGHT(Raw_Orders!E2,4)),VALUE(MID(Raw_Orders!E2,4,2)),VALUE(LEFT(Raw_Orders!E2,2)))</f>
        <v>44981</v>
      </c>
      <c r="M2" s="12">
        <f>DATE(VALUE(RIGHT(Raw_Orders!G2,4)),VALUE(MID(Raw_Orders!G2,4,2)),VALUE(LEFT(Raw_Orders!G2,2)))</f>
        <v>44990</v>
      </c>
      <c r="N2" s="7">
        <f t="shared" ref="N2:N65" si="1">M2-L2</f>
        <v>9</v>
      </c>
      <c r="O2" s="7" t="str">
        <f>Raw_Orders!J2</f>
        <v>Anniversary</v>
      </c>
      <c r="P2" s="7" t="str">
        <f>Raw_Orders!I2</f>
        <v>Bardhaman</v>
      </c>
    </row>
    <row r="3" spans="1:16">
      <c r="A3" s="7" t="str">
        <f>Raw_Orders!A3</f>
        <v>2</v>
      </c>
      <c r="B3" s="7" t="str">
        <f>Raw_Orders!B3</f>
        <v>C019</v>
      </c>
      <c r="C3" s="7" t="str">
        <f>INDEX(Raw_Customers!$B$2:$B$101,MATCH($B3,Raw_Customers!$A$2:$A$101,0))</f>
        <v>Amira Sengupta</v>
      </c>
      <c r="D3" s="7" t="str">
        <f>TRIM(INDEX(Raw_Customers!$C$2:$C$101,MATCH($B3,Raw_Customers!$A$2:$A$101,0)))</f>
        <v>Danapur</v>
      </c>
      <c r="E3" s="7" t="str">
        <f>"+91-"&amp;RIGHT("0000000000"&amp;INDEX(Raw_Customers!$D$2:$D$101,MATCH($B3,Raw_Customers!$A$2:$A$101,0)),10)</f>
        <v>+91-4513393592</v>
      </c>
      <c r="F3" s="7" t="str">
        <f>Raw_Orders!C3</f>
        <v>41</v>
      </c>
      <c r="G3" s="7" t="str">
        <f>INDEX(Raw_Products!$B$2:$B$71,MATCH($F3,Raw_Products!$A$2:$A$71,0))</f>
        <v>Aut Box</v>
      </c>
      <c r="H3" s="7" t="str">
        <f>INDEX(Raw_Products!$C$2:$C$71,MATCH($F3,Raw_Products!$A$2:$A$71,0))</f>
        <v>Sweets</v>
      </c>
      <c r="I3" s="7">
        <f>VALUE(Raw_Orders!D3)</f>
        <v>2</v>
      </c>
      <c r="J3" s="11" t="str">
        <f>INDEX(Raw_Products!$D$2:$D$71,MATCH($F3,Raw_Products!$A$2:$A$71,0))</f>
        <v>1977</v>
      </c>
      <c r="K3" s="11">
        <f t="shared" si="0"/>
        <v>3954</v>
      </c>
      <c r="L3" s="12">
        <f>DATE(VALUE(RIGHT(Raw_Orders!E3,4)),VALUE(MID(Raw_Orders!E3,4,2)),VALUE(LEFT(Raw_Orders!E3,2)))</f>
        <v>45237</v>
      </c>
      <c r="M3" s="12">
        <f>DATE(VALUE(RIGHT(Raw_Orders!G3,4)),VALUE(MID(Raw_Orders!G3,4,2)),VALUE(LEFT(Raw_Orders!G3,2)))</f>
        <v>45243</v>
      </c>
      <c r="N3" s="7">
        <f t="shared" si="1"/>
        <v>6</v>
      </c>
      <c r="O3" s="7" t="str">
        <f>Raw_Orders!J3</f>
        <v>Diwali</v>
      </c>
      <c r="P3" s="7" t="str">
        <f>Raw_Orders!I3</f>
        <v>Jaipur</v>
      </c>
    </row>
    <row r="4" spans="1:16">
      <c r="A4" s="7" t="str">
        <f>Raw_Orders!A4</f>
        <v>3</v>
      </c>
      <c r="B4" s="7" t="str">
        <f>Raw_Orders!B4</f>
        <v>C029</v>
      </c>
      <c r="C4" s="7" t="str">
        <f>INDEX(Raw_Customers!$B$2:$B$101,MATCH($B4,Raw_Customers!$A$2:$A$101,0))</f>
        <v>Badal Sathe</v>
      </c>
      <c r="D4" s="7" t="str">
        <f>TRIM(INDEX(Raw_Customers!$C$2:$C$101,MATCH($B4,Raw_Customers!$A$2:$A$101,0)))</f>
        <v>Haridwar</v>
      </c>
      <c r="E4" s="7" t="str">
        <f>"+91-"&amp;RIGHT("0000000000"&amp;INDEX(Raw_Customers!$D$2:$D$101,MATCH($B4,Raw_Customers!$A$2:$A$101,0)),10)</f>
        <v>+91-2454360885</v>
      </c>
      <c r="F4" s="7" t="str">
        <f>Raw_Orders!C4</f>
        <v>67</v>
      </c>
      <c r="G4" s="7" t="str">
        <f>INDEX(Raw_Products!$B$2:$B$71,MATCH($F4,Raw_Products!$A$2:$A$71,0))</f>
        <v>Maiores Box</v>
      </c>
      <c r="H4" s="7" t="str">
        <f>INDEX(Raw_Products!$C$2:$C$71,MATCH($F4,Raw_Products!$A$2:$A$71,0))</f>
        <v>Raksha Bandhan</v>
      </c>
      <c r="I4" s="7">
        <f>VALUE(Raw_Orders!D4)</f>
        <v>5</v>
      </c>
      <c r="J4" s="11" t="str">
        <f>INDEX(Raw_Products!$D$2:$D$71,MATCH($F4,Raw_Products!$A$2:$A$71,0))</f>
        <v>1374</v>
      </c>
      <c r="K4" s="11">
        <f t="shared" si="0"/>
        <v>6870</v>
      </c>
      <c r="L4" s="12">
        <f>DATE(VALUE(RIGHT(Raw_Orders!E4,4)),VALUE(MID(Raw_Orders!E4,4,2)),VALUE(LEFT(Raw_Orders!E4,2)))</f>
        <v>45121</v>
      </c>
      <c r="M4" s="12">
        <f>DATE(VALUE(RIGHT(Raw_Orders!G4,4)),VALUE(MID(Raw_Orders!G4,4,2)),VALUE(LEFT(Raw_Orders!G4,2)))</f>
        <v>45126</v>
      </c>
      <c r="N4" s="7">
        <f t="shared" si="1"/>
        <v>5</v>
      </c>
      <c r="O4" s="7" t="str">
        <f>Raw_Orders!J4</f>
        <v>Anniversary</v>
      </c>
      <c r="P4" s="7" t="str">
        <f>Raw_Orders!I4</f>
        <v>Bilaspur</v>
      </c>
    </row>
    <row r="5" spans="1:16">
      <c r="A5" s="7" t="str">
        <f>Raw_Orders!A5</f>
        <v>4</v>
      </c>
      <c r="B5" s="7" t="str">
        <f>Raw_Orders!B5</f>
        <v>C012</v>
      </c>
      <c r="C5" s="7" t="str">
        <f>INDEX(Raw_Customers!$B$2:$B$101,MATCH($B5,Raw_Customers!$A$2:$A$101,0))</f>
        <v>Onkar Mangat</v>
      </c>
      <c r="D5" s="7" t="str">
        <f>TRIM(INDEX(Raw_Customers!$C$2:$C$101,MATCH($B5,Raw_Customers!$A$2:$A$101,0)))</f>
        <v>Bilaspur</v>
      </c>
      <c r="E5" s="7" t="str">
        <f>"+91-"&amp;RIGHT("0000000000"&amp;INDEX(Raw_Customers!$D$2:$D$101,MATCH($B5,Raw_Customers!$A$2:$A$101,0)),10)</f>
        <v>+91-9921125624</v>
      </c>
      <c r="F5" s="7" t="str">
        <f>Raw_Orders!C5</f>
        <v>14</v>
      </c>
      <c r="G5" s="7" t="str">
        <f>INDEX(Raw_Products!$B$2:$B$71,MATCH($F5,Raw_Products!$A$2:$A$71,0))</f>
        <v>Deserunt Box</v>
      </c>
      <c r="H5" s="7" t="str">
        <f>INDEX(Raw_Products!$C$2:$C$71,MATCH($F5,Raw_Products!$A$2:$A$71,0))</f>
        <v>Colors</v>
      </c>
      <c r="I5" s="7">
        <f>VALUE(Raw_Orders!D5)</f>
        <v>5</v>
      </c>
      <c r="J5" s="11" t="str">
        <f>INDEX(Raw_Products!$D$2:$D$71,MATCH($F5,Raw_Products!$A$2:$A$71,0))</f>
        <v>1915</v>
      </c>
      <c r="K5" s="11">
        <f t="shared" si="0"/>
        <v>9575</v>
      </c>
      <c r="L5" s="12">
        <f>DATE(VALUE(RIGHT(Raw_Orders!E5,4)),VALUE(MID(Raw_Orders!E5,4,2)),VALUE(LEFT(Raw_Orders!E5,2)))</f>
        <v>45117</v>
      </c>
      <c r="M5" s="12">
        <f>DATE(VALUE(RIGHT(Raw_Orders!G5,4)),VALUE(MID(Raw_Orders!G5,4,2)),VALUE(LEFT(Raw_Orders!G5,2)))</f>
        <v>45126</v>
      </c>
      <c r="N5" s="7">
        <f t="shared" si="1"/>
        <v>9</v>
      </c>
      <c r="O5" s="7" t="str">
        <f>Raw_Orders!J5</f>
        <v>Birthday</v>
      </c>
      <c r="P5" s="7" t="str">
        <f>Raw_Orders!I5</f>
        <v>Guwahati</v>
      </c>
    </row>
    <row r="6" spans="1:16">
      <c r="A6" s="7" t="str">
        <f>Raw_Orders!A6</f>
        <v>5</v>
      </c>
      <c r="B6" s="7" t="str">
        <f>Raw_Orders!B6</f>
        <v>C078</v>
      </c>
      <c r="C6" s="7" t="str">
        <f>INDEX(Raw_Customers!$B$2:$B$101,MATCH($B6,Raw_Customers!$A$2:$A$101,0))</f>
        <v>Jivika Rajan</v>
      </c>
      <c r="D6" s="7" t="str">
        <f>TRIM(INDEX(Raw_Customers!$C$2:$C$101,MATCH($B6,Raw_Customers!$A$2:$A$101,0)))</f>
        <v>Bhubaneswar</v>
      </c>
      <c r="E6" s="7" t="str">
        <f>"+91-"&amp;RIGHT("0000000000"&amp;INDEX(Raw_Customers!$D$2:$D$101,MATCH($B6,Raw_Customers!$A$2:$A$101,0)),10)</f>
        <v>+91-3005266310</v>
      </c>
      <c r="F6" s="7" t="str">
        <f>Raw_Orders!C6</f>
        <v>58</v>
      </c>
      <c r="G6" s="7" t="str">
        <f>INDEX(Raw_Products!$B$2:$B$71,MATCH($F6,Raw_Products!$A$2:$A$71,0))</f>
        <v>Sed Pack</v>
      </c>
      <c r="H6" s="7" t="str">
        <f>INDEX(Raw_Products!$C$2:$C$71,MATCH($F6,Raw_Products!$A$2:$A$71,0))</f>
        <v>Cake</v>
      </c>
      <c r="I6" s="7">
        <f>VALUE(Raw_Orders!D6)</f>
        <v>2</v>
      </c>
      <c r="J6" s="11" t="str">
        <f>INDEX(Raw_Products!$D$2:$D$71,MATCH($F6,Raw_Products!$A$2:$A$71,0))</f>
        <v>1492</v>
      </c>
      <c r="K6" s="11">
        <f t="shared" si="0"/>
        <v>2984</v>
      </c>
      <c r="L6" s="12">
        <f>DATE(VALUE(RIGHT(Raw_Orders!E6,4)),VALUE(MID(Raw_Orders!E6,4,2)),VALUE(LEFT(Raw_Orders!E6,2)))</f>
        <v>44968</v>
      </c>
      <c r="M6" s="12">
        <f>DATE(VALUE(RIGHT(Raw_Orders!G6,4)),VALUE(MID(Raw_Orders!G6,4,2)),VALUE(LEFT(Raw_Orders!G6,2)))</f>
        <v>44975</v>
      </c>
      <c r="N6" s="7">
        <f t="shared" si="1"/>
        <v>7</v>
      </c>
      <c r="O6" s="7" t="str">
        <f>Raw_Orders!J6</f>
        <v>Valentine's Day</v>
      </c>
      <c r="P6" s="7" t="str">
        <f>Raw_Orders!I6</f>
        <v>Rajkot</v>
      </c>
    </row>
    <row r="7" spans="1:16">
      <c r="A7" s="7" t="str">
        <f>Raw_Orders!A7</f>
        <v>6</v>
      </c>
      <c r="B7" s="7" t="str">
        <f>Raw_Orders!B7</f>
        <v>C040</v>
      </c>
      <c r="C7" s="7" t="str">
        <f>INDEX(Raw_Customers!$B$2:$B$101,MATCH($B7,Raw_Customers!$A$2:$A$101,0))</f>
        <v>Hazel Mangat</v>
      </c>
      <c r="D7" s="7" t="str">
        <f>TRIM(INDEX(Raw_Customers!$C$2:$C$101,MATCH($B7,Raw_Customers!$A$2:$A$101,0)))</f>
        <v>Pallavaram</v>
      </c>
      <c r="E7" s="7" t="str">
        <f>"+91-"&amp;RIGHT("0000000000"&amp;INDEX(Raw_Customers!$D$2:$D$101,MATCH($B7,Raw_Customers!$A$2:$A$101,0)),10)</f>
        <v>+91-8810621361</v>
      </c>
      <c r="F7" s="7" t="str">
        <f>Raw_Orders!C7</f>
        <v>28</v>
      </c>
      <c r="G7" s="7" t="str">
        <f>INDEX(Raw_Products!$B$2:$B$71,MATCH($F7,Raw_Products!$A$2:$A$71,0))</f>
        <v>Velit Set</v>
      </c>
      <c r="H7" s="7" t="str">
        <f>INDEX(Raw_Products!$C$2:$C$71,MATCH($F7,Raw_Products!$A$2:$A$71,0))</f>
        <v>Sweets</v>
      </c>
      <c r="I7" s="7">
        <f>VALUE(Raw_Orders!D7)</f>
        <v>4</v>
      </c>
      <c r="J7" s="11" t="str">
        <f>INDEX(Raw_Products!$D$2:$D$71,MATCH($F7,Raw_Products!$A$2:$A$71,0))</f>
        <v>1778</v>
      </c>
      <c r="K7" s="11">
        <f t="shared" si="0"/>
        <v>7112</v>
      </c>
      <c r="L7" s="12">
        <f>DATE(VALUE(RIGHT(Raw_Orders!E7,4)),VALUE(MID(Raw_Orders!E7,4,2)),VALUE(LEFT(Raw_Orders!E7,2)))</f>
        <v>45158</v>
      </c>
      <c r="M7" s="12">
        <f>DATE(VALUE(RIGHT(Raw_Orders!G7,4)),VALUE(MID(Raw_Orders!G7,4,2)),VALUE(LEFT(Raw_Orders!G7,2)))</f>
        <v>45164</v>
      </c>
      <c r="N7" s="7">
        <f t="shared" si="1"/>
        <v>6</v>
      </c>
      <c r="O7" s="7" t="str">
        <f>Raw_Orders!J7</f>
        <v>Raksha Bandhan</v>
      </c>
      <c r="P7" s="7" t="str">
        <f>Raw_Orders!I7</f>
        <v>Sirsa</v>
      </c>
    </row>
    <row r="8" spans="1:16">
      <c r="A8" s="7" t="str">
        <f>Raw_Orders!A8</f>
        <v>7</v>
      </c>
      <c r="B8" s="7" t="str">
        <f>Raw_Orders!B8</f>
        <v>C009</v>
      </c>
      <c r="C8" s="7" t="str">
        <f>INDEX(Raw_Customers!$B$2:$B$101,MATCH($B8,Raw_Customers!$A$2:$A$101,0))</f>
        <v>Ritvik Borah</v>
      </c>
      <c r="D8" s="7" t="str">
        <f>TRIM(INDEX(Raw_Customers!$C$2:$C$101,MATCH($B8,Raw_Customers!$A$2:$A$101,0)))</f>
        <v>Madurai</v>
      </c>
      <c r="E8" s="7" t="str">
        <f>"+91-"&amp;RIGHT("0000000000"&amp;INDEX(Raw_Customers!$D$2:$D$101,MATCH($B8,Raw_Customers!$A$2:$A$101,0)),10)</f>
        <v>+91-1336765676</v>
      </c>
      <c r="F8" s="7" t="str">
        <f>Raw_Orders!C8</f>
        <v>45</v>
      </c>
      <c r="G8" s="7" t="str">
        <f>INDEX(Raw_Products!$B$2:$B$71,MATCH($F8,Raw_Products!$A$2:$A$71,0))</f>
        <v>Iusto Set</v>
      </c>
      <c r="H8" s="7" t="str">
        <f>INDEX(Raw_Products!$C$2:$C$71,MATCH($F8,Raw_Products!$A$2:$A$71,0))</f>
        <v>Raksha Bandhan</v>
      </c>
      <c r="I8" s="7">
        <f>VALUE(Raw_Orders!D8)</f>
        <v>2</v>
      </c>
      <c r="J8" s="11" t="str">
        <f>INDEX(Raw_Products!$D$2:$D$71,MATCH($F8,Raw_Products!$A$2:$A$71,0))</f>
        <v>722</v>
      </c>
      <c r="K8" s="11">
        <f t="shared" si="0"/>
        <v>1444</v>
      </c>
      <c r="L8" s="12">
        <f>DATE(VALUE(RIGHT(Raw_Orders!E8,4)),VALUE(MID(Raw_Orders!E8,4,2)),VALUE(LEFT(Raw_Orders!E8,2)))</f>
        <v>45054</v>
      </c>
      <c r="M8" s="12">
        <f>DATE(VALUE(RIGHT(Raw_Orders!G8,4)),VALUE(MID(Raw_Orders!G8,4,2)),VALUE(LEFT(Raw_Orders!G8,2)))</f>
        <v>45059</v>
      </c>
      <c r="N8" s="7">
        <f t="shared" si="1"/>
        <v>5</v>
      </c>
      <c r="O8" s="7" t="str">
        <f>Raw_Orders!J8</f>
        <v>Birthday</v>
      </c>
      <c r="P8" s="7" t="str">
        <f>Raw_Orders!I8</f>
        <v>Nanded</v>
      </c>
    </row>
    <row r="9" spans="1:16">
      <c r="A9" s="7" t="str">
        <f>Raw_Orders!A9</f>
        <v>8</v>
      </c>
      <c r="B9" s="7" t="str">
        <f>Raw_Orders!B9</f>
        <v>C097</v>
      </c>
      <c r="C9" s="7" t="str">
        <f>INDEX(Raw_Customers!$B$2:$B$101,MATCH($B9,Raw_Customers!$A$2:$A$101,0))</f>
        <v>Nakul Randhawa</v>
      </c>
      <c r="D9" s="7" t="str">
        <f>TRIM(INDEX(Raw_Customers!$C$2:$C$101,MATCH($B9,Raw_Customers!$A$2:$A$101,0)))</f>
        <v>Sri Ganganagar</v>
      </c>
      <c r="E9" s="7" t="str">
        <f>"+91-"&amp;RIGHT("0000000000"&amp;INDEX(Raw_Customers!$D$2:$D$101,MATCH($B9,Raw_Customers!$A$2:$A$101,0)),10)</f>
        <v>+91-0456900126</v>
      </c>
      <c r="F9" s="7" t="str">
        <f>Raw_Orders!C9</f>
        <v>43</v>
      </c>
      <c r="G9" s="7" t="str">
        <f>INDEX(Raw_Products!$B$2:$B$71,MATCH($F9,Raw_Products!$A$2:$A$71,0))</f>
        <v>Quisquam Pack</v>
      </c>
      <c r="H9" s="7" t="str">
        <f>INDEX(Raw_Products!$C$2:$C$71,MATCH($F9,Raw_Products!$A$2:$A$71,0))</f>
        <v>Raksha Bandhan</v>
      </c>
      <c r="I9" s="7">
        <f>VALUE(Raw_Orders!D9)</f>
        <v>3</v>
      </c>
      <c r="J9" s="11" t="str">
        <f>INDEX(Raw_Products!$D$2:$D$71,MATCH($F9,Raw_Products!$A$2:$A$71,0))</f>
        <v>750</v>
      </c>
      <c r="K9" s="11">
        <f t="shared" si="0"/>
        <v>2250</v>
      </c>
      <c r="L9" s="12">
        <f>DATE(VALUE(RIGHT(Raw_Orders!E9,4)),VALUE(MID(Raw_Orders!E9,4,2)),VALUE(LEFT(Raw_Orders!E9,2)))</f>
        <v>45238</v>
      </c>
      <c r="M9" s="12">
        <f>DATE(VALUE(RIGHT(Raw_Orders!G9,4)),VALUE(MID(Raw_Orders!G9,4,2)),VALUE(LEFT(Raw_Orders!G9,2)))</f>
        <v>45244</v>
      </c>
      <c r="N9" s="7">
        <f t="shared" si="1"/>
        <v>6</v>
      </c>
      <c r="O9" s="7" t="str">
        <f>Raw_Orders!J9</f>
        <v>Diwali</v>
      </c>
      <c r="P9" s="7" t="str">
        <f>Raw_Orders!I9</f>
        <v>Morena</v>
      </c>
    </row>
    <row r="10" spans="1:16">
      <c r="A10" s="7" t="str">
        <f>Raw_Orders!A10</f>
        <v>9</v>
      </c>
      <c r="B10" s="7" t="str">
        <f>Raw_Orders!B10</f>
        <v>C044</v>
      </c>
      <c r="C10" s="7" t="str">
        <f>INDEX(Raw_Customers!$B$2:$B$101,MATCH($B10,Raw_Customers!$A$2:$A$101,0))</f>
        <v>Seher Mann</v>
      </c>
      <c r="D10" s="7" t="str">
        <f>TRIM(INDEX(Raw_Customers!$C$2:$C$101,MATCH($B10,Raw_Customers!$A$2:$A$101,0)))</f>
        <v>Agra</v>
      </c>
      <c r="E10" s="7" t="str">
        <f>"+91-"&amp;RIGHT("0000000000"&amp;INDEX(Raw_Customers!$D$2:$D$101,MATCH($B10,Raw_Customers!$A$2:$A$101,0)),10)</f>
        <v>+91-9843970658</v>
      </c>
      <c r="F10" s="7" t="str">
        <f>Raw_Orders!C10</f>
        <v>27</v>
      </c>
      <c r="G10" s="7" t="str">
        <f>INDEX(Raw_Products!$B$2:$B$71,MATCH($F10,Raw_Products!$A$2:$A$71,0))</f>
        <v>Architecto Gift</v>
      </c>
      <c r="H10" s="7" t="str">
        <f>INDEX(Raw_Products!$C$2:$C$71,MATCH($F10,Raw_Products!$A$2:$A$71,0))</f>
        <v>Cake</v>
      </c>
      <c r="I10" s="7">
        <f>VALUE(Raw_Orders!D10)</f>
        <v>4</v>
      </c>
      <c r="J10" s="11" t="str">
        <f>INDEX(Raw_Products!$D$2:$D$71,MATCH($F10,Raw_Products!$A$2:$A$71,0))</f>
        <v>548</v>
      </c>
      <c r="K10" s="11">
        <f t="shared" si="0"/>
        <v>2192</v>
      </c>
      <c r="L10" s="12">
        <f>DATE(VALUE(RIGHT(Raw_Orders!E10,4)),VALUE(MID(Raw_Orders!E10,4,2)),VALUE(LEFT(Raw_Orders!E10,2)))</f>
        <v>45158</v>
      </c>
      <c r="M10" s="12">
        <f>DATE(VALUE(RIGHT(Raw_Orders!G10,4)),VALUE(MID(Raw_Orders!G10,4,2)),VALUE(LEFT(Raw_Orders!G10,2)))</f>
        <v>45167</v>
      </c>
      <c r="N10" s="7">
        <f t="shared" si="1"/>
        <v>9</v>
      </c>
      <c r="O10" s="7" t="str">
        <f>Raw_Orders!J10</f>
        <v>Raksha Bandhan</v>
      </c>
      <c r="P10" s="7" t="str">
        <f>Raw_Orders!I10</f>
        <v>Rajkot</v>
      </c>
    </row>
    <row r="11" spans="1:16">
      <c r="A11" s="7" t="str">
        <f>Raw_Orders!A11</f>
        <v>10</v>
      </c>
      <c r="B11" s="7" t="str">
        <f>Raw_Orders!B11</f>
        <v>C099</v>
      </c>
      <c r="C11" s="7" t="str">
        <f>INDEX(Raw_Customers!$B$2:$B$101,MATCH($B11,Raw_Customers!$A$2:$A$101,0))</f>
        <v>Ranbir Loyal</v>
      </c>
      <c r="D11" s="7" t="str">
        <f>TRIM(INDEX(Raw_Customers!$C$2:$C$101,MATCH($B11,Raw_Customers!$A$2:$A$101,0)))</f>
        <v>Dhanbad</v>
      </c>
      <c r="E11" s="7" t="str">
        <f>"+91-"&amp;RIGHT("0000000000"&amp;INDEX(Raw_Customers!$D$2:$D$101,MATCH($B11,Raw_Customers!$A$2:$A$101,0)),10)</f>
        <v>+91-3621448305</v>
      </c>
      <c r="F11" s="7" t="str">
        <f>Raw_Orders!C11</f>
        <v>56</v>
      </c>
      <c r="G11" s="7" t="str">
        <f>INDEX(Raw_Products!$B$2:$B$71,MATCH($F11,Raw_Products!$A$2:$A$71,0))</f>
        <v>Quia Gift</v>
      </c>
      <c r="H11" s="7" t="str">
        <f>INDEX(Raw_Products!$C$2:$C$71,MATCH($F11,Raw_Products!$A$2:$A$71,0))</f>
        <v>Raksha Bandhan</v>
      </c>
      <c r="I11" s="7">
        <f>VALUE(Raw_Orders!D11)</f>
        <v>3</v>
      </c>
      <c r="J11" s="11" t="str">
        <f>INDEX(Raw_Products!$D$2:$D$71,MATCH($F11,Raw_Products!$A$2:$A$71,0))</f>
        <v>1272</v>
      </c>
      <c r="K11" s="11">
        <f t="shared" si="0"/>
        <v>3816</v>
      </c>
      <c r="L11" s="12">
        <f>DATE(VALUE(RIGHT(Raw_Orders!E11,4)),VALUE(MID(Raw_Orders!E11,4,2)),VALUE(LEFT(Raw_Orders!E11,2)))</f>
        <v>44983</v>
      </c>
      <c r="M11" s="12">
        <f>DATE(VALUE(RIGHT(Raw_Orders!G11,4)),VALUE(MID(Raw_Orders!G11,4,2)),VALUE(LEFT(Raw_Orders!G11,2)))</f>
        <v>44993</v>
      </c>
      <c r="N11" s="7">
        <f t="shared" si="1"/>
        <v>10</v>
      </c>
      <c r="O11" s="7" t="str">
        <f>Raw_Orders!J11</f>
        <v>Anniversary</v>
      </c>
      <c r="P11" s="7" t="str">
        <f>Raw_Orders!I11</f>
        <v>Ambala</v>
      </c>
    </row>
    <row r="12" spans="1:16">
      <c r="A12" s="7" t="str">
        <f>Raw_Orders!A12</f>
        <v>11</v>
      </c>
      <c r="B12" s="7" t="str">
        <f>Raw_Orders!B12</f>
        <v>C065</v>
      </c>
      <c r="C12" s="7" t="str">
        <f>INDEX(Raw_Customers!$B$2:$B$101,MATCH($B12,Raw_Customers!$A$2:$A$101,0))</f>
        <v>Badal Vora</v>
      </c>
      <c r="D12" s="7" t="str">
        <f>TRIM(INDEX(Raw_Customers!$C$2:$C$101,MATCH($B12,Raw_Customers!$A$2:$A$101,0)))</f>
        <v>North Dumdum</v>
      </c>
      <c r="E12" s="7" t="str">
        <f>"+91-"&amp;RIGHT("0000000000"&amp;INDEX(Raw_Customers!$D$2:$D$101,MATCH($B12,Raw_Customers!$A$2:$A$101,0)),10)</f>
        <v>+91-9753056313</v>
      </c>
      <c r="F12" s="7" t="str">
        <f>Raw_Orders!C12</f>
        <v>16</v>
      </c>
      <c r="G12" s="7" t="str">
        <f>INDEX(Raw_Products!$B$2:$B$71,MATCH($F12,Raw_Products!$A$2:$A$71,0))</f>
        <v>Ut Pack</v>
      </c>
      <c r="H12" s="7" t="str">
        <f>INDEX(Raw_Products!$C$2:$C$71,MATCH($F12,Raw_Products!$A$2:$A$71,0))</f>
        <v>Sweets</v>
      </c>
      <c r="I12" s="7">
        <f>VALUE(Raw_Orders!D12)</f>
        <v>4</v>
      </c>
      <c r="J12" s="11" t="str">
        <f>INDEX(Raw_Products!$D$2:$D$71,MATCH($F12,Raw_Products!$A$2:$A$71,0))</f>
        <v>1721</v>
      </c>
      <c r="K12" s="11">
        <f t="shared" si="0"/>
        <v>6884</v>
      </c>
      <c r="L12" s="12">
        <f>DATE(VALUE(RIGHT(Raw_Orders!E12,4)),VALUE(MID(Raw_Orders!E12,4,2)),VALUE(LEFT(Raw_Orders!E12,2)))</f>
        <v>44987</v>
      </c>
      <c r="M12" s="12">
        <f>DATE(VALUE(RIGHT(Raw_Orders!G12,4)),VALUE(MID(Raw_Orders!G12,4,2)),VALUE(LEFT(Raw_Orders!G12,2)))</f>
        <v>44988</v>
      </c>
      <c r="N12" s="7">
        <f t="shared" si="1"/>
        <v>1</v>
      </c>
      <c r="O12" s="7" t="str">
        <f>Raw_Orders!J12</f>
        <v>Holi</v>
      </c>
      <c r="P12" s="7" t="str">
        <f>Raw_Orders!I12</f>
        <v>Belgaum</v>
      </c>
    </row>
    <row r="13" spans="1:16">
      <c r="A13" s="7" t="str">
        <f>Raw_Orders!A13</f>
        <v>12</v>
      </c>
      <c r="B13" s="7" t="str">
        <f>Raw_Orders!B13</f>
        <v>C097</v>
      </c>
      <c r="C13" s="7" t="str">
        <f>INDEX(Raw_Customers!$B$2:$B$101,MATCH($B13,Raw_Customers!$A$2:$A$101,0))</f>
        <v>Nakul Randhawa</v>
      </c>
      <c r="D13" s="7" t="str">
        <f>TRIM(INDEX(Raw_Customers!$C$2:$C$101,MATCH($B13,Raw_Customers!$A$2:$A$101,0)))</f>
        <v>Sri Ganganagar</v>
      </c>
      <c r="E13" s="7" t="str">
        <f>"+91-"&amp;RIGHT("0000000000"&amp;INDEX(Raw_Customers!$D$2:$D$101,MATCH($B13,Raw_Customers!$A$2:$A$101,0)),10)</f>
        <v>+91-0456900126</v>
      </c>
      <c r="F13" s="7" t="str">
        <f>Raw_Orders!C13</f>
        <v>38</v>
      </c>
      <c r="G13" s="7" t="str">
        <f>INDEX(Raw_Products!$B$2:$B$71,MATCH($F13,Raw_Products!$A$2:$A$71,0))</f>
        <v>Mollitia Set</v>
      </c>
      <c r="H13" s="7" t="str">
        <f>INDEX(Raw_Products!$C$2:$C$71,MATCH($F13,Raw_Products!$A$2:$A$71,0))</f>
        <v>Cake</v>
      </c>
      <c r="I13" s="7">
        <f>VALUE(Raw_Orders!D13)</f>
        <v>3</v>
      </c>
      <c r="J13" s="11" t="str">
        <f>INDEX(Raw_Products!$D$2:$D$71,MATCH($F13,Raw_Products!$A$2:$A$71,0))</f>
        <v>562</v>
      </c>
      <c r="K13" s="11">
        <f t="shared" si="0"/>
        <v>1686</v>
      </c>
      <c r="L13" s="12">
        <f>DATE(VALUE(RIGHT(Raw_Orders!E13,4)),VALUE(MID(Raw_Orders!E13,4,2)),VALUE(LEFT(Raw_Orders!E13,2)))</f>
        <v>45119</v>
      </c>
      <c r="M13" s="12">
        <f>DATE(VALUE(RIGHT(Raw_Orders!G13,4)),VALUE(MID(Raw_Orders!G13,4,2)),VALUE(LEFT(Raw_Orders!G13,2)))</f>
        <v>45127</v>
      </c>
      <c r="N13" s="7">
        <f t="shared" si="1"/>
        <v>8</v>
      </c>
      <c r="O13" s="7" t="str">
        <f>Raw_Orders!J13</f>
        <v>Birthday</v>
      </c>
      <c r="P13" s="7" t="str">
        <f>Raw_Orders!I13</f>
        <v>Karnal</v>
      </c>
    </row>
    <row r="14" spans="1:16">
      <c r="A14" s="7" t="str">
        <f>Raw_Orders!A14</f>
        <v>13</v>
      </c>
      <c r="B14" s="7" t="str">
        <f>Raw_Orders!B14</f>
        <v>C024</v>
      </c>
      <c r="C14" s="7" t="str">
        <f>INDEX(Raw_Customers!$B$2:$B$101,MATCH($B14,Raw_Customers!$A$2:$A$101,0))</f>
        <v>Jhanvi Chowdhury</v>
      </c>
      <c r="D14" s="7" t="str">
        <f>TRIM(INDEX(Raw_Customers!$C$2:$C$101,MATCH($B14,Raw_Customers!$A$2:$A$101,0)))</f>
        <v>Kavali</v>
      </c>
      <c r="E14" s="7" t="str">
        <f>"+91-"&amp;RIGHT("0000000000"&amp;INDEX(Raw_Customers!$D$2:$D$101,MATCH($B14,Raw_Customers!$A$2:$A$101,0)),10)</f>
        <v>+91-0316756360</v>
      </c>
      <c r="F14" s="7" t="str">
        <f>Raw_Orders!C14</f>
        <v>20</v>
      </c>
      <c r="G14" s="7" t="str">
        <f>INDEX(Raw_Products!$B$2:$B$71,MATCH($F14,Raw_Products!$A$2:$A$71,0))</f>
        <v>Reiciendis Box</v>
      </c>
      <c r="H14" s="7" t="str">
        <f>INDEX(Raw_Products!$C$2:$C$71,MATCH($F14,Raw_Products!$A$2:$A$71,0))</f>
        <v>Colors</v>
      </c>
      <c r="I14" s="7">
        <f>VALUE(Raw_Orders!D14)</f>
        <v>3</v>
      </c>
      <c r="J14" s="11" t="str">
        <f>INDEX(Raw_Products!$D$2:$D$71,MATCH($F14,Raw_Products!$A$2:$A$71,0))</f>
        <v>697</v>
      </c>
      <c r="K14" s="11">
        <f t="shared" si="0"/>
        <v>2091</v>
      </c>
      <c r="L14" s="12">
        <f>DATE(VALUE(RIGHT(Raw_Orders!E14,4)),VALUE(MID(Raw_Orders!E14,4,2)),VALUE(LEFT(Raw_Orders!E14,2)))</f>
        <v>44981</v>
      </c>
      <c r="M14" s="12">
        <f>DATE(VALUE(RIGHT(Raw_Orders!G14,4)),VALUE(MID(Raw_Orders!G14,4,2)),VALUE(LEFT(Raw_Orders!G14,2)))</f>
        <v>44989</v>
      </c>
      <c r="N14" s="7">
        <f t="shared" si="1"/>
        <v>8</v>
      </c>
      <c r="O14" s="7" t="str">
        <f>Raw_Orders!J14</f>
        <v>Anniversary</v>
      </c>
      <c r="P14" s="7" t="str">
        <f>Raw_Orders!I14</f>
        <v>Gandhidham</v>
      </c>
    </row>
    <row r="15" spans="1:16">
      <c r="A15" s="7" t="str">
        <f>Raw_Orders!A15</f>
        <v>14</v>
      </c>
      <c r="B15" s="7" t="str">
        <f>Raw_Orders!B15</f>
        <v>C042</v>
      </c>
      <c r="C15" s="7" t="str">
        <f>INDEX(Raw_Customers!$B$2:$B$101,MATCH($B15,Raw_Customers!$A$2:$A$101,0))</f>
        <v>Eshani Sharma</v>
      </c>
      <c r="D15" s="7" t="str">
        <f>TRIM(INDEX(Raw_Customers!$C$2:$C$101,MATCH($B15,Raw_Customers!$A$2:$A$101,0)))</f>
        <v>Ajmer</v>
      </c>
      <c r="E15" s="7" t="str">
        <f>"+91-"&amp;RIGHT("0000000000"&amp;INDEX(Raw_Customers!$D$2:$D$101,MATCH($B15,Raw_Customers!$A$2:$A$101,0)),10)</f>
        <v>+91-6843169694</v>
      </c>
      <c r="F15" s="7" t="str">
        <f>Raw_Orders!C15</f>
        <v>60</v>
      </c>
      <c r="G15" s="7" t="str">
        <f>INDEX(Raw_Products!$B$2:$B$71,MATCH($F15,Raw_Products!$A$2:$A$71,0))</f>
        <v>Ea Set</v>
      </c>
      <c r="H15" s="7" t="str">
        <f>INDEX(Raw_Products!$C$2:$C$71,MATCH($F15,Raw_Products!$A$2:$A$71,0))</f>
        <v>Sweets</v>
      </c>
      <c r="I15" s="7">
        <f>VALUE(Raw_Orders!D15)</f>
        <v>1</v>
      </c>
      <c r="J15" s="11" t="str">
        <f>INDEX(Raw_Products!$D$2:$D$71,MATCH($F15,Raw_Products!$A$2:$A$71,0))</f>
        <v>827</v>
      </c>
      <c r="K15" s="11">
        <f t="shared" si="0"/>
        <v>827</v>
      </c>
      <c r="L15" s="12">
        <f>DATE(VALUE(RIGHT(Raw_Orders!E15,4)),VALUE(MID(Raw_Orders!E15,4,2)),VALUE(LEFT(Raw_Orders!E15,2)))</f>
        <v>45238</v>
      </c>
      <c r="M15" s="12">
        <f>DATE(VALUE(RIGHT(Raw_Orders!G15,4)),VALUE(MID(Raw_Orders!G15,4,2)),VALUE(LEFT(Raw_Orders!G15,2)))</f>
        <v>45245</v>
      </c>
      <c r="N15" s="7">
        <f t="shared" si="1"/>
        <v>7</v>
      </c>
      <c r="O15" s="7" t="str">
        <f>Raw_Orders!J15</f>
        <v>Diwali</v>
      </c>
      <c r="P15" s="7" t="str">
        <f>Raw_Orders!I15</f>
        <v>Bilaspur</v>
      </c>
    </row>
    <row r="16" spans="1:16">
      <c r="A16" s="7" t="str">
        <f>Raw_Orders!A16</f>
        <v>15</v>
      </c>
      <c r="B16" s="7" t="str">
        <f>Raw_Orders!B16</f>
        <v>C069</v>
      </c>
      <c r="C16" s="7" t="str">
        <f>INDEX(Raw_Customers!$B$2:$B$101,MATCH($B16,Raw_Customers!$A$2:$A$101,0))</f>
        <v>Hunar Tripathi</v>
      </c>
      <c r="D16" s="7" t="str">
        <f>TRIM(INDEX(Raw_Customers!$C$2:$C$101,MATCH($B16,Raw_Customers!$A$2:$A$101,0)))</f>
        <v>Madhyamgram</v>
      </c>
      <c r="E16" s="7" t="str">
        <f>"+91-"&amp;RIGHT("0000000000"&amp;INDEX(Raw_Customers!$D$2:$D$101,MATCH($B16,Raw_Customers!$A$2:$A$101,0)),10)</f>
        <v>+91-1440411271</v>
      </c>
      <c r="F16" s="7" t="str">
        <f>Raw_Orders!C16</f>
        <v>21</v>
      </c>
      <c r="G16" s="7" t="str">
        <f>INDEX(Raw_Products!$B$2:$B$71,MATCH($F16,Raw_Products!$A$2:$A$71,0))</f>
        <v>Quia Gift</v>
      </c>
      <c r="H16" s="7" t="str">
        <f>INDEX(Raw_Products!$C$2:$C$71,MATCH($F16,Raw_Products!$A$2:$A$71,0))</f>
        <v>Colors</v>
      </c>
      <c r="I16" s="7">
        <f>VALUE(Raw_Orders!D16)</f>
        <v>5</v>
      </c>
      <c r="J16" s="11" t="str">
        <f>INDEX(Raw_Products!$D$2:$D$71,MATCH($F16,Raw_Products!$A$2:$A$71,0))</f>
        <v>1561</v>
      </c>
      <c r="K16" s="11">
        <f t="shared" si="0"/>
        <v>7805</v>
      </c>
      <c r="L16" s="12">
        <f>DATE(VALUE(RIGHT(Raw_Orders!E16,4)),VALUE(MID(Raw_Orders!E16,4,2)),VALUE(LEFT(Raw_Orders!E16,2)))</f>
        <v>45164</v>
      </c>
      <c r="M16" s="12">
        <f>DATE(VALUE(RIGHT(Raw_Orders!G16,4)),VALUE(MID(Raw_Orders!G16,4,2)),VALUE(LEFT(Raw_Orders!G16,2)))</f>
        <v>45168</v>
      </c>
      <c r="N16" s="7">
        <f t="shared" si="1"/>
        <v>4</v>
      </c>
      <c r="O16" s="7" t="str">
        <f>Raw_Orders!J16</f>
        <v>Raksha Bandhan</v>
      </c>
      <c r="P16" s="7" t="str">
        <f>Raw_Orders!I16</f>
        <v>Pune</v>
      </c>
    </row>
    <row r="17" spans="1:16">
      <c r="A17" s="7" t="str">
        <f>Raw_Orders!A17</f>
        <v>16</v>
      </c>
      <c r="B17" s="7" t="str">
        <f>Raw_Orders!B17</f>
        <v>C013</v>
      </c>
      <c r="C17" s="7" t="str">
        <f>INDEX(Raw_Customers!$B$2:$B$101,MATCH($B17,Raw_Customers!$A$2:$A$101,0))</f>
        <v>Manikya Goswami</v>
      </c>
      <c r="D17" s="7" t="str">
        <f>TRIM(INDEX(Raw_Customers!$C$2:$C$101,MATCH($B17,Raw_Customers!$A$2:$A$101,0)))</f>
        <v>Mangalore</v>
      </c>
      <c r="E17" s="7" t="str">
        <f>"+91-"&amp;RIGHT("0000000000"&amp;INDEX(Raw_Customers!$D$2:$D$101,MATCH($B17,Raw_Customers!$A$2:$A$101,0)),10)</f>
        <v>+91-2112817503</v>
      </c>
      <c r="F17" s="7" t="str">
        <f>Raw_Orders!C17</f>
        <v>20</v>
      </c>
      <c r="G17" s="7" t="str">
        <f>INDEX(Raw_Products!$B$2:$B$71,MATCH($F17,Raw_Products!$A$2:$A$71,0))</f>
        <v>Reiciendis Box</v>
      </c>
      <c r="H17" s="7" t="str">
        <f>INDEX(Raw_Products!$C$2:$C$71,MATCH($F17,Raw_Products!$A$2:$A$71,0))</f>
        <v>Colors</v>
      </c>
      <c r="I17" s="7">
        <f>VALUE(Raw_Orders!D17)</f>
        <v>3</v>
      </c>
      <c r="J17" s="11" t="str">
        <f>INDEX(Raw_Products!$D$2:$D$71,MATCH($F17,Raw_Products!$A$2:$A$71,0))</f>
        <v>697</v>
      </c>
      <c r="K17" s="11">
        <f t="shared" si="0"/>
        <v>2091</v>
      </c>
      <c r="L17" s="12">
        <f>DATE(VALUE(RIGHT(Raw_Orders!E17,4)),VALUE(MID(Raw_Orders!E17,4,2)),VALUE(LEFT(Raw_Orders!E17,2)))</f>
        <v>44973</v>
      </c>
      <c r="M17" s="12">
        <f>DATE(VALUE(RIGHT(Raw_Orders!G17,4)),VALUE(MID(Raw_Orders!G17,4,2)),VALUE(LEFT(Raw_Orders!G17,2)))</f>
        <v>44977</v>
      </c>
      <c r="N17" s="7">
        <f t="shared" si="1"/>
        <v>4</v>
      </c>
      <c r="O17" s="7" t="str">
        <f>Raw_Orders!J17</f>
        <v>Anniversary</v>
      </c>
      <c r="P17" s="7" t="str">
        <f>Raw_Orders!I17</f>
        <v>Khammam</v>
      </c>
    </row>
    <row r="18" spans="1:16">
      <c r="A18" s="7" t="str">
        <f>Raw_Orders!A18</f>
        <v>17</v>
      </c>
      <c r="B18" s="7" t="str">
        <f>Raw_Orders!B18</f>
        <v>C056</v>
      </c>
      <c r="C18" s="7" t="str">
        <f>INDEX(Raw_Customers!$B$2:$B$101,MATCH($B18,Raw_Customers!$A$2:$A$101,0))</f>
        <v>Pihu Choudhury</v>
      </c>
      <c r="D18" s="7" t="str">
        <f>TRIM(INDEX(Raw_Customers!$C$2:$C$101,MATCH($B18,Raw_Customers!$A$2:$A$101,0)))</f>
        <v>Haridwar</v>
      </c>
      <c r="E18" s="7" t="str">
        <f>"+91-"&amp;RIGHT("0000000000"&amp;INDEX(Raw_Customers!$D$2:$D$101,MATCH($B18,Raw_Customers!$A$2:$A$101,0)),10)</f>
        <v>+91-9732644810</v>
      </c>
      <c r="F18" s="7" t="str">
        <f>Raw_Orders!C18</f>
        <v>60</v>
      </c>
      <c r="G18" s="7" t="str">
        <f>INDEX(Raw_Products!$B$2:$B$71,MATCH($F18,Raw_Products!$A$2:$A$71,0))</f>
        <v>Ea Set</v>
      </c>
      <c r="H18" s="7" t="str">
        <f>INDEX(Raw_Products!$C$2:$C$71,MATCH($F18,Raw_Products!$A$2:$A$71,0))</f>
        <v>Sweets</v>
      </c>
      <c r="I18" s="7">
        <f>VALUE(Raw_Orders!D18)</f>
        <v>2</v>
      </c>
      <c r="J18" s="11" t="str">
        <f>INDEX(Raw_Products!$D$2:$D$71,MATCH($F18,Raw_Products!$A$2:$A$71,0))</f>
        <v>827</v>
      </c>
      <c r="K18" s="11">
        <f t="shared" si="0"/>
        <v>1654</v>
      </c>
      <c r="L18" s="12">
        <f>DATE(VALUE(RIGHT(Raw_Orders!E18,4)),VALUE(MID(Raw_Orders!E18,4,2)),VALUE(LEFT(Raw_Orders!E18,2)))</f>
        <v>45234</v>
      </c>
      <c r="M18" s="12">
        <f>DATE(VALUE(RIGHT(Raw_Orders!G18,4)),VALUE(MID(Raw_Orders!G18,4,2)),VALUE(LEFT(Raw_Orders!G18,2)))</f>
        <v>45243</v>
      </c>
      <c r="N18" s="7">
        <f t="shared" si="1"/>
        <v>9</v>
      </c>
      <c r="O18" s="7" t="str">
        <f>Raw_Orders!J18</f>
        <v>Diwali</v>
      </c>
      <c r="P18" s="7" t="str">
        <f>Raw_Orders!I18</f>
        <v>Kota</v>
      </c>
    </row>
    <row r="19" spans="1:16">
      <c r="A19" s="7" t="str">
        <f>Raw_Orders!A19</f>
        <v>18</v>
      </c>
      <c r="B19" s="7" t="str">
        <f>Raw_Orders!B19</f>
        <v>C072</v>
      </c>
      <c r="C19" s="7" t="str">
        <f>INDEX(Raw_Customers!$B$2:$B$101,MATCH($B19,Raw_Customers!$A$2:$A$101,0))</f>
        <v>Charvi Karnik</v>
      </c>
      <c r="D19" s="7" t="str">
        <f>TRIM(INDEX(Raw_Customers!$C$2:$C$101,MATCH($B19,Raw_Customers!$A$2:$A$101,0)))</f>
        <v>Hyderabad</v>
      </c>
      <c r="E19" s="7" t="str">
        <f>"+91-"&amp;RIGHT("0000000000"&amp;INDEX(Raw_Customers!$D$2:$D$101,MATCH($B19,Raw_Customers!$A$2:$A$101,0)),10)</f>
        <v>+91-7573085232</v>
      </c>
      <c r="F19" s="7" t="str">
        <f>Raw_Orders!C19</f>
        <v>23</v>
      </c>
      <c r="G19" s="7" t="str">
        <f>INDEX(Raw_Products!$B$2:$B$71,MATCH($F19,Raw_Products!$A$2:$A$71,0))</f>
        <v>Dignissimos Pack</v>
      </c>
      <c r="H19" s="7" t="str">
        <f>INDEX(Raw_Products!$C$2:$C$71,MATCH($F19,Raw_Products!$A$2:$A$71,0))</f>
        <v>Sweets</v>
      </c>
      <c r="I19" s="7">
        <f>VALUE(Raw_Orders!D19)</f>
        <v>4</v>
      </c>
      <c r="J19" s="11" t="str">
        <f>INDEX(Raw_Products!$D$2:$D$71,MATCH($F19,Raw_Products!$A$2:$A$71,0))</f>
        <v>1098</v>
      </c>
      <c r="K19" s="11">
        <f t="shared" si="0"/>
        <v>4392</v>
      </c>
      <c r="L19" s="12">
        <f>DATE(VALUE(RIGHT(Raw_Orders!E19,4)),VALUE(MID(Raw_Orders!E19,4,2)),VALUE(LEFT(Raw_Orders!E19,2)))</f>
        <v>45270</v>
      </c>
      <c r="M19" s="12">
        <f>DATE(VALUE(RIGHT(Raw_Orders!G19,4)),VALUE(MID(Raw_Orders!G19,4,2)),VALUE(LEFT(Raw_Orders!G19,2)))</f>
        <v>45271</v>
      </c>
      <c r="N19" s="7">
        <f t="shared" si="1"/>
        <v>1</v>
      </c>
      <c r="O19" s="7" t="str">
        <f>Raw_Orders!J19</f>
        <v>Anniversary</v>
      </c>
      <c r="P19" s="7" t="str">
        <f>Raw_Orders!I19</f>
        <v>Moradabad</v>
      </c>
    </row>
    <row r="20" spans="1:16">
      <c r="A20" s="7" t="str">
        <f>Raw_Orders!A20</f>
        <v>19</v>
      </c>
      <c r="B20" s="7" t="str">
        <f>Raw_Orders!B20</f>
        <v>C072</v>
      </c>
      <c r="C20" s="7" t="str">
        <f>INDEX(Raw_Customers!$B$2:$B$101,MATCH($B20,Raw_Customers!$A$2:$A$101,0))</f>
        <v>Charvi Karnik</v>
      </c>
      <c r="D20" s="7" t="str">
        <f>TRIM(INDEX(Raw_Customers!$C$2:$C$101,MATCH($B20,Raw_Customers!$A$2:$A$101,0)))</f>
        <v>Hyderabad</v>
      </c>
      <c r="E20" s="7" t="str">
        <f>"+91-"&amp;RIGHT("0000000000"&amp;INDEX(Raw_Customers!$D$2:$D$101,MATCH($B20,Raw_Customers!$A$2:$A$101,0)),10)</f>
        <v>+91-7573085232</v>
      </c>
      <c r="F20" s="7" t="str">
        <f>Raw_Orders!C20</f>
        <v>62</v>
      </c>
      <c r="G20" s="7" t="str">
        <f>INDEX(Raw_Products!$B$2:$B$71,MATCH($F20,Raw_Products!$A$2:$A$71,0))</f>
        <v>Sed Set</v>
      </c>
      <c r="H20" s="7" t="str">
        <f>INDEX(Raw_Products!$C$2:$C$71,MATCH($F20,Raw_Products!$A$2:$A$71,0))</f>
        <v>Colors</v>
      </c>
      <c r="I20" s="7">
        <f>VALUE(Raw_Orders!D20)</f>
        <v>4</v>
      </c>
      <c r="J20" s="11" t="str">
        <f>INDEX(Raw_Products!$D$2:$D$71,MATCH($F20,Raw_Products!$A$2:$A$71,0))</f>
        <v>1356</v>
      </c>
      <c r="K20" s="11">
        <f t="shared" si="0"/>
        <v>5424</v>
      </c>
      <c r="L20" s="12">
        <f>DATE(VALUE(RIGHT(Raw_Orders!E20,4)),VALUE(MID(Raw_Orders!E20,4,2)),VALUE(LEFT(Raw_Orders!E20,2)))</f>
        <v>44992</v>
      </c>
      <c r="M20" s="12">
        <f>DATE(VALUE(RIGHT(Raw_Orders!G20,4)),VALUE(MID(Raw_Orders!G20,4,2)),VALUE(LEFT(Raw_Orders!G20,2)))</f>
        <v>44993</v>
      </c>
      <c r="N20" s="7">
        <f t="shared" si="1"/>
        <v>1</v>
      </c>
      <c r="O20" s="7" t="str">
        <f>Raw_Orders!J20</f>
        <v>Holi</v>
      </c>
      <c r="P20" s="7" t="str">
        <f>Raw_Orders!I20</f>
        <v>Vijayanagaram</v>
      </c>
    </row>
    <row r="21" spans="1:16">
      <c r="A21" s="7" t="str">
        <f>Raw_Orders!A21</f>
        <v>20</v>
      </c>
      <c r="B21" s="7" t="str">
        <f>Raw_Orders!B21</f>
        <v>C011</v>
      </c>
      <c r="C21" s="7" t="str">
        <f>INDEX(Raw_Customers!$B$2:$B$101,MATCH($B21,Raw_Customers!$A$2:$A$101,0))</f>
        <v>Lagan Kapoor</v>
      </c>
      <c r="D21" s="7" t="str">
        <f>TRIM(INDEX(Raw_Customers!$C$2:$C$101,MATCH($B21,Raw_Customers!$A$2:$A$101,0)))</f>
        <v>Orai</v>
      </c>
      <c r="E21" s="7" t="str">
        <f>"+91-"&amp;RIGHT("0000000000"&amp;INDEX(Raw_Customers!$D$2:$D$101,MATCH($B21,Raw_Customers!$A$2:$A$101,0)),10)</f>
        <v>+91-6173563562</v>
      </c>
      <c r="F21" s="7" t="str">
        <f>Raw_Orders!C21</f>
        <v>52</v>
      </c>
      <c r="G21" s="7" t="str">
        <f>INDEX(Raw_Products!$B$2:$B$71,MATCH($F21,Raw_Products!$A$2:$A$71,0))</f>
        <v>Dolorum Box</v>
      </c>
      <c r="H21" s="7" t="str">
        <f>INDEX(Raw_Products!$C$2:$C$71,MATCH($F21,Raw_Products!$A$2:$A$71,0))</f>
        <v>Raksha Bandhan</v>
      </c>
      <c r="I21" s="7">
        <f>VALUE(Raw_Orders!D21)</f>
        <v>1</v>
      </c>
      <c r="J21" s="11" t="str">
        <f>INDEX(Raw_Products!$D$2:$D$71,MATCH($F21,Raw_Products!$A$2:$A$71,0))</f>
        <v>236</v>
      </c>
      <c r="K21" s="11">
        <f t="shared" si="0"/>
        <v>236</v>
      </c>
      <c r="L21" s="12">
        <f>DATE(VALUE(RIGHT(Raw_Orders!E21,4)),VALUE(MID(Raw_Orders!E21,4,2)),VALUE(LEFT(Raw_Orders!E21,2)))</f>
        <v>44968</v>
      </c>
      <c r="M21" s="12">
        <f>DATE(VALUE(RIGHT(Raw_Orders!G21,4)),VALUE(MID(Raw_Orders!G21,4,2)),VALUE(LEFT(Raw_Orders!G21,2)))</f>
        <v>44971</v>
      </c>
      <c r="N21" s="7">
        <f t="shared" si="1"/>
        <v>3</v>
      </c>
      <c r="O21" s="7" t="str">
        <f>Raw_Orders!J21</f>
        <v>Valentine's Day</v>
      </c>
      <c r="P21" s="7" t="str">
        <f>Raw_Orders!I21</f>
        <v>Madurai</v>
      </c>
    </row>
    <row r="22" spans="1:16">
      <c r="A22" s="7" t="str">
        <f>Raw_Orders!A22</f>
        <v>21</v>
      </c>
      <c r="B22" s="7" t="str">
        <f>Raw_Orders!B22</f>
        <v>C090</v>
      </c>
      <c r="C22" s="7" t="str">
        <f>INDEX(Raw_Customers!$B$2:$B$101,MATCH($B22,Raw_Customers!$A$2:$A$101,0))</f>
        <v>Drishya De</v>
      </c>
      <c r="D22" s="7" t="str">
        <f>TRIM(INDEX(Raw_Customers!$C$2:$C$101,MATCH($B22,Raw_Customers!$A$2:$A$101,0)))</f>
        <v>Anantapuram</v>
      </c>
      <c r="E22" s="7" t="str">
        <f>"+91-"&amp;RIGHT("0000000000"&amp;INDEX(Raw_Customers!$D$2:$D$101,MATCH($B22,Raw_Customers!$A$2:$A$101,0)),10)</f>
        <v>+91-3327374841</v>
      </c>
      <c r="F22" s="7" t="str">
        <f>Raw_Orders!C22</f>
        <v>32</v>
      </c>
      <c r="G22" s="7" t="str">
        <f>INDEX(Raw_Products!$B$2:$B$71,MATCH($F22,Raw_Products!$A$2:$A$71,0))</f>
        <v>Fuga Set</v>
      </c>
      <c r="H22" s="7" t="str">
        <f>INDEX(Raw_Products!$C$2:$C$71,MATCH($F22,Raw_Products!$A$2:$A$71,0))</f>
        <v>Soft Toys</v>
      </c>
      <c r="I22" s="7">
        <f>VALUE(Raw_Orders!D22)</f>
        <v>1</v>
      </c>
      <c r="J22" s="11" t="str">
        <f>INDEX(Raw_Products!$D$2:$D$71,MATCH($F22,Raw_Products!$A$2:$A$71,0))</f>
        <v>1792</v>
      </c>
      <c r="K22" s="11">
        <f t="shared" si="0"/>
        <v>1792</v>
      </c>
      <c r="L22" s="12">
        <f>DATE(VALUE(RIGHT(Raw_Orders!E22,4)),VALUE(MID(Raw_Orders!E22,4,2)),VALUE(LEFT(Raw_Orders!E22,2)))</f>
        <v>44966</v>
      </c>
      <c r="M22" s="12">
        <f>DATE(VALUE(RIGHT(Raw_Orders!G22,4)),VALUE(MID(Raw_Orders!G22,4,2)),VALUE(LEFT(Raw_Orders!G22,2)))</f>
        <v>44969</v>
      </c>
      <c r="N22" s="7">
        <f t="shared" si="1"/>
        <v>3</v>
      </c>
      <c r="O22" s="7" t="str">
        <f>Raw_Orders!J22</f>
        <v>Birthday</v>
      </c>
      <c r="P22" s="7" t="str">
        <f>Raw_Orders!I22</f>
        <v>Bathinda</v>
      </c>
    </row>
    <row r="23" spans="1:16">
      <c r="A23" s="7" t="str">
        <f>Raw_Orders!A23</f>
        <v>22</v>
      </c>
      <c r="B23" s="7" t="str">
        <f>Raw_Orders!B23</f>
        <v>C054</v>
      </c>
      <c r="C23" s="7" t="str">
        <f>INDEX(Raw_Customers!$B$2:$B$101,MATCH($B23,Raw_Customers!$A$2:$A$101,0))</f>
        <v>Umang Ahuja</v>
      </c>
      <c r="D23" s="7" t="str">
        <f>TRIM(INDEX(Raw_Customers!$C$2:$C$101,MATCH($B23,Raw_Customers!$A$2:$A$101,0)))</f>
        <v>Bidhannagar</v>
      </c>
      <c r="E23" s="7" t="str">
        <f>"+91-"&amp;RIGHT("0000000000"&amp;INDEX(Raw_Customers!$D$2:$D$101,MATCH($B23,Raw_Customers!$A$2:$A$101,0)),10)</f>
        <v>+91-7271590783</v>
      </c>
      <c r="F23" s="7" t="str">
        <f>Raw_Orders!C23</f>
        <v>43</v>
      </c>
      <c r="G23" s="7" t="str">
        <f>INDEX(Raw_Products!$B$2:$B$71,MATCH($F23,Raw_Products!$A$2:$A$71,0))</f>
        <v>Quisquam Pack</v>
      </c>
      <c r="H23" s="7" t="str">
        <f>INDEX(Raw_Products!$C$2:$C$71,MATCH($F23,Raw_Products!$A$2:$A$71,0))</f>
        <v>Raksha Bandhan</v>
      </c>
      <c r="I23" s="7">
        <f>VALUE(Raw_Orders!D23)</f>
        <v>1</v>
      </c>
      <c r="J23" s="11" t="str">
        <f>INDEX(Raw_Products!$D$2:$D$71,MATCH($F23,Raw_Products!$A$2:$A$71,0))</f>
        <v>750</v>
      </c>
      <c r="K23" s="11">
        <f t="shared" si="0"/>
        <v>750</v>
      </c>
      <c r="L23" s="12">
        <f>DATE(VALUE(RIGHT(Raw_Orders!E23,4)),VALUE(MID(Raw_Orders!E23,4,2)),VALUE(LEFT(Raw_Orders!E23,2)))</f>
        <v>45239</v>
      </c>
      <c r="M23" s="12">
        <f>DATE(VALUE(RIGHT(Raw_Orders!G23,4)),VALUE(MID(Raw_Orders!G23,4,2)),VALUE(LEFT(Raw_Orders!G23,2)))</f>
        <v>45244</v>
      </c>
      <c r="N23" s="7">
        <f t="shared" si="1"/>
        <v>5</v>
      </c>
      <c r="O23" s="7" t="str">
        <f>Raw_Orders!J23</f>
        <v>Diwali</v>
      </c>
      <c r="P23" s="7" t="str">
        <f>Raw_Orders!I23</f>
        <v>Tenali</v>
      </c>
    </row>
    <row r="24" spans="1:16">
      <c r="A24" s="7" t="str">
        <f>Raw_Orders!A24</f>
        <v>23</v>
      </c>
      <c r="B24" s="7" t="str">
        <f>Raw_Orders!B24</f>
        <v>C041</v>
      </c>
      <c r="C24" s="7" t="str">
        <f>INDEX(Raw_Customers!$B$2:$B$101,MATCH($B24,Raw_Customers!$A$2:$A$101,0))</f>
        <v>Rati Dhingra</v>
      </c>
      <c r="D24" s="7" t="str">
        <f>TRIM(INDEX(Raw_Customers!$C$2:$C$101,MATCH($B24,Raw_Customers!$A$2:$A$101,0)))</f>
        <v>Karaikudi</v>
      </c>
      <c r="E24" s="7" t="str">
        <f>"+91-"&amp;RIGHT("0000000000"&amp;INDEX(Raw_Customers!$D$2:$D$101,MATCH($B24,Raw_Customers!$A$2:$A$101,0)),10)</f>
        <v>+91-0625408216</v>
      </c>
      <c r="F24" s="7" t="str">
        <f>Raw_Orders!C24</f>
        <v>12</v>
      </c>
      <c r="G24" s="7" t="str">
        <f>INDEX(Raw_Products!$B$2:$B$71,MATCH($F24,Raw_Products!$A$2:$A$71,0))</f>
        <v>Non Set</v>
      </c>
      <c r="H24" s="7" t="str">
        <f>INDEX(Raw_Products!$C$2:$C$71,MATCH($F24,Raw_Products!$A$2:$A$71,0))</f>
        <v>Plants</v>
      </c>
      <c r="I24" s="7">
        <f>VALUE(Raw_Orders!D24)</f>
        <v>3</v>
      </c>
      <c r="J24" s="11" t="str">
        <f>INDEX(Raw_Products!$D$2:$D$71,MATCH($F24,Raw_Products!$A$2:$A$71,0))</f>
        <v>672</v>
      </c>
      <c r="K24" s="11">
        <f t="shared" si="0"/>
        <v>2016</v>
      </c>
      <c r="L24" s="12">
        <f>DATE(VALUE(RIGHT(Raw_Orders!E24,4)),VALUE(MID(Raw_Orders!E24,4,2)),VALUE(LEFT(Raw_Orders!E24,2)))</f>
        <v>45051</v>
      </c>
      <c r="M24" s="12">
        <f>DATE(VALUE(RIGHT(Raw_Orders!G24,4)),VALUE(MID(Raw_Orders!G24,4,2)),VALUE(LEFT(Raw_Orders!G24,2)))</f>
        <v>45052</v>
      </c>
      <c r="N24" s="7">
        <f t="shared" si="1"/>
        <v>1</v>
      </c>
      <c r="O24" s="7" t="str">
        <f>Raw_Orders!J24</f>
        <v>Anniversary</v>
      </c>
      <c r="P24" s="7" t="str">
        <f>Raw_Orders!I24</f>
        <v>Ludhiana</v>
      </c>
    </row>
    <row r="25" spans="1:16">
      <c r="A25" s="7" t="str">
        <f>Raw_Orders!A25</f>
        <v>24</v>
      </c>
      <c r="B25" s="7" t="str">
        <f>Raw_Orders!B25</f>
        <v>C018</v>
      </c>
      <c r="C25" s="7" t="str">
        <f>INDEX(Raw_Customers!$B$2:$B$101,MATCH($B25,Raw_Customers!$A$2:$A$101,0))</f>
        <v>Eva Vaidya</v>
      </c>
      <c r="D25" s="7" t="str">
        <f>TRIM(INDEX(Raw_Customers!$C$2:$C$101,MATCH($B25,Raw_Customers!$A$2:$A$101,0)))</f>
        <v>Nizamabad</v>
      </c>
      <c r="E25" s="7" t="str">
        <f>"+91-"&amp;RIGHT("0000000000"&amp;INDEX(Raw_Customers!$D$2:$D$101,MATCH($B25,Raw_Customers!$A$2:$A$101,0)),10)</f>
        <v>+91-9080029661</v>
      </c>
      <c r="F25" s="7" t="str">
        <f>Raw_Orders!C25</f>
        <v>42</v>
      </c>
      <c r="G25" s="7" t="str">
        <f>INDEX(Raw_Products!$B$2:$B$71,MATCH($F25,Raw_Products!$A$2:$A$71,0))</f>
        <v>Expedita Gift</v>
      </c>
      <c r="H25" s="7" t="str">
        <f>INDEX(Raw_Products!$C$2:$C$71,MATCH($F25,Raw_Products!$A$2:$A$71,0))</f>
        <v>Sweets</v>
      </c>
      <c r="I25" s="7">
        <f>VALUE(Raw_Orders!D25)</f>
        <v>3</v>
      </c>
      <c r="J25" s="11" t="str">
        <f>INDEX(Raw_Products!$D$2:$D$71,MATCH($F25,Raw_Products!$A$2:$A$71,0))</f>
        <v>1744</v>
      </c>
      <c r="K25" s="11">
        <f t="shared" si="0"/>
        <v>5232</v>
      </c>
      <c r="L25" s="12">
        <f>DATE(VALUE(RIGHT(Raw_Orders!E25,4)),VALUE(MID(Raw_Orders!E25,4,2)),VALUE(LEFT(Raw_Orders!E25,2)))</f>
        <v>45132</v>
      </c>
      <c r="M25" s="12">
        <f>DATE(VALUE(RIGHT(Raw_Orders!G25,4)),VALUE(MID(Raw_Orders!G25,4,2)),VALUE(LEFT(Raw_Orders!G25,2)))</f>
        <v>45141</v>
      </c>
      <c r="N25" s="7">
        <f t="shared" si="1"/>
        <v>9</v>
      </c>
      <c r="O25" s="7" t="str">
        <f>Raw_Orders!J25</f>
        <v>All Occasions</v>
      </c>
      <c r="P25" s="7" t="str">
        <f>Raw_Orders!I25</f>
        <v>Durg</v>
      </c>
    </row>
    <row r="26" spans="1:16">
      <c r="A26" s="7" t="str">
        <f>Raw_Orders!A26</f>
        <v>25</v>
      </c>
      <c r="B26" s="7" t="str">
        <f>Raw_Orders!B26</f>
        <v>C091</v>
      </c>
      <c r="C26" s="7" t="str">
        <f>INDEX(Raw_Customers!$B$2:$B$101,MATCH($B26,Raw_Customers!$A$2:$A$101,0))</f>
        <v>Adira Rajan</v>
      </c>
      <c r="D26" s="7" t="str">
        <f>TRIM(INDEX(Raw_Customers!$C$2:$C$101,MATCH($B26,Raw_Customers!$A$2:$A$101,0)))</f>
        <v>New Delhi</v>
      </c>
      <c r="E26" s="7" t="str">
        <f>"+91-"&amp;RIGHT("0000000000"&amp;INDEX(Raw_Customers!$D$2:$D$101,MATCH($B26,Raw_Customers!$A$2:$A$101,0)),10)</f>
        <v>+91-5525478357</v>
      </c>
      <c r="F26" s="7" t="str">
        <f>Raw_Orders!C26</f>
        <v>30</v>
      </c>
      <c r="G26" s="7" t="str">
        <f>INDEX(Raw_Products!$B$2:$B$71,MATCH($F26,Raw_Products!$A$2:$A$71,0))</f>
        <v>Recusandae Pack</v>
      </c>
      <c r="H26" s="7" t="str">
        <f>INDEX(Raw_Products!$C$2:$C$71,MATCH($F26,Raw_Products!$A$2:$A$71,0))</f>
        <v>Colors</v>
      </c>
      <c r="I26" s="7">
        <f>VALUE(Raw_Orders!D26)</f>
        <v>3</v>
      </c>
      <c r="J26" s="11" t="str">
        <f>INDEX(Raw_Products!$D$2:$D$71,MATCH($F26,Raw_Products!$A$2:$A$71,0))</f>
        <v>751</v>
      </c>
      <c r="K26" s="11">
        <f t="shared" si="0"/>
        <v>2253</v>
      </c>
      <c r="L26" s="12">
        <f>DATE(VALUE(RIGHT(Raw_Orders!E26,4)),VALUE(MID(Raw_Orders!E26,4,2)),VALUE(LEFT(Raw_Orders!E26,2)))</f>
        <v>45128</v>
      </c>
      <c r="M26" s="12">
        <f>DATE(VALUE(RIGHT(Raw_Orders!G26,4)),VALUE(MID(Raw_Orders!G26,4,2)),VALUE(LEFT(Raw_Orders!G26,2)))</f>
        <v>45131</v>
      </c>
      <c r="N26" s="7">
        <f t="shared" si="1"/>
        <v>3</v>
      </c>
      <c r="O26" s="7" t="str">
        <f>Raw_Orders!J26</f>
        <v>Anniversary</v>
      </c>
      <c r="P26" s="7" t="str">
        <f>Raw_Orders!I26</f>
        <v>Panipat</v>
      </c>
    </row>
    <row r="27" spans="1:16">
      <c r="A27" s="7" t="str">
        <f>Raw_Orders!A27</f>
        <v>26</v>
      </c>
      <c r="B27" s="7" t="str">
        <f>Raw_Orders!B27</f>
        <v>C040</v>
      </c>
      <c r="C27" s="7" t="str">
        <f>INDEX(Raw_Customers!$B$2:$B$101,MATCH($B27,Raw_Customers!$A$2:$A$101,0))</f>
        <v>Hazel Mangat</v>
      </c>
      <c r="D27" s="7" t="str">
        <f>TRIM(INDEX(Raw_Customers!$C$2:$C$101,MATCH($B27,Raw_Customers!$A$2:$A$101,0)))</f>
        <v>Pallavaram</v>
      </c>
      <c r="E27" s="7" t="str">
        <f>"+91-"&amp;RIGHT("0000000000"&amp;INDEX(Raw_Customers!$D$2:$D$101,MATCH($B27,Raw_Customers!$A$2:$A$101,0)),10)</f>
        <v>+91-8810621361</v>
      </c>
      <c r="F27" s="7" t="str">
        <f>Raw_Orders!C27</f>
        <v>6</v>
      </c>
      <c r="G27" s="7" t="str">
        <f>INDEX(Raw_Products!$B$2:$B$71,MATCH($F27,Raw_Products!$A$2:$A$71,0))</f>
        <v>Quos Box</v>
      </c>
      <c r="H27" s="7" t="str">
        <f>INDEX(Raw_Products!$C$2:$C$71,MATCH($F27,Raw_Products!$A$2:$A$71,0))</f>
        <v>Cake</v>
      </c>
      <c r="I27" s="7">
        <f>VALUE(Raw_Orders!D27)</f>
        <v>3</v>
      </c>
      <c r="J27" s="11" t="str">
        <f>INDEX(Raw_Products!$D$2:$D$71,MATCH($F27,Raw_Products!$A$2:$A$71,0))</f>
        <v>1112</v>
      </c>
      <c r="K27" s="11">
        <f t="shared" si="0"/>
        <v>3336</v>
      </c>
      <c r="L27" s="12">
        <f>DATE(VALUE(RIGHT(Raw_Orders!E27,4)),VALUE(MID(Raw_Orders!E27,4,2)),VALUE(LEFT(Raw_Orders!E27,2)))</f>
        <v>44991</v>
      </c>
      <c r="M27" s="12">
        <f>DATE(VALUE(RIGHT(Raw_Orders!G27,4)),VALUE(MID(Raw_Orders!G27,4,2)),VALUE(LEFT(Raw_Orders!G27,2)))</f>
        <v>44997</v>
      </c>
      <c r="N27" s="7">
        <f t="shared" si="1"/>
        <v>6</v>
      </c>
      <c r="O27" s="7" t="str">
        <f>Raw_Orders!J27</f>
        <v>Holi</v>
      </c>
      <c r="P27" s="7" t="str">
        <f>Raw_Orders!I27</f>
        <v>Amroha</v>
      </c>
    </row>
    <row r="28" spans="1:16">
      <c r="A28" s="7" t="str">
        <f>Raw_Orders!A28</f>
        <v>27</v>
      </c>
      <c r="B28" s="7" t="str">
        <f>Raw_Orders!B28</f>
        <v>C063</v>
      </c>
      <c r="C28" s="7" t="str">
        <f>INDEX(Raw_Customers!$B$2:$B$101,MATCH($B28,Raw_Customers!$A$2:$A$101,0))</f>
        <v>Arhaan Ahluwalia</v>
      </c>
      <c r="D28" s="7" t="str">
        <f>TRIM(INDEX(Raw_Customers!$C$2:$C$101,MATCH($B28,Raw_Customers!$A$2:$A$101,0)))</f>
        <v>Jamnagar</v>
      </c>
      <c r="E28" s="7" t="str">
        <f>"+91-"&amp;RIGHT("0000000000"&amp;INDEX(Raw_Customers!$D$2:$D$101,MATCH($B28,Raw_Customers!$A$2:$A$101,0)),10)</f>
        <v>+91-5287021467</v>
      </c>
      <c r="F28" s="7" t="str">
        <f>Raw_Orders!C28</f>
        <v>9</v>
      </c>
      <c r="G28" s="7" t="str">
        <f>INDEX(Raw_Products!$B$2:$B$71,MATCH($F28,Raw_Products!$A$2:$A$71,0))</f>
        <v>Aperiam Box</v>
      </c>
      <c r="H28" s="7" t="str">
        <f>INDEX(Raw_Products!$C$2:$C$71,MATCH($F28,Raw_Products!$A$2:$A$71,0))</f>
        <v>Colors</v>
      </c>
      <c r="I28" s="7">
        <f>VALUE(Raw_Orders!D28)</f>
        <v>2</v>
      </c>
      <c r="J28" s="11" t="str">
        <f>INDEX(Raw_Products!$D$2:$D$71,MATCH($F28,Raw_Products!$A$2:$A$71,0))</f>
        <v>1605</v>
      </c>
      <c r="K28" s="11">
        <f t="shared" si="0"/>
        <v>3210</v>
      </c>
      <c r="L28" s="12">
        <f>DATE(VALUE(RIGHT(Raw_Orders!E28,4)),VALUE(MID(Raw_Orders!E28,4,2)),VALUE(LEFT(Raw_Orders!E28,2)))</f>
        <v>45160</v>
      </c>
      <c r="M28" s="12">
        <f>DATE(VALUE(RIGHT(Raw_Orders!G28,4)),VALUE(MID(Raw_Orders!G28,4,2)),VALUE(LEFT(Raw_Orders!G28,2)))</f>
        <v>45168</v>
      </c>
      <c r="N28" s="7">
        <f t="shared" si="1"/>
        <v>8</v>
      </c>
      <c r="O28" s="7" t="str">
        <f>Raw_Orders!J28</f>
        <v>Raksha Bandhan</v>
      </c>
      <c r="P28" s="7" t="str">
        <f>Raw_Orders!I28</f>
        <v>Raipur</v>
      </c>
    </row>
    <row r="29" spans="1:16">
      <c r="A29" s="7" t="str">
        <f>Raw_Orders!A29</f>
        <v>28</v>
      </c>
      <c r="B29" s="7" t="str">
        <f>Raw_Orders!B29</f>
        <v>C088</v>
      </c>
      <c r="C29" s="7" t="str">
        <f>INDEX(Raw_Customers!$B$2:$B$101,MATCH($B29,Raw_Customers!$A$2:$A$101,0))</f>
        <v>Shalv Kulkarni</v>
      </c>
      <c r="D29" s="7" t="str">
        <f>TRIM(INDEX(Raw_Customers!$C$2:$C$101,MATCH($B29,Raw_Customers!$A$2:$A$101,0)))</f>
        <v>Khora</v>
      </c>
      <c r="E29" s="7" t="str">
        <f>"+91-"&amp;RIGHT("0000000000"&amp;INDEX(Raw_Customers!$D$2:$D$101,MATCH($B29,Raw_Customers!$A$2:$A$101,0)),10)</f>
        <v>+91-9113488461</v>
      </c>
      <c r="F29" s="7" t="str">
        <f>Raw_Orders!C29</f>
        <v>42</v>
      </c>
      <c r="G29" s="7" t="str">
        <f>INDEX(Raw_Products!$B$2:$B$71,MATCH($F29,Raw_Products!$A$2:$A$71,0))</f>
        <v>Expedita Gift</v>
      </c>
      <c r="H29" s="7" t="str">
        <f>INDEX(Raw_Products!$C$2:$C$71,MATCH($F29,Raw_Products!$A$2:$A$71,0))</f>
        <v>Sweets</v>
      </c>
      <c r="I29" s="7">
        <f>VALUE(Raw_Orders!D29)</f>
        <v>3</v>
      </c>
      <c r="J29" s="11" t="str">
        <f>INDEX(Raw_Products!$D$2:$D$71,MATCH($F29,Raw_Products!$A$2:$A$71,0))</f>
        <v>1744</v>
      </c>
      <c r="K29" s="11">
        <f t="shared" si="0"/>
        <v>5232</v>
      </c>
      <c r="L29" s="12">
        <f>DATE(VALUE(RIGHT(Raw_Orders!E29,4)),VALUE(MID(Raw_Orders!E29,4,2)),VALUE(LEFT(Raw_Orders!E29,2)))</f>
        <v>45051</v>
      </c>
      <c r="M29" s="12">
        <f>DATE(VALUE(RIGHT(Raw_Orders!G29,4)),VALUE(MID(Raw_Orders!G29,4,2)),VALUE(LEFT(Raw_Orders!G29,2)))</f>
        <v>45056</v>
      </c>
      <c r="N29" s="7">
        <f t="shared" si="1"/>
        <v>5</v>
      </c>
      <c r="O29" s="7" t="str">
        <f>Raw_Orders!J29</f>
        <v>All Occasions</v>
      </c>
      <c r="P29" s="7" t="str">
        <f>Raw_Orders!I29</f>
        <v>Guwahati</v>
      </c>
    </row>
    <row r="30" spans="1:16">
      <c r="A30" s="7" t="str">
        <f>Raw_Orders!A30</f>
        <v>29</v>
      </c>
      <c r="B30" s="7" t="str">
        <f>Raw_Orders!B30</f>
        <v>C064</v>
      </c>
      <c r="C30" s="7" t="str">
        <f>INDEX(Raw_Customers!$B$2:$B$101,MATCH($B30,Raw_Customers!$A$2:$A$101,0))</f>
        <v>Indrajit Kale</v>
      </c>
      <c r="D30" s="7" t="str">
        <f>TRIM(INDEX(Raw_Customers!$C$2:$C$101,MATCH($B30,Raw_Customers!$A$2:$A$101,0)))</f>
        <v>Srikakulam</v>
      </c>
      <c r="E30" s="7" t="str">
        <f>"+91-"&amp;RIGHT("0000000000"&amp;INDEX(Raw_Customers!$D$2:$D$101,MATCH($B30,Raw_Customers!$A$2:$A$101,0)),10)</f>
        <v>+91-6181058210</v>
      </c>
      <c r="F30" s="7" t="str">
        <f>Raw_Orders!C30</f>
        <v>10</v>
      </c>
      <c r="G30" s="7" t="str">
        <f>INDEX(Raw_Products!$B$2:$B$71,MATCH($F30,Raw_Products!$A$2:$A$71,0))</f>
        <v>Accusantium Gift</v>
      </c>
      <c r="H30" s="7" t="str">
        <f>INDEX(Raw_Products!$C$2:$C$71,MATCH($F30,Raw_Products!$A$2:$A$71,0))</f>
        <v>Cake</v>
      </c>
      <c r="I30" s="7">
        <f>VALUE(Raw_Orders!D30)</f>
        <v>5</v>
      </c>
      <c r="J30" s="11" t="str">
        <f>INDEX(Raw_Products!$D$2:$D$71,MATCH($F30,Raw_Products!$A$2:$A$71,0))</f>
        <v>259</v>
      </c>
      <c r="K30" s="11">
        <f t="shared" si="0"/>
        <v>1295</v>
      </c>
      <c r="L30" s="12">
        <f>DATE(VALUE(RIGHT(Raw_Orders!E30,4)),VALUE(MID(Raw_Orders!E30,4,2)),VALUE(LEFT(Raw_Orders!E30,2)))</f>
        <v>45191</v>
      </c>
      <c r="M30" s="12">
        <f>DATE(VALUE(RIGHT(Raw_Orders!G30,4)),VALUE(MID(Raw_Orders!G30,4,2)),VALUE(LEFT(Raw_Orders!G30,2)))</f>
        <v>45200</v>
      </c>
      <c r="N30" s="7">
        <f t="shared" si="1"/>
        <v>9</v>
      </c>
      <c r="O30" s="7" t="str">
        <f>Raw_Orders!J30</f>
        <v>Birthday</v>
      </c>
      <c r="P30" s="7" t="str">
        <f>Raw_Orders!I30</f>
        <v>Kollam</v>
      </c>
    </row>
    <row r="31" spans="1:16">
      <c r="A31" s="7" t="str">
        <f>Raw_Orders!A31</f>
        <v>30</v>
      </c>
      <c r="B31" s="7" t="str">
        <f>Raw_Orders!B31</f>
        <v>C044</v>
      </c>
      <c r="C31" s="7" t="str">
        <f>INDEX(Raw_Customers!$B$2:$B$101,MATCH($B31,Raw_Customers!$A$2:$A$101,0))</f>
        <v>Seher Mann</v>
      </c>
      <c r="D31" s="7" t="str">
        <f>TRIM(INDEX(Raw_Customers!$C$2:$C$101,MATCH($B31,Raw_Customers!$A$2:$A$101,0)))</f>
        <v>Agra</v>
      </c>
      <c r="E31" s="7" t="str">
        <f>"+91-"&amp;RIGHT("0000000000"&amp;INDEX(Raw_Customers!$D$2:$D$101,MATCH($B31,Raw_Customers!$A$2:$A$101,0)),10)</f>
        <v>+91-9843970658</v>
      </c>
      <c r="F31" s="7" t="str">
        <f>Raw_Orders!C31</f>
        <v>23</v>
      </c>
      <c r="G31" s="7" t="str">
        <f>INDEX(Raw_Products!$B$2:$B$71,MATCH($F31,Raw_Products!$A$2:$A$71,0))</f>
        <v>Dignissimos Pack</v>
      </c>
      <c r="H31" s="7" t="str">
        <f>INDEX(Raw_Products!$C$2:$C$71,MATCH($F31,Raw_Products!$A$2:$A$71,0))</f>
        <v>Sweets</v>
      </c>
      <c r="I31" s="7">
        <f>VALUE(Raw_Orders!D31)</f>
        <v>4</v>
      </c>
      <c r="J31" s="11" t="str">
        <f>INDEX(Raw_Products!$D$2:$D$71,MATCH($F31,Raw_Products!$A$2:$A$71,0))</f>
        <v>1098</v>
      </c>
      <c r="K31" s="11">
        <f t="shared" si="0"/>
        <v>4392</v>
      </c>
      <c r="L31" s="12">
        <f>DATE(VALUE(RIGHT(Raw_Orders!E31,4)),VALUE(MID(Raw_Orders!E31,4,2)),VALUE(LEFT(Raw_Orders!E31,2)))</f>
        <v>44939</v>
      </c>
      <c r="M31" s="12">
        <f>DATE(VALUE(RIGHT(Raw_Orders!G31,4)),VALUE(MID(Raw_Orders!G31,4,2)),VALUE(LEFT(Raw_Orders!G31,2)))</f>
        <v>44941</v>
      </c>
      <c r="N31" s="7">
        <f t="shared" si="1"/>
        <v>2</v>
      </c>
      <c r="O31" s="7" t="str">
        <f>Raw_Orders!J31</f>
        <v>Anniversary</v>
      </c>
      <c r="P31" s="7" t="str">
        <f>Raw_Orders!I31</f>
        <v>Bulandshahr</v>
      </c>
    </row>
    <row r="32" spans="1:16">
      <c r="A32" s="7" t="str">
        <f>Raw_Orders!A32</f>
        <v>31</v>
      </c>
      <c r="B32" s="7" t="str">
        <f>Raw_Orders!B32</f>
        <v>C029</v>
      </c>
      <c r="C32" s="7" t="str">
        <f>INDEX(Raw_Customers!$B$2:$B$101,MATCH($B32,Raw_Customers!$A$2:$A$101,0))</f>
        <v>Badal Sathe</v>
      </c>
      <c r="D32" s="7" t="str">
        <f>TRIM(INDEX(Raw_Customers!$C$2:$C$101,MATCH($B32,Raw_Customers!$A$2:$A$101,0)))</f>
        <v>Haridwar</v>
      </c>
      <c r="E32" s="7" t="str">
        <f>"+91-"&amp;RIGHT("0000000000"&amp;INDEX(Raw_Customers!$D$2:$D$101,MATCH($B32,Raw_Customers!$A$2:$A$101,0)),10)</f>
        <v>+91-2454360885</v>
      </c>
      <c r="F32" s="7" t="str">
        <f>Raw_Orders!C32</f>
        <v>7</v>
      </c>
      <c r="G32" s="7" t="str">
        <f>INDEX(Raw_Products!$B$2:$B$71,MATCH($F32,Raw_Products!$A$2:$A$71,0))</f>
        <v>Quos Set</v>
      </c>
      <c r="H32" s="7" t="str">
        <f>INDEX(Raw_Products!$C$2:$C$71,MATCH($F32,Raw_Products!$A$2:$A$71,0))</f>
        <v>Soft Toys</v>
      </c>
      <c r="I32" s="7">
        <f>VALUE(Raw_Orders!D32)</f>
        <v>5</v>
      </c>
      <c r="J32" s="11" t="str">
        <f>INDEX(Raw_Products!$D$2:$D$71,MATCH($F32,Raw_Products!$A$2:$A$71,0))</f>
        <v>409</v>
      </c>
      <c r="K32" s="11">
        <f t="shared" si="0"/>
        <v>2045</v>
      </c>
      <c r="L32" s="12">
        <f>DATE(VALUE(RIGHT(Raw_Orders!E32,4)),VALUE(MID(Raw_Orders!E32,4,2)),VALUE(LEFT(Raw_Orders!E32,2)))</f>
        <v>44985</v>
      </c>
      <c r="M32" s="12">
        <f>DATE(VALUE(RIGHT(Raw_Orders!G32,4)),VALUE(MID(Raw_Orders!G32,4,2)),VALUE(LEFT(Raw_Orders!G32,2)))</f>
        <v>44988</v>
      </c>
      <c r="N32" s="7">
        <f t="shared" si="1"/>
        <v>3</v>
      </c>
      <c r="O32" s="7" t="str">
        <f>Raw_Orders!J32</f>
        <v>Holi</v>
      </c>
      <c r="P32" s="7" t="str">
        <f>Raw_Orders!I32</f>
        <v>Nandyal</v>
      </c>
    </row>
    <row r="33" spans="1:16">
      <c r="A33" s="7" t="str">
        <f>Raw_Orders!A33</f>
        <v>32</v>
      </c>
      <c r="B33" s="7" t="str">
        <f>Raw_Orders!B33</f>
        <v>C065</v>
      </c>
      <c r="C33" s="7" t="str">
        <f>INDEX(Raw_Customers!$B$2:$B$101,MATCH($B33,Raw_Customers!$A$2:$A$101,0))</f>
        <v>Badal Vora</v>
      </c>
      <c r="D33" s="7" t="str">
        <f>TRIM(INDEX(Raw_Customers!$C$2:$C$101,MATCH($B33,Raw_Customers!$A$2:$A$101,0)))</f>
        <v>North Dumdum</v>
      </c>
      <c r="E33" s="7" t="str">
        <f>"+91-"&amp;RIGHT("0000000000"&amp;INDEX(Raw_Customers!$D$2:$D$101,MATCH($B33,Raw_Customers!$A$2:$A$101,0)),10)</f>
        <v>+91-9753056313</v>
      </c>
      <c r="F33" s="7" t="str">
        <f>Raw_Orders!C33</f>
        <v>7</v>
      </c>
      <c r="G33" s="7" t="str">
        <f>INDEX(Raw_Products!$B$2:$B$71,MATCH($F33,Raw_Products!$A$2:$A$71,0))</f>
        <v>Quos Set</v>
      </c>
      <c r="H33" s="7" t="str">
        <f>INDEX(Raw_Products!$C$2:$C$71,MATCH($F33,Raw_Products!$A$2:$A$71,0))</f>
        <v>Soft Toys</v>
      </c>
      <c r="I33" s="7">
        <f>VALUE(Raw_Orders!D33)</f>
        <v>5</v>
      </c>
      <c r="J33" s="11" t="str">
        <f>INDEX(Raw_Products!$D$2:$D$71,MATCH($F33,Raw_Products!$A$2:$A$71,0))</f>
        <v>409</v>
      </c>
      <c r="K33" s="11">
        <f t="shared" si="0"/>
        <v>2045</v>
      </c>
      <c r="L33" s="12">
        <f>DATE(VALUE(RIGHT(Raw_Orders!E33,4)),VALUE(MID(Raw_Orders!E33,4,2)),VALUE(LEFT(Raw_Orders!E33,2)))</f>
        <v>44989</v>
      </c>
      <c r="M33" s="12">
        <f>DATE(VALUE(RIGHT(Raw_Orders!G33,4)),VALUE(MID(Raw_Orders!G33,4,2)),VALUE(LEFT(Raw_Orders!G33,2)))</f>
        <v>44990</v>
      </c>
      <c r="N33" s="7">
        <f t="shared" si="1"/>
        <v>1</v>
      </c>
      <c r="O33" s="7" t="str">
        <f>Raw_Orders!J33</f>
        <v>Holi</v>
      </c>
      <c r="P33" s="7" t="str">
        <f>Raw_Orders!I33</f>
        <v>Pudukkottai</v>
      </c>
    </row>
    <row r="34" spans="1:16">
      <c r="A34" s="7" t="str">
        <f>Raw_Orders!A34</f>
        <v>33</v>
      </c>
      <c r="B34" s="7" t="str">
        <f>Raw_Orders!B34</f>
        <v>C047</v>
      </c>
      <c r="C34" s="7" t="str">
        <f>INDEX(Raw_Customers!$B$2:$B$101,MATCH($B34,Raw_Customers!$A$2:$A$101,0))</f>
        <v>Bhamini Ravi</v>
      </c>
      <c r="D34" s="7" t="str">
        <f>TRIM(INDEX(Raw_Customers!$C$2:$C$101,MATCH($B34,Raw_Customers!$A$2:$A$101,0)))</f>
        <v>Jorhat</v>
      </c>
      <c r="E34" s="7" t="str">
        <f>"+91-"&amp;RIGHT("0000000000"&amp;INDEX(Raw_Customers!$D$2:$D$101,MATCH($B34,Raw_Customers!$A$2:$A$101,0)),10)</f>
        <v>+91-0798274175</v>
      </c>
      <c r="F34" s="7" t="str">
        <f>Raw_Orders!C34</f>
        <v>8</v>
      </c>
      <c r="G34" s="7" t="str">
        <f>INDEX(Raw_Products!$B$2:$B$71,MATCH($F34,Raw_Products!$A$2:$A$71,0))</f>
        <v>Qui Box</v>
      </c>
      <c r="H34" s="7" t="str">
        <f>INDEX(Raw_Products!$C$2:$C$71,MATCH($F34,Raw_Products!$A$2:$A$71,0))</f>
        <v>Sweets</v>
      </c>
      <c r="I34" s="7">
        <f>VALUE(Raw_Orders!D34)</f>
        <v>3</v>
      </c>
      <c r="J34" s="11" t="str">
        <f>INDEX(Raw_Products!$D$2:$D$71,MATCH($F34,Raw_Products!$A$2:$A$71,0))</f>
        <v>252</v>
      </c>
      <c r="K34" s="11">
        <f t="shared" si="0"/>
        <v>756</v>
      </c>
      <c r="L34" s="12">
        <f>DATE(VALUE(RIGHT(Raw_Orders!E34,4)),VALUE(MID(Raw_Orders!E34,4,2)),VALUE(LEFT(Raw_Orders!E34,2)))</f>
        <v>45031</v>
      </c>
      <c r="M34" s="12">
        <f>DATE(VALUE(RIGHT(Raw_Orders!G34,4)),VALUE(MID(Raw_Orders!G34,4,2)),VALUE(LEFT(Raw_Orders!G34,2)))</f>
        <v>45041</v>
      </c>
      <c r="N34" s="7">
        <f t="shared" si="1"/>
        <v>10</v>
      </c>
      <c r="O34" s="7" t="str">
        <f>Raw_Orders!J34</f>
        <v>Anniversary</v>
      </c>
      <c r="P34" s="7" t="str">
        <f>Raw_Orders!I34</f>
        <v>Amroha</v>
      </c>
    </row>
    <row r="35" spans="1:16">
      <c r="A35" s="7" t="str">
        <f>Raw_Orders!A35</f>
        <v>34</v>
      </c>
      <c r="B35" s="7" t="str">
        <f>Raw_Orders!B35</f>
        <v>C071</v>
      </c>
      <c r="C35" s="7" t="str">
        <f>INDEX(Raw_Customers!$B$2:$B$101,MATCH($B35,Raw_Customers!$A$2:$A$101,0))</f>
        <v>Purab Sheth</v>
      </c>
      <c r="D35" s="7" t="str">
        <f>TRIM(INDEX(Raw_Customers!$C$2:$C$101,MATCH($B35,Raw_Customers!$A$2:$A$101,0)))</f>
        <v>Tiruppur</v>
      </c>
      <c r="E35" s="7" t="str">
        <f>"+91-"&amp;RIGHT("0000000000"&amp;INDEX(Raw_Customers!$D$2:$D$101,MATCH($B35,Raw_Customers!$A$2:$A$101,0)),10)</f>
        <v>+91-8410472405</v>
      </c>
      <c r="F35" s="7" t="str">
        <f>Raw_Orders!C35</f>
        <v>17</v>
      </c>
      <c r="G35" s="7" t="str">
        <f>INDEX(Raw_Products!$B$2:$B$71,MATCH($F35,Raw_Products!$A$2:$A$71,0))</f>
        <v>Delectus Gift</v>
      </c>
      <c r="H35" s="7" t="str">
        <f>INDEX(Raw_Products!$C$2:$C$71,MATCH($F35,Raw_Products!$A$2:$A$71,0))</f>
        <v>Soft Toys</v>
      </c>
      <c r="I35" s="7">
        <f>VALUE(Raw_Orders!D35)</f>
        <v>2</v>
      </c>
      <c r="J35" s="11" t="str">
        <f>INDEX(Raw_Products!$D$2:$D$71,MATCH($F35,Raw_Products!$A$2:$A$71,0))</f>
        <v>1899</v>
      </c>
      <c r="K35" s="11">
        <f t="shared" si="0"/>
        <v>3798</v>
      </c>
      <c r="L35" s="12">
        <f>DATE(VALUE(RIGHT(Raw_Orders!E35,4)),VALUE(MID(Raw_Orders!E35,4,2)),VALUE(LEFT(Raw_Orders!E35,2)))</f>
        <v>45200</v>
      </c>
      <c r="M35" s="12">
        <f>DATE(VALUE(RIGHT(Raw_Orders!G35,4)),VALUE(MID(Raw_Orders!G35,4,2)),VALUE(LEFT(Raw_Orders!G35,2)))</f>
        <v>45204</v>
      </c>
      <c r="N35" s="7">
        <f t="shared" si="1"/>
        <v>4</v>
      </c>
      <c r="O35" s="7" t="str">
        <f>Raw_Orders!J35</f>
        <v>Anniversary</v>
      </c>
      <c r="P35" s="7" t="str">
        <f>Raw_Orders!I35</f>
        <v>Tirupati</v>
      </c>
    </row>
    <row r="36" spans="1:16">
      <c r="A36" s="7" t="str">
        <f>Raw_Orders!A36</f>
        <v>35</v>
      </c>
      <c r="B36" s="7" t="str">
        <f>Raw_Orders!B36</f>
        <v>C055</v>
      </c>
      <c r="C36" s="7" t="str">
        <f>INDEX(Raw_Customers!$B$2:$B$101,MATCH($B36,Raw_Customers!$A$2:$A$101,0))</f>
        <v>Umang Luthra</v>
      </c>
      <c r="D36" s="7" t="str">
        <f>TRIM(INDEX(Raw_Customers!$C$2:$C$101,MATCH($B36,Raw_Customers!$A$2:$A$101,0)))</f>
        <v>Imphal</v>
      </c>
      <c r="E36" s="7" t="str">
        <f>"+91-"&amp;RIGHT("0000000000"&amp;INDEX(Raw_Customers!$D$2:$D$101,MATCH($B36,Raw_Customers!$A$2:$A$101,0)),10)</f>
        <v>+91-2007986762</v>
      </c>
      <c r="F36" s="7" t="str">
        <f>Raw_Orders!C36</f>
        <v>7</v>
      </c>
      <c r="G36" s="7" t="str">
        <f>INDEX(Raw_Products!$B$2:$B$71,MATCH($F36,Raw_Products!$A$2:$A$71,0))</f>
        <v>Quos Set</v>
      </c>
      <c r="H36" s="7" t="str">
        <f>INDEX(Raw_Products!$C$2:$C$71,MATCH($F36,Raw_Products!$A$2:$A$71,0))</f>
        <v>Soft Toys</v>
      </c>
      <c r="I36" s="7">
        <f>VALUE(Raw_Orders!D36)</f>
        <v>5</v>
      </c>
      <c r="J36" s="11" t="str">
        <f>INDEX(Raw_Products!$D$2:$D$71,MATCH($F36,Raw_Products!$A$2:$A$71,0))</f>
        <v>409</v>
      </c>
      <c r="K36" s="11">
        <f t="shared" si="0"/>
        <v>2045</v>
      </c>
      <c r="L36" s="12">
        <f>DATE(VALUE(RIGHT(Raw_Orders!E36,4)),VALUE(MID(Raw_Orders!E36,4,2)),VALUE(LEFT(Raw_Orders!E36,2)))</f>
        <v>44987</v>
      </c>
      <c r="M36" s="12">
        <f>DATE(VALUE(RIGHT(Raw_Orders!G36,4)),VALUE(MID(Raw_Orders!G36,4,2)),VALUE(LEFT(Raw_Orders!G36,2)))</f>
        <v>44990</v>
      </c>
      <c r="N36" s="7">
        <f t="shared" si="1"/>
        <v>3</v>
      </c>
      <c r="O36" s="7" t="str">
        <f>Raw_Orders!J36</f>
        <v>Holi</v>
      </c>
      <c r="P36" s="7" t="str">
        <f>Raw_Orders!I36</f>
        <v>Asansol</v>
      </c>
    </row>
    <row r="37" spans="1:16">
      <c r="A37" s="7" t="str">
        <f>Raw_Orders!A37</f>
        <v>36</v>
      </c>
      <c r="B37" s="7" t="str">
        <f>Raw_Orders!B37</f>
        <v>C029</v>
      </c>
      <c r="C37" s="7" t="str">
        <f>INDEX(Raw_Customers!$B$2:$B$101,MATCH($B37,Raw_Customers!$A$2:$A$101,0))</f>
        <v>Badal Sathe</v>
      </c>
      <c r="D37" s="7" t="str">
        <f>TRIM(INDEX(Raw_Customers!$C$2:$C$101,MATCH($B37,Raw_Customers!$A$2:$A$101,0)))</f>
        <v>Haridwar</v>
      </c>
      <c r="E37" s="7" t="str">
        <f>"+91-"&amp;RIGHT("0000000000"&amp;INDEX(Raw_Customers!$D$2:$D$101,MATCH($B37,Raw_Customers!$A$2:$A$101,0)),10)</f>
        <v>+91-2454360885</v>
      </c>
      <c r="F37" s="7" t="str">
        <f>Raw_Orders!C37</f>
        <v>66</v>
      </c>
      <c r="G37" s="7" t="str">
        <f>INDEX(Raw_Products!$B$2:$B$71,MATCH($F37,Raw_Products!$A$2:$A$71,0))</f>
        <v>Quas Box</v>
      </c>
      <c r="H37" s="7" t="str">
        <f>INDEX(Raw_Products!$C$2:$C$71,MATCH($F37,Raw_Products!$A$2:$A$71,0))</f>
        <v>Colors</v>
      </c>
      <c r="I37" s="7">
        <f>VALUE(Raw_Orders!D37)</f>
        <v>1</v>
      </c>
      <c r="J37" s="11" t="str">
        <f>INDEX(Raw_Products!$D$2:$D$71,MATCH($F37,Raw_Products!$A$2:$A$71,0))</f>
        <v>610</v>
      </c>
      <c r="K37" s="11">
        <f t="shared" si="0"/>
        <v>610</v>
      </c>
      <c r="L37" s="12">
        <f>DATE(VALUE(RIGHT(Raw_Orders!E37,4)),VALUE(MID(Raw_Orders!E37,4,2)),VALUE(LEFT(Raw_Orders!E37,2)))</f>
        <v>44989</v>
      </c>
      <c r="M37" s="12">
        <f>DATE(VALUE(RIGHT(Raw_Orders!G37,4)),VALUE(MID(Raw_Orders!G37,4,2)),VALUE(LEFT(Raw_Orders!G37,2)))</f>
        <v>44999</v>
      </c>
      <c r="N37" s="7">
        <f t="shared" si="1"/>
        <v>10</v>
      </c>
      <c r="O37" s="7" t="str">
        <f>Raw_Orders!J37</f>
        <v>Holi</v>
      </c>
      <c r="P37" s="7" t="str">
        <f>Raw_Orders!I37</f>
        <v>New Delhi</v>
      </c>
    </row>
    <row r="38" spans="1:16">
      <c r="A38" s="7" t="str">
        <f>Raw_Orders!A38</f>
        <v>37</v>
      </c>
      <c r="B38" s="7" t="str">
        <f>Raw_Orders!B38</f>
        <v>C096</v>
      </c>
      <c r="C38" s="7" t="str">
        <f>INDEX(Raw_Customers!$B$2:$B$101,MATCH($B38,Raw_Customers!$A$2:$A$101,0))</f>
        <v>Kavya Reddy</v>
      </c>
      <c r="D38" s="7" t="str">
        <f>TRIM(INDEX(Raw_Customers!$C$2:$C$101,MATCH($B38,Raw_Customers!$A$2:$A$101,0)))</f>
        <v>Medininagar</v>
      </c>
      <c r="E38" s="7" t="str">
        <f>"+91-"&amp;RIGHT("0000000000"&amp;INDEX(Raw_Customers!$D$2:$D$101,MATCH($B38,Raw_Customers!$A$2:$A$101,0)),10)</f>
        <v>+91-8680724565</v>
      </c>
      <c r="F38" s="7" t="str">
        <f>Raw_Orders!C38</f>
        <v>19</v>
      </c>
      <c r="G38" s="7" t="str">
        <f>INDEX(Raw_Products!$B$2:$B$71,MATCH($F38,Raw_Products!$A$2:$A$71,0))</f>
        <v>Iure Gift</v>
      </c>
      <c r="H38" s="7" t="str">
        <f>INDEX(Raw_Products!$C$2:$C$71,MATCH($F38,Raw_Products!$A$2:$A$71,0))</f>
        <v>Mugs</v>
      </c>
      <c r="I38" s="7">
        <f>VALUE(Raw_Orders!D38)</f>
        <v>5</v>
      </c>
      <c r="J38" s="11" t="str">
        <f>INDEX(Raw_Products!$D$2:$D$71,MATCH($F38,Raw_Products!$A$2:$A$71,0))</f>
        <v>1234</v>
      </c>
      <c r="K38" s="11">
        <f t="shared" si="0"/>
        <v>6170</v>
      </c>
      <c r="L38" s="12">
        <f>DATE(VALUE(RIGHT(Raw_Orders!E38,4)),VALUE(MID(Raw_Orders!E38,4,2)),VALUE(LEFT(Raw_Orders!E38,2)))</f>
        <v>44967</v>
      </c>
      <c r="M38" s="12">
        <f>DATE(VALUE(RIGHT(Raw_Orders!G38,4)),VALUE(MID(Raw_Orders!G38,4,2)),VALUE(LEFT(Raw_Orders!G38,2)))</f>
        <v>44972</v>
      </c>
      <c r="N38" s="7">
        <f t="shared" si="1"/>
        <v>5</v>
      </c>
      <c r="O38" s="7" t="str">
        <f>Raw_Orders!J38</f>
        <v>Valentine's Day</v>
      </c>
      <c r="P38" s="7" t="str">
        <f>Raw_Orders!I38</f>
        <v>Katni</v>
      </c>
    </row>
    <row r="39" spans="1:16">
      <c r="A39" s="7" t="str">
        <f>Raw_Orders!A39</f>
        <v>38</v>
      </c>
      <c r="B39" s="7" t="str">
        <f>Raw_Orders!B39</f>
        <v>C067</v>
      </c>
      <c r="C39" s="7" t="str">
        <f>INDEX(Raw_Customers!$B$2:$B$101,MATCH($B39,Raw_Customers!$A$2:$A$101,0))</f>
        <v>Eva Sankaran</v>
      </c>
      <c r="D39" s="7" t="str">
        <f>TRIM(INDEX(Raw_Customers!$C$2:$C$101,MATCH($B39,Raw_Customers!$A$2:$A$101,0)))</f>
        <v>Anand</v>
      </c>
      <c r="E39" s="7" t="str">
        <f>"+91-"&amp;RIGHT("0000000000"&amp;INDEX(Raw_Customers!$D$2:$D$101,MATCH($B39,Raw_Customers!$A$2:$A$101,0)),10)</f>
        <v>+91-0407409251</v>
      </c>
      <c r="F39" s="7" t="str">
        <f>Raw_Orders!C39</f>
        <v>37</v>
      </c>
      <c r="G39" s="7" t="str">
        <f>INDEX(Raw_Products!$B$2:$B$71,MATCH($F39,Raw_Products!$A$2:$A$71,0))</f>
        <v>Officiis Pack</v>
      </c>
      <c r="H39" s="7" t="str">
        <f>INDEX(Raw_Products!$C$2:$C$71,MATCH($F39,Raw_Products!$A$2:$A$71,0))</f>
        <v>Colors</v>
      </c>
      <c r="I39" s="7">
        <f>VALUE(Raw_Orders!D39)</f>
        <v>3</v>
      </c>
      <c r="J39" s="11" t="str">
        <f>INDEX(Raw_Products!$D$2:$D$71,MATCH($F39,Raw_Products!$A$2:$A$71,0))</f>
        <v>1428</v>
      </c>
      <c r="K39" s="11">
        <f t="shared" si="0"/>
        <v>4284</v>
      </c>
      <c r="L39" s="12">
        <f>DATE(VALUE(RIGHT(Raw_Orders!E39,4)),VALUE(MID(Raw_Orders!E39,4,2)),VALUE(LEFT(Raw_Orders!E39,2)))</f>
        <v>45241</v>
      </c>
      <c r="M39" s="12">
        <f>DATE(VALUE(RIGHT(Raw_Orders!G39,4)),VALUE(MID(Raw_Orders!G39,4,2)),VALUE(LEFT(Raw_Orders!G39,2)))</f>
        <v>45244</v>
      </c>
      <c r="N39" s="7">
        <f t="shared" si="1"/>
        <v>3</v>
      </c>
      <c r="O39" s="7" t="str">
        <f>Raw_Orders!J39</f>
        <v>Diwali</v>
      </c>
      <c r="P39" s="7" t="str">
        <f>Raw_Orders!I39</f>
        <v>Indore</v>
      </c>
    </row>
    <row r="40" spans="1:16">
      <c r="A40" s="7" t="str">
        <f>Raw_Orders!A40</f>
        <v>39</v>
      </c>
      <c r="B40" s="7" t="str">
        <f>Raw_Orders!B40</f>
        <v>C054</v>
      </c>
      <c r="C40" s="7" t="str">
        <f>INDEX(Raw_Customers!$B$2:$B$101,MATCH($B40,Raw_Customers!$A$2:$A$101,0))</f>
        <v>Umang Ahuja</v>
      </c>
      <c r="D40" s="7" t="str">
        <f>TRIM(INDEX(Raw_Customers!$C$2:$C$101,MATCH($B40,Raw_Customers!$A$2:$A$101,0)))</f>
        <v>Bidhannagar</v>
      </c>
      <c r="E40" s="7" t="str">
        <f>"+91-"&amp;RIGHT("0000000000"&amp;INDEX(Raw_Customers!$D$2:$D$101,MATCH($B40,Raw_Customers!$A$2:$A$101,0)),10)</f>
        <v>+91-7271590783</v>
      </c>
      <c r="F40" s="7" t="str">
        <f>Raw_Orders!C40</f>
        <v>43</v>
      </c>
      <c r="G40" s="7" t="str">
        <f>INDEX(Raw_Products!$B$2:$B$71,MATCH($F40,Raw_Products!$A$2:$A$71,0))</f>
        <v>Quisquam Pack</v>
      </c>
      <c r="H40" s="7" t="str">
        <f>INDEX(Raw_Products!$C$2:$C$71,MATCH($F40,Raw_Products!$A$2:$A$71,0))</f>
        <v>Raksha Bandhan</v>
      </c>
      <c r="I40" s="7">
        <f>VALUE(Raw_Orders!D40)</f>
        <v>2</v>
      </c>
      <c r="J40" s="11" t="str">
        <f>INDEX(Raw_Products!$D$2:$D$71,MATCH($F40,Raw_Products!$A$2:$A$71,0))</f>
        <v>750</v>
      </c>
      <c r="K40" s="11">
        <f t="shared" si="0"/>
        <v>1500</v>
      </c>
      <c r="L40" s="12">
        <f>DATE(VALUE(RIGHT(Raw_Orders!E40,4)),VALUE(MID(Raw_Orders!E40,4,2)),VALUE(LEFT(Raw_Orders!E40,2)))</f>
        <v>45232</v>
      </c>
      <c r="M40" s="12">
        <f>DATE(VALUE(RIGHT(Raw_Orders!G40,4)),VALUE(MID(Raw_Orders!G40,4,2)),VALUE(LEFT(Raw_Orders!G40,2)))</f>
        <v>45234</v>
      </c>
      <c r="N40" s="7">
        <f t="shared" si="1"/>
        <v>2</v>
      </c>
      <c r="O40" s="7" t="str">
        <f>Raw_Orders!J40</f>
        <v>Diwali</v>
      </c>
      <c r="P40" s="7" t="str">
        <f>Raw_Orders!I40</f>
        <v>Vellore</v>
      </c>
    </row>
    <row r="41" spans="1:16">
      <c r="A41" s="7" t="str">
        <f>Raw_Orders!A41</f>
        <v>40</v>
      </c>
      <c r="B41" s="7" t="str">
        <f>Raw_Orders!B41</f>
        <v>C066</v>
      </c>
      <c r="C41" s="7" t="str">
        <f>INDEX(Raw_Customers!$B$2:$B$101,MATCH($B41,Raw_Customers!$A$2:$A$101,0))</f>
        <v>Eshani Buch</v>
      </c>
      <c r="D41" s="7" t="str">
        <f>TRIM(INDEX(Raw_Customers!$C$2:$C$101,MATCH($B41,Raw_Customers!$A$2:$A$101,0)))</f>
        <v>Malegaon</v>
      </c>
      <c r="E41" s="7" t="str">
        <f>"+91-"&amp;RIGHT("0000000000"&amp;INDEX(Raw_Customers!$D$2:$D$101,MATCH($B41,Raw_Customers!$A$2:$A$101,0)),10)</f>
        <v>+91-7436178055</v>
      </c>
      <c r="F41" s="7" t="str">
        <f>Raw_Orders!C41</f>
        <v>48</v>
      </c>
      <c r="G41" s="7" t="str">
        <f>INDEX(Raw_Products!$B$2:$B$71,MATCH($F41,Raw_Products!$A$2:$A$71,0))</f>
        <v>Maiores Gift</v>
      </c>
      <c r="H41" s="7" t="str">
        <f>INDEX(Raw_Products!$C$2:$C$71,MATCH($F41,Raw_Products!$A$2:$A$71,0))</f>
        <v>Colors</v>
      </c>
      <c r="I41" s="7">
        <f>VALUE(Raw_Orders!D41)</f>
        <v>4</v>
      </c>
      <c r="J41" s="11" t="str">
        <f>INDEX(Raw_Products!$D$2:$D$71,MATCH($F41,Raw_Products!$A$2:$A$71,0))</f>
        <v>433</v>
      </c>
      <c r="K41" s="11">
        <f t="shared" si="0"/>
        <v>1732</v>
      </c>
      <c r="L41" s="12">
        <f>DATE(VALUE(RIGHT(Raw_Orders!E41,4)),VALUE(MID(Raw_Orders!E41,4,2)),VALUE(LEFT(Raw_Orders!E41,2)))</f>
        <v>45232</v>
      </c>
      <c r="M41" s="12">
        <f>DATE(VALUE(RIGHT(Raw_Orders!G41,4)),VALUE(MID(Raw_Orders!G41,4,2)),VALUE(LEFT(Raw_Orders!G41,2)))</f>
        <v>45235</v>
      </c>
      <c r="N41" s="7">
        <f t="shared" si="1"/>
        <v>3</v>
      </c>
      <c r="O41" s="7" t="str">
        <f>Raw_Orders!J41</f>
        <v>Diwali</v>
      </c>
      <c r="P41" s="7" t="str">
        <f>Raw_Orders!I41</f>
        <v>Raiganj</v>
      </c>
    </row>
    <row r="42" spans="1:16">
      <c r="A42" s="7" t="str">
        <f>Raw_Orders!A42</f>
        <v>41</v>
      </c>
      <c r="B42" s="7" t="str">
        <f>Raw_Orders!B42</f>
        <v>C047</v>
      </c>
      <c r="C42" s="7" t="str">
        <f>INDEX(Raw_Customers!$B$2:$B$101,MATCH($B42,Raw_Customers!$A$2:$A$101,0))</f>
        <v>Bhamini Ravi</v>
      </c>
      <c r="D42" s="7" t="str">
        <f>TRIM(INDEX(Raw_Customers!$C$2:$C$101,MATCH($B42,Raw_Customers!$A$2:$A$101,0)))</f>
        <v>Jorhat</v>
      </c>
      <c r="E42" s="7" t="str">
        <f>"+91-"&amp;RIGHT("0000000000"&amp;INDEX(Raw_Customers!$D$2:$D$101,MATCH($B42,Raw_Customers!$A$2:$A$101,0)),10)</f>
        <v>+91-0798274175</v>
      </c>
      <c r="F42" s="7" t="str">
        <f>Raw_Orders!C42</f>
        <v>54</v>
      </c>
      <c r="G42" s="7" t="str">
        <f>INDEX(Raw_Products!$B$2:$B$71,MATCH($F42,Raw_Products!$A$2:$A$71,0))</f>
        <v>Occaecati Gift</v>
      </c>
      <c r="H42" s="7" t="str">
        <f>INDEX(Raw_Products!$C$2:$C$71,MATCH($F42,Raw_Products!$A$2:$A$71,0))</f>
        <v>Cake</v>
      </c>
      <c r="I42" s="7">
        <f>VALUE(Raw_Orders!D42)</f>
        <v>4</v>
      </c>
      <c r="J42" s="11" t="str">
        <f>INDEX(Raw_Products!$D$2:$D$71,MATCH($F42,Raw_Products!$A$2:$A$71,0))</f>
        <v>1236</v>
      </c>
      <c r="K42" s="11">
        <f t="shared" si="0"/>
        <v>4944</v>
      </c>
      <c r="L42" s="12">
        <f>DATE(VALUE(RIGHT(Raw_Orders!E42,4)),VALUE(MID(Raw_Orders!E42,4,2)),VALUE(LEFT(Raw_Orders!E42,2)))</f>
        <v>45085</v>
      </c>
      <c r="M42" s="12">
        <f>DATE(VALUE(RIGHT(Raw_Orders!G42,4)),VALUE(MID(Raw_Orders!G42,4,2)),VALUE(LEFT(Raw_Orders!G42,2)))</f>
        <v>45087</v>
      </c>
      <c r="N42" s="7">
        <f t="shared" si="1"/>
        <v>2</v>
      </c>
      <c r="O42" s="7" t="str">
        <f>Raw_Orders!J42</f>
        <v>Anniversary</v>
      </c>
      <c r="P42" s="7" t="str">
        <f>Raw_Orders!I42</f>
        <v>Saharsa</v>
      </c>
    </row>
    <row r="43" spans="1:16">
      <c r="A43" s="7" t="str">
        <f>Raw_Orders!A43</f>
        <v>42</v>
      </c>
      <c r="B43" s="7" t="str">
        <f>Raw_Orders!B43</f>
        <v>C080</v>
      </c>
      <c r="C43" s="7" t="str">
        <f>INDEX(Raw_Customers!$B$2:$B$101,MATCH($B43,Raw_Customers!$A$2:$A$101,0))</f>
        <v>Mohanlal Garde</v>
      </c>
      <c r="D43" s="7" t="str">
        <f>TRIM(INDEX(Raw_Customers!$C$2:$C$101,MATCH($B43,Raw_Customers!$A$2:$A$101,0)))</f>
        <v>Bhopal</v>
      </c>
      <c r="E43" s="7" t="str">
        <f>"+91-"&amp;RIGHT("0000000000"&amp;INDEX(Raw_Customers!$D$2:$D$101,MATCH($B43,Raw_Customers!$A$2:$A$101,0)),10)</f>
        <v>+91-8448890371</v>
      </c>
      <c r="F43" s="7" t="str">
        <f>Raw_Orders!C43</f>
        <v>35</v>
      </c>
      <c r="G43" s="7" t="str">
        <f>INDEX(Raw_Products!$B$2:$B$71,MATCH($F43,Raw_Products!$A$2:$A$71,0))</f>
        <v>Nam Gift</v>
      </c>
      <c r="H43" s="7" t="str">
        <f>INDEX(Raw_Products!$C$2:$C$71,MATCH($F43,Raw_Products!$A$2:$A$71,0))</f>
        <v>Colors</v>
      </c>
      <c r="I43" s="7">
        <f>VALUE(Raw_Orders!D43)</f>
        <v>1</v>
      </c>
      <c r="J43" s="11" t="str">
        <f>INDEX(Raw_Products!$D$2:$D$71,MATCH($F43,Raw_Products!$A$2:$A$71,0))</f>
        <v>1865</v>
      </c>
      <c r="K43" s="11">
        <f t="shared" si="0"/>
        <v>1865</v>
      </c>
      <c r="L43" s="12">
        <f>DATE(VALUE(RIGHT(Raw_Orders!E43,4)),VALUE(MID(Raw_Orders!E43,4,2)),VALUE(LEFT(Raw_Orders!E43,2)))</f>
        <v>44983</v>
      </c>
      <c r="M43" s="12">
        <f>DATE(VALUE(RIGHT(Raw_Orders!G43,4)),VALUE(MID(Raw_Orders!G43,4,2)),VALUE(LEFT(Raw_Orders!G43,2)))</f>
        <v>44992</v>
      </c>
      <c r="N43" s="7">
        <f t="shared" si="1"/>
        <v>9</v>
      </c>
      <c r="O43" s="7" t="str">
        <f>Raw_Orders!J43</f>
        <v>Holi</v>
      </c>
      <c r="P43" s="7" t="str">
        <f>Raw_Orders!I43</f>
        <v>Faridabad</v>
      </c>
    </row>
    <row r="44" spans="1:16">
      <c r="A44" s="7" t="str">
        <f>Raw_Orders!A44</f>
        <v>43</v>
      </c>
      <c r="B44" s="7" t="str">
        <f>Raw_Orders!B44</f>
        <v>C046</v>
      </c>
      <c r="C44" s="7" t="str">
        <f>INDEX(Raw_Customers!$B$2:$B$101,MATCH($B44,Raw_Customers!$A$2:$A$101,0))</f>
        <v>Tara Kannan</v>
      </c>
      <c r="D44" s="7" t="str">
        <f>TRIM(INDEX(Raw_Customers!$C$2:$C$101,MATCH($B44,Raw_Customers!$A$2:$A$101,0)))</f>
        <v>Guna</v>
      </c>
      <c r="E44" s="7" t="str">
        <f>"+91-"&amp;RIGHT("0000000000"&amp;INDEX(Raw_Customers!$D$2:$D$101,MATCH($B44,Raw_Customers!$A$2:$A$101,0)),10)</f>
        <v>+91-7543187237</v>
      </c>
      <c r="F44" s="7" t="str">
        <f>Raw_Orders!C44</f>
        <v>49</v>
      </c>
      <c r="G44" s="7" t="str">
        <f>INDEX(Raw_Products!$B$2:$B$71,MATCH($F44,Raw_Products!$A$2:$A$71,0))</f>
        <v>Voluptate Pack</v>
      </c>
      <c r="H44" s="7" t="str">
        <f>INDEX(Raw_Products!$C$2:$C$71,MATCH($F44,Raw_Products!$A$2:$A$71,0))</f>
        <v>Colors</v>
      </c>
      <c r="I44" s="7">
        <f>VALUE(Raw_Orders!D44)</f>
        <v>3</v>
      </c>
      <c r="J44" s="11" t="str">
        <f>INDEX(Raw_Products!$D$2:$D$71,MATCH($F44,Raw_Products!$A$2:$A$71,0))</f>
        <v>903</v>
      </c>
      <c r="K44" s="11">
        <f t="shared" si="0"/>
        <v>2709</v>
      </c>
      <c r="L44" s="12">
        <f>DATE(VALUE(RIGHT(Raw_Orders!E44,4)),VALUE(MID(Raw_Orders!E44,4,2)),VALUE(LEFT(Raw_Orders!E44,2)))</f>
        <v>44969</v>
      </c>
      <c r="M44" s="12">
        <f>DATE(VALUE(RIGHT(Raw_Orders!G44,4)),VALUE(MID(Raw_Orders!G44,4,2)),VALUE(LEFT(Raw_Orders!G44,2)))</f>
        <v>44973</v>
      </c>
      <c r="N44" s="7">
        <f t="shared" si="1"/>
        <v>4</v>
      </c>
      <c r="O44" s="7" t="str">
        <f>Raw_Orders!J44</f>
        <v>Valentine's Day</v>
      </c>
      <c r="P44" s="7" t="str">
        <f>Raw_Orders!I44</f>
        <v>Sambalpur</v>
      </c>
    </row>
    <row r="45" spans="1:16">
      <c r="A45" s="7" t="str">
        <f>Raw_Orders!A45</f>
        <v>44</v>
      </c>
      <c r="B45" s="7" t="str">
        <f>Raw_Orders!B45</f>
        <v>C006</v>
      </c>
      <c r="C45" s="7" t="str">
        <f>INDEX(Raw_Customers!$B$2:$B$101,MATCH($B45,Raw_Customers!$A$2:$A$101,0))</f>
        <v>Rania Mann</v>
      </c>
      <c r="D45" s="7" t="str">
        <f>TRIM(INDEX(Raw_Customers!$C$2:$C$101,MATCH($B45,Raw_Customers!$A$2:$A$101,0)))</f>
        <v>Karimnagar</v>
      </c>
      <c r="E45" s="7" t="str">
        <f>"+91-"&amp;RIGHT("0000000000"&amp;INDEX(Raw_Customers!$D$2:$D$101,MATCH($B45,Raw_Customers!$A$2:$A$101,0)),10)</f>
        <v>+91-9363577179</v>
      </c>
      <c r="F45" s="7" t="str">
        <f>Raw_Orders!C45</f>
        <v>14</v>
      </c>
      <c r="G45" s="7" t="str">
        <f>INDEX(Raw_Products!$B$2:$B$71,MATCH($F45,Raw_Products!$A$2:$A$71,0))</f>
        <v>Deserunt Box</v>
      </c>
      <c r="H45" s="7" t="str">
        <f>INDEX(Raw_Products!$C$2:$C$71,MATCH($F45,Raw_Products!$A$2:$A$71,0))</f>
        <v>Colors</v>
      </c>
      <c r="I45" s="7">
        <f>VALUE(Raw_Orders!D45)</f>
        <v>1</v>
      </c>
      <c r="J45" s="11" t="str">
        <f>INDEX(Raw_Products!$D$2:$D$71,MATCH($F45,Raw_Products!$A$2:$A$71,0))</f>
        <v>1915</v>
      </c>
      <c r="K45" s="11">
        <f t="shared" si="0"/>
        <v>1915</v>
      </c>
      <c r="L45" s="12">
        <f>DATE(VALUE(RIGHT(Raw_Orders!E45,4)),VALUE(MID(Raw_Orders!E45,4,2)),VALUE(LEFT(Raw_Orders!E45,2)))</f>
        <v>45124</v>
      </c>
      <c r="M45" s="12">
        <f>DATE(VALUE(RIGHT(Raw_Orders!G45,4)),VALUE(MID(Raw_Orders!G45,4,2)),VALUE(LEFT(Raw_Orders!G45,2)))</f>
        <v>45134</v>
      </c>
      <c r="N45" s="7">
        <f t="shared" si="1"/>
        <v>10</v>
      </c>
      <c r="O45" s="7" t="str">
        <f>Raw_Orders!J45</f>
        <v>Birthday</v>
      </c>
      <c r="P45" s="7" t="str">
        <f>Raw_Orders!I45</f>
        <v>Bhavnagar</v>
      </c>
    </row>
    <row r="46" spans="1:16">
      <c r="A46" s="7" t="str">
        <f>Raw_Orders!A46</f>
        <v>45</v>
      </c>
      <c r="B46" s="7" t="str">
        <f>Raw_Orders!B46</f>
        <v>C097</v>
      </c>
      <c r="C46" s="7" t="str">
        <f>INDEX(Raw_Customers!$B$2:$B$101,MATCH($B46,Raw_Customers!$A$2:$A$101,0))</f>
        <v>Nakul Randhawa</v>
      </c>
      <c r="D46" s="7" t="str">
        <f>TRIM(INDEX(Raw_Customers!$C$2:$C$101,MATCH($B46,Raw_Customers!$A$2:$A$101,0)))</f>
        <v>Sri Ganganagar</v>
      </c>
      <c r="E46" s="7" t="str">
        <f>"+91-"&amp;RIGHT("0000000000"&amp;INDEX(Raw_Customers!$D$2:$D$101,MATCH($B46,Raw_Customers!$A$2:$A$101,0)),10)</f>
        <v>+91-0456900126</v>
      </c>
      <c r="F46" s="7" t="str">
        <f>Raw_Orders!C46</f>
        <v>61</v>
      </c>
      <c r="G46" s="7" t="str">
        <f>INDEX(Raw_Products!$B$2:$B$71,MATCH($F46,Raw_Products!$A$2:$A$71,0))</f>
        <v>Iusto Box</v>
      </c>
      <c r="H46" s="7" t="str">
        <f>INDEX(Raw_Products!$C$2:$C$71,MATCH($F46,Raw_Products!$A$2:$A$71,0))</f>
        <v>Plants</v>
      </c>
      <c r="I46" s="7">
        <f>VALUE(Raw_Orders!D46)</f>
        <v>5</v>
      </c>
      <c r="J46" s="11" t="str">
        <f>INDEX(Raw_Products!$D$2:$D$71,MATCH($F46,Raw_Products!$A$2:$A$71,0))</f>
        <v>810</v>
      </c>
      <c r="K46" s="11">
        <f t="shared" si="0"/>
        <v>4050</v>
      </c>
      <c r="L46" s="12">
        <f>DATE(VALUE(RIGHT(Raw_Orders!E46,4)),VALUE(MID(Raw_Orders!E46,4,2)),VALUE(LEFT(Raw_Orders!E46,2)))</f>
        <v>45044</v>
      </c>
      <c r="M46" s="12">
        <f>DATE(VALUE(RIGHT(Raw_Orders!G46,4)),VALUE(MID(Raw_Orders!G46,4,2)),VALUE(LEFT(Raw_Orders!G46,2)))</f>
        <v>45045</v>
      </c>
      <c r="N46" s="7">
        <f t="shared" si="1"/>
        <v>1</v>
      </c>
      <c r="O46" s="7" t="str">
        <f>Raw_Orders!J46</f>
        <v>Anniversary</v>
      </c>
      <c r="P46" s="7" t="str">
        <f>Raw_Orders!I46</f>
        <v>Haldia</v>
      </c>
    </row>
    <row r="47" spans="1:16">
      <c r="A47" s="7" t="str">
        <f>Raw_Orders!A47</f>
        <v>46</v>
      </c>
      <c r="B47" s="7" t="str">
        <f>Raw_Orders!B47</f>
        <v>C059</v>
      </c>
      <c r="C47" s="7" t="str">
        <f>INDEX(Raw_Customers!$B$2:$B$101,MATCH($B47,Raw_Customers!$A$2:$A$101,0))</f>
        <v>Nirvi Wagle</v>
      </c>
      <c r="D47" s="7" t="str">
        <f>TRIM(INDEX(Raw_Customers!$C$2:$C$101,MATCH($B47,Raw_Customers!$A$2:$A$101,0)))</f>
        <v>Kalyan-Dombivli</v>
      </c>
      <c r="E47" s="7" t="str">
        <f>"+91-"&amp;RIGHT("0000000000"&amp;INDEX(Raw_Customers!$D$2:$D$101,MATCH($B47,Raw_Customers!$A$2:$A$101,0)),10)</f>
        <v>+91-5869821393</v>
      </c>
      <c r="F47" s="7" t="str">
        <f>Raw_Orders!C47</f>
        <v>22</v>
      </c>
      <c r="G47" s="7" t="str">
        <f>INDEX(Raw_Products!$B$2:$B$71,MATCH($F47,Raw_Products!$A$2:$A$71,0))</f>
        <v>Exercitationem Pack</v>
      </c>
      <c r="H47" s="7" t="str">
        <f>INDEX(Raw_Products!$C$2:$C$71,MATCH($F47,Raw_Products!$A$2:$A$71,0))</f>
        <v>Soft Toys</v>
      </c>
      <c r="I47" s="7">
        <f>VALUE(Raw_Orders!D47)</f>
        <v>4</v>
      </c>
      <c r="J47" s="11" t="str">
        <f>INDEX(Raw_Products!$D$2:$D$71,MATCH($F47,Raw_Products!$A$2:$A$71,0))</f>
        <v>1639</v>
      </c>
      <c r="K47" s="11">
        <f t="shared" si="0"/>
        <v>6556</v>
      </c>
      <c r="L47" s="12">
        <f>DATE(VALUE(RIGHT(Raw_Orders!E47,4)),VALUE(MID(Raw_Orders!E47,4,2)),VALUE(LEFT(Raw_Orders!E47,2)))</f>
        <v>45034</v>
      </c>
      <c r="M47" s="12">
        <f>DATE(VALUE(RIGHT(Raw_Orders!G47,4)),VALUE(MID(Raw_Orders!G47,4,2)),VALUE(LEFT(Raw_Orders!G47,2)))</f>
        <v>45039</v>
      </c>
      <c r="N47" s="7">
        <f t="shared" si="1"/>
        <v>5</v>
      </c>
      <c r="O47" s="7" t="str">
        <f>Raw_Orders!J47</f>
        <v>All Occasions</v>
      </c>
      <c r="P47" s="7" t="str">
        <f>Raw_Orders!I47</f>
        <v>Guna</v>
      </c>
    </row>
    <row r="48" spans="1:16">
      <c r="A48" s="7" t="str">
        <f>Raw_Orders!A48</f>
        <v>47</v>
      </c>
      <c r="B48" s="7" t="str">
        <f>Raw_Orders!B48</f>
        <v>C013</v>
      </c>
      <c r="C48" s="7" t="str">
        <f>INDEX(Raw_Customers!$B$2:$B$101,MATCH($B48,Raw_Customers!$A$2:$A$101,0))</f>
        <v>Manikya Goswami</v>
      </c>
      <c r="D48" s="7" t="str">
        <f>TRIM(INDEX(Raw_Customers!$C$2:$C$101,MATCH($B48,Raw_Customers!$A$2:$A$101,0)))</f>
        <v>Mangalore</v>
      </c>
      <c r="E48" s="7" t="str">
        <f>"+91-"&amp;RIGHT("0000000000"&amp;INDEX(Raw_Customers!$D$2:$D$101,MATCH($B48,Raw_Customers!$A$2:$A$101,0)),10)</f>
        <v>+91-2112817503</v>
      </c>
      <c r="F48" s="7" t="str">
        <f>Raw_Orders!C48</f>
        <v>7</v>
      </c>
      <c r="G48" s="7" t="str">
        <f>INDEX(Raw_Products!$B$2:$B$71,MATCH($F48,Raw_Products!$A$2:$A$71,0))</f>
        <v>Quos Set</v>
      </c>
      <c r="H48" s="7" t="str">
        <f>INDEX(Raw_Products!$C$2:$C$71,MATCH($F48,Raw_Products!$A$2:$A$71,0))</f>
        <v>Soft Toys</v>
      </c>
      <c r="I48" s="7">
        <f>VALUE(Raw_Orders!D48)</f>
        <v>5</v>
      </c>
      <c r="J48" s="11" t="str">
        <f>INDEX(Raw_Products!$D$2:$D$71,MATCH($F48,Raw_Products!$A$2:$A$71,0))</f>
        <v>409</v>
      </c>
      <c r="K48" s="11">
        <f t="shared" si="0"/>
        <v>2045</v>
      </c>
      <c r="L48" s="12">
        <f>DATE(VALUE(RIGHT(Raw_Orders!E48,4)),VALUE(MID(Raw_Orders!E48,4,2)),VALUE(LEFT(Raw_Orders!E48,2)))</f>
        <v>44983</v>
      </c>
      <c r="M48" s="12">
        <f>DATE(VALUE(RIGHT(Raw_Orders!G48,4)),VALUE(MID(Raw_Orders!G48,4,2)),VALUE(LEFT(Raw_Orders!G48,2)))</f>
        <v>44985</v>
      </c>
      <c r="N48" s="7">
        <f t="shared" si="1"/>
        <v>2</v>
      </c>
      <c r="O48" s="7" t="str">
        <f>Raw_Orders!J48</f>
        <v>Holi</v>
      </c>
      <c r="P48" s="7" t="str">
        <f>Raw_Orders!I48</f>
        <v>Jaipur</v>
      </c>
    </row>
    <row r="49" spans="1:16">
      <c r="A49" s="7" t="str">
        <f>Raw_Orders!A49</f>
        <v>48</v>
      </c>
      <c r="B49" s="7" t="str">
        <f>Raw_Orders!B49</f>
        <v>C031</v>
      </c>
      <c r="C49" s="7" t="str">
        <f>INDEX(Raw_Customers!$B$2:$B$101,MATCH($B49,Raw_Customers!$A$2:$A$101,0))</f>
        <v>Madhup Wable</v>
      </c>
      <c r="D49" s="7" t="str">
        <f>TRIM(INDEX(Raw_Customers!$C$2:$C$101,MATCH($B49,Raw_Customers!$A$2:$A$101,0)))</f>
        <v>Sasaram</v>
      </c>
      <c r="E49" s="7" t="str">
        <f>"+91-"&amp;RIGHT("0000000000"&amp;INDEX(Raw_Customers!$D$2:$D$101,MATCH($B49,Raw_Customers!$A$2:$A$101,0)),10)</f>
        <v>+91-0135745753</v>
      </c>
      <c r="F49" s="7" t="str">
        <f>Raw_Orders!C49</f>
        <v>65</v>
      </c>
      <c r="G49" s="7" t="str">
        <f>INDEX(Raw_Products!$B$2:$B$71,MATCH($F49,Raw_Products!$A$2:$A$71,0))</f>
        <v>Error Gift</v>
      </c>
      <c r="H49" s="7" t="str">
        <f>INDEX(Raw_Products!$C$2:$C$71,MATCH($F49,Raw_Products!$A$2:$A$71,0))</f>
        <v>Raksha Bandhan</v>
      </c>
      <c r="I49" s="7">
        <f>VALUE(Raw_Orders!D49)</f>
        <v>4</v>
      </c>
      <c r="J49" s="11" t="str">
        <f>INDEX(Raw_Products!$D$2:$D$71,MATCH($F49,Raw_Products!$A$2:$A$71,0))</f>
        <v>1895</v>
      </c>
      <c r="K49" s="11">
        <f t="shared" si="0"/>
        <v>7580</v>
      </c>
      <c r="L49" s="12">
        <f>DATE(VALUE(RIGHT(Raw_Orders!E49,4)),VALUE(MID(Raw_Orders!E49,4,2)),VALUE(LEFT(Raw_Orders!E49,2)))</f>
        <v>45242</v>
      </c>
      <c r="M49" s="12">
        <f>DATE(VALUE(RIGHT(Raw_Orders!G49,4)),VALUE(MID(Raw_Orders!G49,4,2)),VALUE(LEFT(Raw_Orders!G49,2)))</f>
        <v>45246</v>
      </c>
      <c r="N49" s="7">
        <f t="shared" si="1"/>
        <v>4</v>
      </c>
      <c r="O49" s="7" t="str">
        <f>Raw_Orders!J49</f>
        <v>All Occasions</v>
      </c>
      <c r="P49" s="7" t="str">
        <f>Raw_Orders!I49</f>
        <v>Delhi</v>
      </c>
    </row>
    <row r="50" spans="1:16">
      <c r="A50" s="7" t="str">
        <f>Raw_Orders!A50</f>
        <v>49</v>
      </c>
      <c r="B50" s="7" t="str">
        <f>Raw_Orders!B50</f>
        <v>C020</v>
      </c>
      <c r="C50" s="7" t="str">
        <f>INDEX(Raw_Customers!$B$2:$B$101,MATCH($B50,Raw_Customers!$A$2:$A$101,0))</f>
        <v>Samaira Ganesh</v>
      </c>
      <c r="D50" s="7" t="str">
        <f>TRIM(INDEX(Raw_Customers!$C$2:$C$101,MATCH($B50,Raw_Customers!$A$2:$A$101,0)))</f>
        <v>Machilipatnam</v>
      </c>
      <c r="E50" s="7" t="str">
        <f>"+91-"&amp;RIGHT("0000000000"&amp;INDEX(Raw_Customers!$D$2:$D$101,MATCH($B50,Raw_Customers!$A$2:$A$101,0)),10)</f>
        <v>+91-1731643700</v>
      </c>
      <c r="F50" s="7" t="str">
        <f>Raw_Orders!C50</f>
        <v>43</v>
      </c>
      <c r="G50" s="7" t="str">
        <f>INDEX(Raw_Products!$B$2:$B$71,MATCH($F50,Raw_Products!$A$2:$A$71,0))</f>
        <v>Quisquam Pack</v>
      </c>
      <c r="H50" s="7" t="str">
        <f>INDEX(Raw_Products!$C$2:$C$71,MATCH($F50,Raw_Products!$A$2:$A$71,0))</f>
        <v>Raksha Bandhan</v>
      </c>
      <c r="I50" s="7">
        <f>VALUE(Raw_Orders!D50)</f>
        <v>1</v>
      </c>
      <c r="J50" s="11" t="str">
        <f>INDEX(Raw_Products!$D$2:$D$71,MATCH($F50,Raw_Products!$A$2:$A$71,0))</f>
        <v>750</v>
      </c>
      <c r="K50" s="11">
        <f t="shared" si="0"/>
        <v>750</v>
      </c>
      <c r="L50" s="12">
        <f>DATE(VALUE(RIGHT(Raw_Orders!E50,4)),VALUE(MID(Raw_Orders!E50,4,2)),VALUE(LEFT(Raw_Orders!E50,2)))</f>
        <v>45241</v>
      </c>
      <c r="M50" s="12">
        <f>DATE(VALUE(RIGHT(Raw_Orders!G50,4)),VALUE(MID(Raw_Orders!G50,4,2)),VALUE(LEFT(Raw_Orders!G50,2)))</f>
        <v>45248</v>
      </c>
      <c r="N50" s="7">
        <f t="shared" si="1"/>
        <v>7</v>
      </c>
      <c r="O50" s="7" t="str">
        <f>Raw_Orders!J50</f>
        <v>Diwali</v>
      </c>
      <c r="P50" s="7" t="str">
        <f>Raw_Orders!I50</f>
        <v>Nangloi Jat</v>
      </c>
    </row>
    <row r="51" spans="1:16">
      <c r="A51" s="7" t="str">
        <f>Raw_Orders!A51</f>
        <v>50</v>
      </c>
      <c r="B51" s="7" t="str">
        <f>Raw_Orders!B51</f>
        <v>C014</v>
      </c>
      <c r="C51" s="7" t="str">
        <f>INDEX(Raw_Customers!$B$2:$B$101,MATCH($B51,Raw_Customers!$A$2:$A$101,0))</f>
        <v>Indrans Shukla</v>
      </c>
      <c r="D51" s="7" t="str">
        <f>TRIM(INDEX(Raw_Customers!$C$2:$C$101,MATCH($B51,Raw_Customers!$A$2:$A$101,0)))</f>
        <v>Panvel</v>
      </c>
      <c r="E51" s="7" t="str">
        <f>"+91-"&amp;RIGHT("0000000000"&amp;INDEX(Raw_Customers!$D$2:$D$101,MATCH($B51,Raw_Customers!$A$2:$A$101,0)),10)</f>
        <v>+91-2717671919</v>
      </c>
      <c r="F51" s="7" t="str">
        <f>Raw_Orders!C51</f>
        <v>41</v>
      </c>
      <c r="G51" s="7" t="str">
        <f>INDEX(Raw_Products!$B$2:$B$71,MATCH($F51,Raw_Products!$A$2:$A$71,0))</f>
        <v>Aut Box</v>
      </c>
      <c r="H51" s="7" t="str">
        <f>INDEX(Raw_Products!$C$2:$C$71,MATCH($F51,Raw_Products!$A$2:$A$71,0))</f>
        <v>Sweets</v>
      </c>
      <c r="I51" s="7">
        <f>VALUE(Raw_Orders!D51)</f>
        <v>4</v>
      </c>
      <c r="J51" s="11" t="str">
        <f>INDEX(Raw_Products!$D$2:$D$71,MATCH($F51,Raw_Products!$A$2:$A$71,0))</f>
        <v>1977</v>
      </c>
      <c r="K51" s="11">
        <f t="shared" si="0"/>
        <v>7908</v>
      </c>
      <c r="L51" s="12">
        <f>DATE(VALUE(RIGHT(Raw_Orders!E51,4)),VALUE(MID(Raw_Orders!E51,4,2)),VALUE(LEFT(Raw_Orders!E51,2)))</f>
        <v>45239</v>
      </c>
      <c r="M51" s="12">
        <f>DATE(VALUE(RIGHT(Raw_Orders!G51,4)),VALUE(MID(Raw_Orders!G51,4,2)),VALUE(LEFT(Raw_Orders!G51,2)))</f>
        <v>45246</v>
      </c>
      <c r="N51" s="7">
        <f t="shared" si="1"/>
        <v>7</v>
      </c>
      <c r="O51" s="7" t="str">
        <f>Raw_Orders!J51</f>
        <v>Diwali</v>
      </c>
      <c r="P51" s="7" t="str">
        <f>Raw_Orders!I51</f>
        <v>Jamalpur</v>
      </c>
    </row>
    <row r="52" spans="1:16">
      <c r="A52" s="7" t="str">
        <f>Raw_Orders!A52</f>
        <v>51</v>
      </c>
      <c r="B52" s="7" t="str">
        <f>Raw_Orders!B52</f>
        <v>C036</v>
      </c>
      <c r="C52" s="7" t="str">
        <f>INDEX(Raw_Customers!$B$2:$B$101,MATCH($B52,Raw_Customers!$A$2:$A$101,0))</f>
        <v>Biju Bajwa</v>
      </c>
      <c r="D52" s="7" t="str">
        <f>TRIM(INDEX(Raw_Customers!$C$2:$C$101,MATCH($B52,Raw_Customers!$A$2:$A$101,0)))</f>
        <v>Dibrugarh</v>
      </c>
      <c r="E52" s="7" t="str">
        <f>"+91-"&amp;RIGHT("0000000000"&amp;INDEX(Raw_Customers!$D$2:$D$101,MATCH($B52,Raw_Customers!$A$2:$A$101,0)),10)</f>
        <v>+91-8721850071</v>
      </c>
      <c r="F52" s="7" t="str">
        <f>Raw_Orders!C52</f>
        <v>10</v>
      </c>
      <c r="G52" s="7" t="str">
        <f>INDEX(Raw_Products!$B$2:$B$71,MATCH($F52,Raw_Products!$A$2:$A$71,0))</f>
        <v>Accusantium Gift</v>
      </c>
      <c r="H52" s="7" t="str">
        <f>INDEX(Raw_Products!$C$2:$C$71,MATCH($F52,Raw_Products!$A$2:$A$71,0))</f>
        <v>Cake</v>
      </c>
      <c r="I52" s="7">
        <f>VALUE(Raw_Orders!D52)</f>
        <v>1</v>
      </c>
      <c r="J52" s="11" t="str">
        <f>INDEX(Raw_Products!$D$2:$D$71,MATCH($F52,Raw_Products!$A$2:$A$71,0))</f>
        <v>259</v>
      </c>
      <c r="K52" s="11">
        <f t="shared" si="0"/>
        <v>259</v>
      </c>
      <c r="L52" s="12">
        <f>DATE(VALUE(RIGHT(Raw_Orders!E52,4)),VALUE(MID(Raw_Orders!E52,4,2)),VALUE(LEFT(Raw_Orders!E52,2)))</f>
        <v>45000</v>
      </c>
      <c r="M52" s="12">
        <f>DATE(VALUE(RIGHT(Raw_Orders!G52,4)),VALUE(MID(Raw_Orders!G52,4,2)),VALUE(LEFT(Raw_Orders!G52,2)))</f>
        <v>45004</v>
      </c>
      <c r="N52" s="7">
        <f t="shared" si="1"/>
        <v>4</v>
      </c>
      <c r="O52" s="7" t="str">
        <f>Raw_Orders!J52</f>
        <v>Birthday</v>
      </c>
      <c r="P52" s="7" t="str">
        <f>Raw_Orders!I52</f>
        <v>Agartala</v>
      </c>
    </row>
    <row r="53" spans="1:16">
      <c r="A53" s="7" t="str">
        <f>Raw_Orders!A53</f>
        <v>52</v>
      </c>
      <c r="B53" s="7" t="str">
        <f>Raw_Orders!B53</f>
        <v>C023</v>
      </c>
      <c r="C53" s="7" t="str">
        <f>INDEX(Raw_Customers!$B$2:$B$101,MATCH($B53,Raw_Customers!$A$2:$A$101,0))</f>
        <v>Abram Sandhu</v>
      </c>
      <c r="D53" s="7" t="str">
        <f>TRIM(INDEX(Raw_Customers!$C$2:$C$101,MATCH($B53,Raw_Customers!$A$2:$A$101,0)))</f>
        <v>Bidhannagar</v>
      </c>
      <c r="E53" s="7" t="str">
        <f>"+91-"&amp;RIGHT("0000000000"&amp;INDEX(Raw_Customers!$D$2:$D$101,MATCH($B53,Raw_Customers!$A$2:$A$101,0)),10)</f>
        <v>+91-7196287267</v>
      </c>
      <c r="F53" s="7" t="str">
        <f>Raw_Orders!C53</f>
        <v>9</v>
      </c>
      <c r="G53" s="7" t="str">
        <f>INDEX(Raw_Products!$B$2:$B$71,MATCH($F53,Raw_Products!$A$2:$A$71,0))</f>
        <v>Aperiam Box</v>
      </c>
      <c r="H53" s="7" t="str">
        <f>INDEX(Raw_Products!$C$2:$C$71,MATCH($F53,Raw_Products!$A$2:$A$71,0))</f>
        <v>Colors</v>
      </c>
      <c r="I53" s="7">
        <f>VALUE(Raw_Orders!D53)</f>
        <v>1</v>
      </c>
      <c r="J53" s="11" t="str">
        <f>INDEX(Raw_Products!$D$2:$D$71,MATCH($F53,Raw_Products!$A$2:$A$71,0))</f>
        <v>1605</v>
      </c>
      <c r="K53" s="11">
        <f t="shared" si="0"/>
        <v>1605</v>
      </c>
      <c r="L53" s="12">
        <f>DATE(VALUE(RIGHT(Raw_Orders!E53,4)),VALUE(MID(Raw_Orders!E53,4,2)),VALUE(LEFT(Raw_Orders!E53,2)))</f>
        <v>45167</v>
      </c>
      <c r="M53" s="12">
        <f>DATE(VALUE(RIGHT(Raw_Orders!G53,4)),VALUE(MID(Raw_Orders!G53,4,2)),VALUE(LEFT(Raw_Orders!G53,2)))</f>
        <v>45176</v>
      </c>
      <c r="N53" s="7">
        <f t="shared" si="1"/>
        <v>9</v>
      </c>
      <c r="O53" s="7" t="str">
        <f>Raw_Orders!J53</f>
        <v>Raksha Bandhan</v>
      </c>
      <c r="P53" s="7" t="str">
        <f>Raw_Orders!I53</f>
        <v>Hospet</v>
      </c>
    </row>
    <row r="54" spans="1:16">
      <c r="A54" s="7" t="str">
        <f>Raw_Orders!A54</f>
        <v>53</v>
      </c>
      <c r="B54" s="7" t="str">
        <f>Raw_Orders!B54</f>
        <v>C045</v>
      </c>
      <c r="C54" s="7" t="str">
        <f>INDEX(Raw_Customers!$B$2:$B$101,MATCH($B54,Raw_Customers!$A$2:$A$101,0))</f>
        <v>Divit Mahajan</v>
      </c>
      <c r="D54" s="7" t="str">
        <f>TRIM(INDEX(Raw_Customers!$C$2:$C$101,MATCH($B54,Raw_Customers!$A$2:$A$101,0)))</f>
        <v>Maheshtala</v>
      </c>
      <c r="E54" s="7" t="str">
        <f>"+91-"&amp;RIGHT("0000000000"&amp;INDEX(Raw_Customers!$D$2:$D$101,MATCH($B54,Raw_Customers!$A$2:$A$101,0)),10)</f>
        <v>+91-6789522856</v>
      </c>
      <c r="F54" s="7" t="str">
        <f>Raw_Orders!C54</f>
        <v>9</v>
      </c>
      <c r="G54" s="7" t="str">
        <f>INDEX(Raw_Products!$B$2:$B$71,MATCH($F54,Raw_Products!$A$2:$A$71,0))</f>
        <v>Aperiam Box</v>
      </c>
      <c r="H54" s="7" t="str">
        <f>INDEX(Raw_Products!$C$2:$C$71,MATCH($F54,Raw_Products!$A$2:$A$71,0))</f>
        <v>Colors</v>
      </c>
      <c r="I54" s="7">
        <f>VALUE(Raw_Orders!D54)</f>
        <v>5</v>
      </c>
      <c r="J54" s="11" t="str">
        <f>INDEX(Raw_Products!$D$2:$D$71,MATCH($F54,Raw_Products!$A$2:$A$71,0))</f>
        <v>1605</v>
      </c>
      <c r="K54" s="11">
        <f t="shared" si="0"/>
        <v>8025</v>
      </c>
      <c r="L54" s="12">
        <f>DATE(VALUE(RIGHT(Raw_Orders!E54,4)),VALUE(MID(Raw_Orders!E54,4,2)),VALUE(LEFT(Raw_Orders!E54,2)))</f>
        <v>45158</v>
      </c>
      <c r="M54" s="12">
        <f>DATE(VALUE(RIGHT(Raw_Orders!G54,4)),VALUE(MID(Raw_Orders!G54,4,2)),VALUE(LEFT(Raw_Orders!G54,2)))</f>
        <v>45165</v>
      </c>
      <c r="N54" s="7">
        <f t="shared" si="1"/>
        <v>7</v>
      </c>
      <c r="O54" s="7" t="str">
        <f>Raw_Orders!J54</f>
        <v>Raksha Bandhan</v>
      </c>
      <c r="P54" s="7" t="str">
        <f>Raw_Orders!I54</f>
        <v>Kozhikode</v>
      </c>
    </row>
    <row r="55" spans="1:16">
      <c r="A55" s="7" t="str">
        <f>Raw_Orders!A55</f>
        <v>54</v>
      </c>
      <c r="B55" s="7" t="str">
        <f>Raw_Orders!B55</f>
        <v>C059</v>
      </c>
      <c r="C55" s="7" t="str">
        <f>INDEX(Raw_Customers!$B$2:$B$101,MATCH($B55,Raw_Customers!$A$2:$A$101,0))</f>
        <v>Nirvi Wagle</v>
      </c>
      <c r="D55" s="7" t="str">
        <f>TRIM(INDEX(Raw_Customers!$C$2:$C$101,MATCH($B55,Raw_Customers!$A$2:$A$101,0)))</f>
        <v>Kalyan-Dombivli</v>
      </c>
      <c r="E55" s="7" t="str">
        <f>"+91-"&amp;RIGHT("0000000000"&amp;INDEX(Raw_Customers!$D$2:$D$101,MATCH($B55,Raw_Customers!$A$2:$A$101,0)),10)</f>
        <v>+91-5869821393</v>
      </c>
      <c r="F55" s="7" t="str">
        <f>Raw_Orders!C55</f>
        <v>30</v>
      </c>
      <c r="G55" s="7" t="str">
        <f>INDEX(Raw_Products!$B$2:$B$71,MATCH($F55,Raw_Products!$A$2:$A$71,0))</f>
        <v>Recusandae Pack</v>
      </c>
      <c r="H55" s="7" t="str">
        <f>INDEX(Raw_Products!$C$2:$C$71,MATCH($F55,Raw_Products!$A$2:$A$71,0))</f>
        <v>Colors</v>
      </c>
      <c r="I55" s="7">
        <f>VALUE(Raw_Orders!D55)</f>
        <v>1</v>
      </c>
      <c r="J55" s="11" t="str">
        <f>INDEX(Raw_Products!$D$2:$D$71,MATCH($F55,Raw_Products!$A$2:$A$71,0))</f>
        <v>751</v>
      </c>
      <c r="K55" s="11">
        <f t="shared" si="0"/>
        <v>751</v>
      </c>
      <c r="L55" s="12">
        <f>DATE(VALUE(RIGHT(Raw_Orders!E55,4)),VALUE(MID(Raw_Orders!E55,4,2)),VALUE(LEFT(Raw_Orders!E55,2)))</f>
        <v>45029</v>
      </c>
      <c r="M55" s="12">
        <f>DATE(VALUE(RIGHT(Raw_Orders!G55,4)),VALUE(MID(Raw_Orders!G55,4,2)),VALUE(LEFT(Raw_Orders!G55,2)))</f>
        <v>45039</v>
      </c>
      <c r="N55" s="7">
        <f t="shared" si="1"/>
        <v>10</v>
      </c>
      <c r="O55" s="7" t="str">
        <f>Raw_Orders!J55</f>
        <v>Anniversary</v>
      </c>
      <c r="P55" s="7" t="str">
        <f>Raw_Orders!I55</f>
        <v>Ratlam</v>
      </c>
    </row>
    <row r="56" spans="1:16">
      <c r="A56" s="7" t="str">
        <f>Raw_Orders!A56</f>
        <v>55</v>
      </c>
      <c r="B56" s="7" t="str">
        <f>Raw_Orders!B56</f>
        <v>C040</v>
      </c>
      <c r="C56" s="7" t="str">
        <f>INDEX(Raw_Customers!$B$2:$B$101,MATCH($B56,Raw_Customers!$A$2:$A$101,0))</f>
        <v>Hazel Mangat</v>
      </c>
      <c r="D56" s="7" t="str">
        <f>TRIM(INDEX(Raw_Customers!$C$2:$C$101,MATCH($B56,Raw_Customers!$A$2:$A$101,0)))</f>
        <v>Pallavaram</v>
      </c>
      <c r="E56" s="7" t="str">
        <f>"+91-"&amp;RIGHT("0000000000"&amp;INDEX(Raw_Customers!$D$2:$D$101,MATCH($B56,Raw_Customers!$A$2:$A$101,0)),10)</f>
        <v>+91-8810621361</v>
      </c>
      <c r="F56" s="7" t="str">
        <f>Raw_Orders!C56</f>
        <v>5</v>
      </c>
      <c r="G56" s="7" t="str">
        <f>INDEX(Raw_Products!$B$2:$B$71,MATCH($F56,Raw_Products!$A$2:$A$71,0))</f>
        <v>Natus Gift</v>
      </c>
      <c r="H56" s="7" t="str">
        <f>INDEX(Raw_Products!$C$2:$C$71,MATCH($F56,Raw_Products!$A$2:$A$71,0))</f>
        <v>Colors</v>
      </c>
      <c r="I56" s="7">
        <f>VALUE(Raw_Orders!D56)</f>
        <v>1</v>
      </c>
      <c r="J56" s="11" t="str">
        <f>INDEX(Raw_Products!$D$2:$D$71,MATCH($F56,Raw_Products!$A$2:$A$71,0))</f>
        <v>1444</v>
      </c>
      <c r="K56" s="11">
        <f t="shared" si="0"/>
        <v>1444</v>
      </c>
      <c r="L56" s="12">
        <f>DATE(VALUE(RIGHT(Raw_Orders!E56,4)),VALUE(MID(Raw_Orders!E56,4,2)),VALUE(LEFT(Raw_Orders!E56,2)))</f>
        <v>44965</v>
      </c>
      <c r="M56" s="12">
        <f>DATE(VALUE(RIGHT(Raw_Orders!G56,4)),VALUE(MID(Raw_Orders!G56,4,2)),VALUE(LEFT(Raw_Orders!G56,2)))</f>
        <v>44970</v>
      </c>
      <c r="N56" s="7">
        <f t="shared" si="1"/>
        <v>5</v>
      </c>
      <c r="O56" s="7" t="str">
        <f>Raw_Orders!J56</f>
        <v>All Occasions</v>
      </c>
      <c r="P56" s="7" t="str">
        <f>Raw_Orders!I56</f>
        <v>Kottayam</v>
      </c>
    </row>
    <row r="57" spans="1:16">
      <c r="A57" s="7" t="str">
        <f>Raw_Orders!A57</f>
        <v>56</v>
      </c>
      <c r="B57" s="7" t="str">
        <f>Raw_Orders!B57</f>
        <v>C095</v>
      </c>
      <c r="C57" s="7" t="str">
        <f>INDEX(Raw_Customers!$B$2:$B$101,MATCH($B57,Raw_Customers!$A$2:$A$101,0))</f>
        <v>Mahika Cherian</v>
      </c>
      <c r="D57" s="7" t="str">
        <f>TRIM(INDEX(Raw_Customers!$C$2:$C$101,MATCH($B57,Raw_Customers!$A$2:$A$101,0)))</f>
        <v>Warangal</v>
      </c>
      <c r="E57" s="7" t="str">
        <f>"+91-"&amp;RIGHT("0000000000"&amp;INDEX(Raw_Customers!$D$2:$D$101,MATCH($B57,Raw_Customers!$A$2:$A$101,0)),10)</f>
        <v>+91-2769457161</v>
      </c>
      <c r="F57" s="7" t="str">
        <f>Raw_Orders!C57</f>
        <v>58</v>
      </c>
      <c r="G57" s="7" t="str">
        <f>INDEX(Raw_Products!$B$2:$B$71,MATCH($F57,Raw_Products!$A$2:$A$71,0))</f>
        <v>Sed Pack</v>
      </c>
      <c r="H57" s="7" t="str">
        <f>INDEX(Raw_Products!$C$2:$C$71,MATCH($F57,Raw_Products!$A$2:$A$71,0))</f>
        <v>Cake</v>
      </c>
      <c r="I57" s="7">
        <f>VALUE(Raw_Orders!D57)</f>
        <v>5</v>
      </c>
      <c r="J57" s="11" t="str">
        <f>INDEX(Raw_Products!$D$2:$D$71,MATCH($F57,Raw_Products!$A$2:$A$71,0))</f>
        <v>1492</v>
      </c>
      <c r="K57" s="11">
        <f t="shared" si="0"/>
        <v>7460</v>
      </c>
      <c r="L57" s="12">
        <f>DATE(VALUE(RIGHT(Raw_Orders!E57,4)),VALUE(MID(Raw_Orders!E57,4,2)),VALUE(LEFT(Raw_Orders!E57,2)))</f>
        <v>44965</v>
      </c>
      <c r="M57" s="12">
        <f>DATE(VALUE(RIGHT(Raw_Orders!G57,4)),VALUE(MID(Raw_Orders!G57,4,2)),VALUE(LEFT(Raw_Orders!G57,2)))</f>
        <v>44970</v>
      </c>
      <c r="N57" s="7">
        <f t="shared" si="1"/>
        <v>5</v>
      </c>
      <c r="O57" s="7" t="str">
        <f>Raw_Orders!J57</f>
        <v>Valentine's Day</v>
      </c>
      <c r="P57" s="7" t="str">
        <f>Raw_Orders!I57</f>
        <v>Danapur</v>
      </c>
    </row>
    <row r="58" spans="1:16">
      <c r="A58" s="7" t="str">
        <f>Raw_Orders!A58</f>
        <v>57</v>
      </c>
      <c r="B58" s="7" t="str">
        <f>Raw_Orders!B58</f>
        <v>C090</v>
      </c>
      <c r="C58" s="7" t="str">
        <f>INDEX(Raw_Customers!$B$2:$B$101,MATCH($B58,Raw_Customers!$A$2:$A$101,0))</f>
        <v>Drishya De</v>
      </c>
      <c r="D58" s="7" t="str">
        <f>TRIM(INDEX(Raw_Customers!$C$2:$C$101,MATCH($B58,Raw_Customers!$A$2:$A$101,0)))</f>
        <v>Anantapuram</v>
      </c>
      <c r="E58" s="7" t="str">
        <f>"+91-"&amp;RIGHT("0000000000"&amp;INDEX(Raw_Customers!$D$2:$D$101,MATCH($B58,Raw_Customers!$A$2:$A$101,0)),10)</f>
        <v>+91-3327374841</v>
      </c>
      <c r="F58" s="7" t="str">
        <f>Raw_Orders!C58</f>
        <v>35</v>
      </c>
      <c r="G58" s="7" t="str">
        <f>INDEX(Raw_Products!$B$2:$B$71,MATCH($F58,Raw_Products!$A$2:$A$71,0))</f>
        <v>Nam Gift</v>
      </c>
      <c r="H58" s="7" t="str">
        <f>INDEX(Raw_Products!$C$2:$C$71,MATCH($F58,Raw_Products!$A$2:$A$71,0))</f>
        <v>Colors</v>
      </c>
      <c r="I58" s="7">
        <f>VALUE(Raw_Orders!D58)</f>
        <v>5</v>
      </c>
      <c r="J58" s="11" t="str">
        <f>INDEX(Raw_Products!$D$2:$D$71,MATCH($F58,Raw_Products!$A$2:$A$71,0))</f>
        <v>1865</v>
      </c>
      <c r="K58" s="11">
        <f t="shared" si="0"/>
        <v>9325</v>
      </c>
      <c r="L58" s="12">
        <f>DATE(VALUE(RIGHT(Raw_Orders!E58,4)),VALUE(MID(Raw_Orders!E58,4,2)),VALUE(LEFT(Raw_Orders!E58,2)))</f>
        <v>44983</v>
      </c>
      <c r="M58" s="12">
        <f>DATE(VALUE(RIGHT(Raw_Orders!G58,4)),VALUE(MID(Raw_Orders!G58,4,2)),VALUE(LEFT(Raw_Orders!G58,2)))</f>
        <v>44991</v>
      </c>
      <c r="N58" s="7">
        <f t="shared" si="1"/>
        <v>8</v>
      </c>
      <c r="O58" s="7" t="str">
        <f>Raw_Orders!J58</f>
        <v>Holi</v>
      </c>
      <c r="P58" s="7" t="str">
        <f>Raw_Orders!I58</f>
        <v>Ahmedabad</v>
      </c>
    </row>
    <row r="59" spans="1:16">
      <c r="A59" s="7" t="str">
        <f>Raw_Orders!A59</f>
        <v>58</v>
      </c>
      <c r="B59" s="7" t="str">
        <f>Raw_Orders!B59</f>
        <v>C077</v>
      </c>
      <c r="C59" s="7" t="str">
        <f>INDEX(Raw_Customers!$B$2:$B$101,MATCH($B59,Raw_Customers!$A$2:$A$101,0))</f>
        <v>Gokul Ahluwalia</v>
      </c>
      <c r="D59" s="7" t="str">
        <f>TRIM(INDEX(Raw_Customers!$C$2:$C$101,MATCH($B59,Raw_Customers!$A$2:$A$101,0)))</f>
        <v>Panchkula</v>
      </c>
      <c r="E59" s="7" t="str">
        <f>"+91-"&amp;RIGHT("0000000000"&amp;INDEX(Raw_Customers!$D$2:$D$101,MATCH($B59,Raw_Customers!$A$2:$A$101,0)),10)</f>
        <v>+91-0413737551</v>
      </c>
      <c r="F59" s="7" t="str">
        <f>Raw_Orders!C59</f>
        <v>36</v>
      </c>
      <c r="G59" s="7" t="str">
        <f>INDEX(Raw_Products!$B$2:$B$71,MATCH($F59,Raw_Products!$A$2:$A$71,0))</f>
        <v>Cum Gift</v>
      </c>
      <c r="H59" s="7" t="str">
        <f>INDEX(Raw_Products!$C$2:$C$71,MATCH($F59,Raw_Products!$A$2:$A$71,0))</f>
        <v>Plants</v>
      </c>
      <c r="I59" s="7">
        <f>VALUE(Raw_Orders!D59)</f>
        <v>1</v>
      </c>
      <c r="J59" s="11" t="str">
        <f>INDEX(Raw_Products!$D$2:$D$71,MATCH($F59,Raw_Products!$A$2:$A$71,0))</f>
        <v>203</v>
      </c>
      <c r="K59" s="11">
        <f t="shared" si="0"/>
        <v>203</v>
      </c>
      <c r="L59" s="12">
        <f>DATE(VALUE(RIGHT(Raw_Orders!E59,4)),VALUE(MID(Raw_Orders!E59,4,2)),VALUE(LEFT(Raw_Orders!E59,2)))</f>
        <v>44932</v>
      </c>
      <c r="M59" s="12">
        <f>DATE(VALUE(RIGHT(Raw_Orders!G59,4)),VALUE(MID(Raw_Orders!G59,4,2)),VALUE(LEFT(Raw_Orders!G59,2)))</f>
        <v>44941</v>
      </c>
      <c r="N59" s="7">
        <f t="shared" si="1"/>
        <v>9</v>
      </c>
      <c r="O59" s="7" t="str">
        <f>Raw_Orders!J59</f>
        <v>Birthday</v>
      </c>
      <c r="P59" s="7" t="str">
        <f>Raw_Orders!I59</f>
        <v>Amravati</v>
      </c>
    </row>
    <row r="60" spans="1:16">
      <c r="A60" s="7" t="str">
        <f>Raw_Orders!A60</f>
        <v>59</v>
      </c>
      <c r="B60" s="7" t="str">
        <f>Raw_Orders!B60</f>
        <v>C041</v>
      </c>
      <c r="C60" s="7" t="str">
        <f>INDEX(Raw_Customers!$B$2:$B$101,MATCH($B60,Raw_Customers!$A$2:$A$101,0))</f>
        <v>Rati Dhingra</v>
      </c>
      <c r="D60" s="7" t="str">
        <f>TRIM(INDEX(Raw_Customers!$C$2:$C$101,MATCH($B60,Raw_Customers!$A$2:$A$101,0)))</f>
        <v>Karaikudi</v>
      </c>
      <c r="E60" s="7" t="str">
        <f>"+91-"&amp;RIGHT("0000000000"&amp;INDEX(Raw_Customers!$D$2:$D$101,MATCH($B60,Raw_Customers!$A$2:$A$101,0)),10)</f>
        <v>+91-0625408216</v>
      </c>
      <c r="F60" s="7" t="str">
        <f>Raw_Orders!C60</f>
        <v>51</v>
      </c>
      <c r="G60" s="7" t="str">
        <f>INDEX(Raw_Products!$B$2:$B$71,MATCH($F60,Raw_Products!$A$2:$A$71,0))</f>
        <v>Fugit Set</v>
      </c>
      <c r="H60" s="7" t="str">
        <f>INDEX(Raw_Products!$C$2:$C$71,MATCH($F60,Raw_Products!$A$2:$A$71,0))</f>
        <v>Soft Toys</v>
      </c>
      <c r="I60" s="7">
        <f>VALUE(Raw_Orders!D60)</f>
        <v>5</v>
      </c>
      <c r="J60" s="11" t="str">
        <f>INDEX(Raw_Products!$D$2:$D$71,MATCH($F60,Raw_Products!$A$2:$A$71,0))</f>
        <v>1084</v>
      </c>
      <c r="K60" s="11">
        <f t="shared" si="0"/>
        <v>5420</v>
      </c>
      <c r="L60" s="12">
        <f>DATE(VALUE(RIGHT(Raw_Orders!E60,4)),VALUE(MID(Raw_Orders!E60,4,2)),VALUE(LEFT(Raw_Orders!E60,2)))</f>
        <v>45103</v>
      </c>
      <c r="M60" s="12">
        <f>DATE(VALUE(RIGHT(Raw_Orders!G60,4)),VALUE(MID(Raw_Orders!G60,4,2)),VALUE(LEFT(Raw_Orders!G60,2)))</f>
        <v>45105</v>
      </c>
      <c r="N60" s="7">
        <f t="shared" si="1"/>
        <v>2</v>
      </c>
      <c r="O60" s="7" t="str">
        <f>Raw_Orders!J60</f>
        <v>All Occasions</v>
      </c>
      <c r="P60" s="7" t="str">
        <f>Raw_Orders!I60</f>
        <v>Thiruvananthapuram</v>
      </c>
    </row>
    <row r="61" spans="1:16">
      <c r="A61" s="7" t="str">
        <f>Raw_Orders!A61</f>
        <v>60</v>
      </c>
      <c r="B61" s="7" t="str">
        <f>Raw_Orders!B61</f>
        <v>C023</v>
      </c>
      <c r="C61" s="7" t="str">
        <f>INDEX(Raw_Customers!$B$2:$B$101,MATCH($B61,Raw_Customers!$A$2:$A$101,0))</f>
        <v>Abram Sandhu</v>
      </c>
      <c r="D61" s="7" t="str">
        <f>TRIM(INDEX(Raw_Customers!$C$2:$C$101,MATCH($B61,Raw_Customers!$A$2:$A$101,0)))</f>
        <v>Bidhannagar</v>
      </c>
      <c r="E61" s="7" t="str">
        <f>"+91-"&amp;RIGHT("0000000000"&amp;INDEX(Raw_Customers!$D$2:$D$101,MATCH($B61,Raw_Customers!$A$2:$A$101,0)),10)</f>
        <v>+91-7196287267</v>
      </c>
      <c r="F61" s="7" t="str">
        <f>Raw_Orders!C61</f>
        <v>5</v>
      </c>
      <c r="G61" s="7" t="str">
        <f>INDEX(Raw_Products!$B$2:$B$71,MATCH($F61,Raw_Products!$A$2:$A$71,0))</f>
        <v>Natus Gift</v>
      </c>
      <c r="H61" s="7" t="str">
        <f>INDEX(Raw_Products!$C$2:$C$71,MATCH($F61,Raw_Products!$A$2:$A$71,0))</f>
        <v>Colors</v>
      </c>
      <c r="I61" s="7">
        <f>VALUE(Raw_Orders!D61)</f>
        <v>2</v>
      </c>
      <c r="J61" s="11" t="str">
        <f>INDEX(Raw_Products!$D$2:$D$71,MATCH($F61,Raw_Products!$A$2:$A$71,0))</f>
        <v>1444</v>
      </c>
      <c r="K61" s="11">
        <f t="shared" si="0"/>
        <v>2888</v>
      </c>
      <c r="L61" s="12">
        <f>DATE(VALUE(RIGHT(Raw_Orders!E61,4)),VALUE(MID(Raw_Orders!E61,4,2)),VALUE(LEFT(Raw_Orders!E61,2)))</f>
        <v>45273</v>
      </c>
      <c r="M61" s="12">
        <f>DATE(VALUE(RIGHT(Raw_Orders!G61,4)),VALUE(MID(Raw_Orders!G61,4,2)),VALUE(LEFT(Raw_Orders!G61,2)))</f>
        <v>45275</v>
      </c>
      <c r="N61" s="7">
        <f t="shared" si="1"/>
        <v>2</v>
      </c>
      <c r="O61" s="7" t="str">
        <f>Raw_Orders!J61</f>
        <v>All Occasions</v>
      </c>
      <c r="P61" s="7" t="str">
        <f>Raw_Orders!I61</f>
        <v>Darbhanga</v>
      </c>
    </row>
    <row r="62" spans="1:16">
      <c r="A62" s="7" t="str">
        <f>Raw_Orders!A62</f>
        <v>61</v>
      </c>
      <c r="B62" s="7" t="str">
        <f>Raw_Orders!B62</f>
        <v>C058</v>
      </c>
      <c r="C62" s="7" t="str">
        <f>INDEX(Raw_Customers!$B$2:$B$101,MATCH($B62,Raw_Customers!$A$2:$A$101,0))</f>
        <v>Charvi Kanda</v>
      </c>
      <c r="D62" s="7" t="str">
        <f>TRIM(INDEX(Raw_Customers!$C$2:$C$101,MATCH($B62,Raw_Customers!$A$2:$A$101,0)))</f>
        <v>Guntakal</v>
      </c>
      <c r="E62" s="7" t="str">
        <f>"+91-"&amp;RIGHT("0000000000"&amp;INDEX(Raw_Customers!$D$2:$D$101,MATCH($B62,Raw_Customers!$A$2:$A$101,0)),10)</f>
        <v>+91-9771604920</v>
      </c>
      <c r="F62" s="7" t="str">
        <f>Raw_Orders!C62</f>
        <v>44</v>
      </c>
      <c r="G62" s="7" t="str">
        <f>INDEX(Raw_Products!$B$2:$B$71,MATCH($F62,Raw_Products!$A$2:$A$71,0))</f>
        <v>Dolorum Set</v>
      </c>
      <c r="H62" s="7" t="str">
        <f>INDEX(Raw_Products!$C$2:$C$71,MATCH($F62,Raw_Products!$A$2:$A$71,0))</f>
        <v>Plants</v>
      </c>
      <c r="I62" s="7">
        <f>VALUE(Raw_Orders!D62)</f>
        <v>2</v>
      </c>
      <c r="J62" s="11" t="str">
        <f>INDEX(Raw_Products!$D$2:$D$71,MATCH($F62,Raw_Products!$A$2:$A$71,0))</f>
        <v>794</v>
      </c>
      <c r="K62" s="11">
        <f t="shared" si="0"/>
        <v>1588</v>
      </c>
      <c r="L62" s="12">
        <f>DATE(VALUE(RIGHT(Raw_Orders!E62,4)),VALUE(MID(Raw_Orders!E62,4,2)),VALUE(LEFT(Raw_Orders!E62,2)))</f>
        <v>45238</v>
      </c>
      <c r="M62" s="12">
        <f>DATE(VALUE(RIGHT(Raw_Orders!G62,4)),VALUE(MID(Raw_Orders!G62,4,2)),VALUE(LEFT(Raw_Orders!G62,2)))</f>
        <v>45240</v>
      </c>
      <c r="N62" s="7">
        <f t="shared" si="1"/>
        <v>2</v>
      </c>
      <c r="O62" s="7" t="str">
        <f>Raw_Orders!J62</f>
        <v>Diwali</v>
      </c>
      <c r="P62" s="7" t="str">
        <f>Raw_Orders!I62</f>
        <v>Panihati</v>
      </c>
    </row>
    <row r="63" spans="1:16">
      <c r="A63" s="7" t="str">
        <f>Raw_Orders!A63</f>
        <v>62</v>
      </c>
      <c r="B63" s="7" t="str">
        <f>Raw_Orders!B63</f>
        <v>C074</v>
      </c>
      <c r="C63" s="7" t="str">
        <f>INDEX(Raw_Customers!$B$2:$B$101,MATCH($B63,Raw_Customers!$A$2:$A$101,0))</f>
        <v>Vanya Apte</v>
      </c>
      <c r="D63" s="7" t="str">
        <f>TRIM(INDEX(Raw_Customers!$C$2:$C$101,MATCH($B63,Raw_Customers!$A$2:$A$101,0)))</f>
        <v>Sultan Pur Majra</v>
      </c>
      <c r="E63" s="7" t="str">
        <f>"+91-"&amp;RIGHT("0000000000"&amp;INDEX(Raw_Customers!$D$2:$D$101,MATCH($B63,Raw_Customers!$A$2:$A$101,0)),10)</f>
        <v>+91-9182523205</v>
      </c>
      <c r="F63" s="7" t="str">
        <f>Raw_Orders!C63</f>
        <v>6</v>
      </c>
      <c r="G63" s="7" t="str">
        <f>INDEX(Raw_Products!$B$2:$B$71,MATCH($F63,Raw_Products!$A$2:$A$71,0))</f>
        <v>Quos Box</v>
      </c>
      <c r="H63" s="7" t="str">
        <f>INDEX(Raw_Products!$C$2:$C$71,MATCH($F63,Raw_Products!$A$2:$A$71,0))</f>
        <v>Cake</v>
      </c>
      <c r="I63" s="7">
        <f>VALUE(Raw_Orders!D63)</f>
        <v>4</v>
      </c>
      <c r="J63" s="11" t="str">
        <f>INDEX(Raw_Products!$D$2:$D$71,MATCH($F63,Raw_Products!$A$2:$A$71,0))</f>
        <v>1112</v>
      </c>
      <c r="K63" s="11">
        <f t="shared" si="0"/>
        <v>4448</v>
      </c>
      <c r="L63" s="12">
        <f>DATE(VALUE(RIGHT(Raw_Orders!E63,4)),VALUE(MID(Raw_Orders!E63,4,2)),VALUE(LEFT(Raw_Orders!E63,2)))</f>
        <v>44987</v>
      </c>
      <c r="M63" s="12">
        <f>DATE(VALUE(RIGHT(Raw_Orders!G63,4)),VALUE(MID(Raw_Orders!G63,4,2)),VALUE(LEFT(Raw_Orders!G63,2)))</f>
        <v>44991</v>
      </c>
      <c r="N63" s="7">
        <f t="shared" si="1"/>
        <v>4</v>
      </c>
      <c r="O63" s="7" t="str">
        <f>Raw_Orders!J63</f>
        <v>Holi</v>
      </c>
      <c r="P63" s="7" t="str">
        <f>Raw_Orders!I63</f>
        <v>Jorhat</v>
      </c>
    </row>
    <row r="64" spans="1:16">
      <c r="A64" s="7" t="str">
        <f>Raw_Orders!A64</f>
        <v>63</v>
      </c>
      <c r="B64" s="7" t="str">
        <f>Raw_Orders!B64</f>
        <v>C056</v>
      </c>
      <c r="C64" s="7" t="str">
        <f>INDEX(Raw_Customers!$B$2:$B$101,MATCH($B64,Raw_Customers!$A$2:$A$101,0))</f>
        <v>Pihu Choudhury</v>
      </c>
      <c r="D64" s="7" t="str">
        <f>TRIM(INDEX(Raw_Customers!$C$2:$C$101,MATCH($B64,Raw_Customers!$A$2:$A$101,0)))</f>
        <v>Haridwar</v>
      </c>
      <c r="E64" s="7" t="str">
        <f>"+91-"&amp;RIGHT("0000000000"&amp;INDEX(Raw_Customers!$D$2:$D$101,MATCH($B64,Raw_Customers!$A$2:$A$101,0)),10)</f>
        <v>+91-9732644810</v>
      </c>
      <c r="F64" s="7" t="str">
        <f>Raw_Orders!C64</f>
        <v>42</v>
      </c>
      <c r="G64" s="7" t="str">
        <f>INDEX(Raw_Products!$B$2:$B$71,MATCH($F64,Raw_Products!$A$2:$A$71,0))</f>
        <v>Expedita Gift</v>
      </c>
      <c r="H64" s="7" t="str">
        <f>INDEX(Raw_Products!$C$2:$C$71,MATCH($F64,Raw_Products!$A$2:$A$71,0))</f>
        <v>Sweets</v>
      </c>
      <c r="I64" s="7">
        <f>VALUE(Raw_Orders!D64)</f>
        <v>3</v>
      </c>
      <c r="J64" s="11" t="str">
        <f>INDEX(Raw_Products!$D$2:$D$71,MATCH($F64,Raw_Products!$A$2:$A$71,0))</f>
        <v>1744</v>
      </c>
      <c r="K64" s="11">
        <f t="shared" si="0"/>
        <v>5232</v>
      </c>
      <c r="L64" s="12">
        <f>DATE(VALUE(RIGHT(Raw_Orders!E64,4)),VALUE(MID(Raw_Orders!E64,4,2)),VALUE(LEFT(Raw_Orders!E64,2)))</f>
        <v>45102</v>
      </c>
      <c r="M64" s="12">
        <f>DATE(VALUE(RIGHT(Raw_Orders!G64,4)),VALUE(MID(Raw_Orders!G64,4,2)),VALUE(LEFT(Raw_Orders!G64,2)))</f>
        <v>45103</v>
      </c>
      <c r="N64" s="7">
        <f t="shared" si="1"/>
        <v>1</v>
      </c>
      <c r="O64" s="7" t="str">
        <f>Raw_Orders!J64</f>
        <v>All Occasions</v>
      </c>
      <c r="P64" s="7" t="str">
        <f>Raw_Orders!I64</f>
        <v>Munger</v>
      </c>
    </row>
    <row r="65" spans="1:16">
      <c r="A65" s="7" t="str">
        <f>Raw_Orders!A65</f>
        <v>64</v>
      </c>
      <c r="B65" s="7" t="str">
        <f>Raw_Orders!B65</f>
        <v>C015</v>
      </c>
      <c r="C65" s="7" t="str">
        <f>INDEX(Raw_Customers!$B$2:$B$101,MATCH($B65,Raw_Customers!$A$2:$A$101,0))</f>
        <v>Romil Bajwa</v>
      </c>
      <c r="D65" s="7" t="str">
        <f>TRIM(INDEX(Raw_Customers!$C$2:$C$101,MATCH($B65,Raw_Customers!$A$2:$A$101,0)))</f>
        <v>Kolkata</v>
      </c>
      <c r="E65" s="7" t="str">
        <f>"+91-"&amp;RIGHT("0000000000"&amp;INDEX(Raw_Customers!$D$2:$D$101,MATCH($B65,Raw_Customers!$A$2:$A$101,0)),10)</f>
        <v>+91-8664164910</v>
      </c>
      <c r="F65" s="7" t="str">
        <f>Raw_Orders!C65</f>
        <v>25</v>
      </c>
      <c r="G65" s="7" t="str">
        <f>INDEX(Raw_Products!$B$2:$B$71,MATCH($F65,Raw_Products!$A$2:$A$71,0))</f>
        <v>Qui Gift</v>
      </c>
      <c r="H65" s="7" t="str">
        <f>INDEX(Raw_Products!$C$2:$C$71,MATCH($F65,Raw_Products!$A$2:$A$71,0))</f>
        <v>Plants</v>
      </c>
      <c r="I65" s="7">
        <f>VALUE(Raw_Orders!D65)</f>
        <v>1</v>
      </c>
      <c r="J65" s="11" t="str">
        <f>INDEX(Raw_Products!$D$2:$D$71,MATCH($F65,Raw_Products!$A$2:$A$71,0))</f>
        <v>1202</v>
      </c>
      <c r="K65" s="11">
        <f t="shared" si="0"/>
        <v>1202</v>
      </c>
      <c r="L65" s="12">
        <f>DATE(VALUE(RIGHT(Raw_Orders!E65,4)),VALUE(MID(Raw_Orders!E65,4,2)),VALUE(LEFT(Raw_Orders!E65,2)))</f>
        <v>45089</v>
      </c>
      <c r="M65" s="12">
        <f>DATE(VALUE(RIGHT(Raw_Orders!G65,4)),VALUE(MID(Raw_Orders!G65,4,2)),VALUE(LEFT(Raw_Orders!G65,2)))</f>
        <v>45092</v>
      </c>
      <c r="N65" s="7">
        <f t="shared" si="1"/>
        <v>3</v>
      </c>
      <c r="O65" s="7" t="str">
        <f>Raw_Orders!J65</f>
        <v>Anniversary</v>
      </c>
      <c r="P65" s="7" t="str">
        <f>Raw_Orders!I65</f>
        <v>Chittoor</v>
      </c>
    </row>
    <row r="66" spans="1:16">
      <c r="A66" s="7" t="str">
        <f>Raw_Orders!A66</f>
        <v>65</v>
      </c>
      <c r="B66" s="7" t="str">
        <f>Raw_Orders!B66</f>
        <v>C033</v>
      </c>
      <c r="C66" s="7" t="str">
        <f>INDEX(Raw_Customers!$B$2:$B$101,MATCH($B66,Raw_Customers!$A$2:$A$101,0))</f>
        <v>Suhana Kurian</v>
      </c>
      <c r="D66" s="7" t="str">
        <f>TRIM(INDEX(Raw_Customers!$C$2:$C$101,MATCH($B66,Raw_Customers!$A$2:$A$101,0)))</f>
        <v>Indore</v>
      </c>
      <c r="E66" s="7" t="str">
        <f>"+91-"&amp;RIGHT("0000000000"&amp;INDEX(Raw_Customers!$D$2:$D$101,MATCH($B66,Raw_Customers!$A$2:$A$101,0)),10)</f>
        <v>+91-5713958095</v>
      </c>
      <c r="F66" s="7" t="str">
        <f>Raw_Orders!C66</f>
        <v>54</v>
      </c>
      <c r="G66" s="7" t="str">
        <f>INDEX(Raw_Products!$B$2:$B$71,MATCH($F66,Raw_Products!$A$2:$A$71,0))</f>
        <v>Occaecati Gift</v>
      </c>
      <c r="H66" s="7" t="str">
        <f>INDEX(Raw_Products!$C$2:$C$71,MATCH($F66,Raw_Products!$A$2:$A$71,0))</f>
        <v>Cake</v>
      </c>
      <c r="I66" s="7">
        <f>VALUE(Raw_Orders!D66)</f>
        <v>2</v>
      </c>
      <c r="J66" s="11" t="str">
        <f>INDEX(Raw_Products!$D$2:$D$71,MATCH($F66,Raw_Products!$A$2:$A$71,0))</f>
        <v>1236</v>
      </c>
      <c r="K66" s="11">
        <f t="shared" ref="K66:K129" si="2">I66*J66</f>
        <v>2472</v>
      </c>
      <c r="L66" s="12">
        <f>DATE(VALUE(RIGHT(Raw_Orders!E66,4)),VALUE(MID(Raw_Orders!E66,4,2)),VALUE(LEFT(Raw_Orders!E66,2)))</f>
        <v>45170</v>
      </c>
      <c r="M66" s="12">
        <f>DATE(VALUE(RIGHT(Raw_Orders!G66,4)),VALUE(MID(Raw_Orders!G66,4,2)),VALUE(LEFT(Raw_Orders!G66,2)))</f>
        <v>45180</v>
      </c>
      <c r="N66" s="7">
        <f t="shared" ref="N66:N129" si="3">M66-L66</f>
        <v>10</v>
      </c>
      <c r="O66" s="7" t="str">
        <f>Raw_Orders!J66</f>
        <v>Anniversary</v>
      </c>
      <c r="P66" s="7" t="str">
        <f>Raw_Orders!I66</f>
        <v>Berhampur</v>
      </c>
    </row>
    <row r="67" spans="1:16">
      <c r="A67" s="7" t="str">
        <f>Raw_Orders!A67</f>
        <v>66</v>
      </c>
      <c r="B67" s="7" t="str">
        <f>Raw_Orders!B67</f>
        <v>C017</v>
      </c>
      <c r="C67" s="7" t="str">
        <f>INDEX(Raw_Customers!$B$2:$B$101,MATCH($B67,Raw_Customers!$A$2:$A$101,0))</f>
        <v>Advika Dhar</v>
      </c>
      <c r="D67" s="7" t="str">
        <f>TRIM(INDEX(Raw_Customers!$C$2:$C$101,MATCH($B67,Raw_Customers!$A$2:$A$101,0)))</f>
        <v>Gangtok</v>
      </c>
      <c r="E67" s="7" t="str">
        <f>"+91-"&amp;RIGHT("0000000000"&amp;INDEX(Raw_Customers!$D$2:$D$101,MATCH($B67,Raw_Customers!$A$2:$A$101,0)),10)</f>
        <v>+91-2738556486</v>
      </c>
      <c r="F67" s="7" t="str">
        <f>Raw_Orders!C67</f>
        <v>35</v>
      </c>
      <c r="G67" s="7" t="str">
        <f>INDEX(Raw_Products!$B$2:$B$71,MATCH($F67,Raw_Products!$A$2:$A$71,0))</f>
        <v>Nam Gift</v>
      </c>
      <c r="H67" s="7" t="str">
        <f>INDEX(Raw_Products!$C$2:$C$71,MATCH($F67,Raw_Products!$A$2:$A$71,0))</f>
        <v>Colors</v>
      </c>
      <c r="I67" s="7">
        <f>VALUE(Raw_Orders!D67)</f>
        <v>5</v>
      </c>
      <c r="J67" s="11" t="str">
        <f>INDEX(Raw_Products!$D$2:$D$71,MATCH($F67,Raw_Products!$A$2:$A$71,0))</f>
        <v>1865</v>
      </c>
      <c r="K67" s="11">
        <f t="shared" si="2"/>
        <v>9325</v>
      </c>
      <c r="L67" s="12">
        <f>DATE(VALUE(RIGHT(Raw_Orders!E67,4)),VALUE(MID(Raw_Orders!E67,4,2)),VALUE(LEFT(Raw_Orders!E67,2)))</f>
        <v>44983</v>
      </c>
      <c r="M67" s="12">
        <f>DATE(VALUE(RIGHT(Raw_Orders!G67,4)),VALUE(MID(Raw_Orders!G67,4,2)),VALUE(LEFT(Raw_Orders!G67,2)))</f>
        <v>44984</v>
      </c>
      <c r="N67" s="7">
        <f t="shared" si="3"/>
        <v>1</v>
      </c>
      <c r="O67" s="7" t="str">
        <f>Raw_Orders!J67</f>
        <v>Holi</v>
      </c>
      <c r="P67" s="7" t="str">
        <f>Raw_Orders!I67</f>
        <v>Munger</v>
      </c>
    </row>
    <row r="68" spans="1:16">
      <c r="A68" s="7" t="str">
        <f>Raw_Orders!A68</f>
        <v>67</v>
      </c>
      <c r="B68" s="7" t="str">
        <f>Raw_Orders!B68</f>
        <v>C047</v>
      </c>
      <c r="C68" s="7" t="str">
        <f>INDEX(Raw_Customers!$B$2:$B$101,MATCH($B68,Raw_Customers!$A$2:$A$101,0))</f>
        <v>Bhamini Ravi</v>
      </c>
      <c r="D68" s="7" t="str">
        <f>TRIM(INDEX(Raw_Customers!$C$2:$C$101,MATCH($B68,Raw_Customers!$A$2:$A$101,0)))</f>
        <v>Jorhat</v>
      </c>
      <c r="E68" s="7" t="str">
        <f>"+91-"&amp;RIGHT("0000000000"&amp;INDEX(Raw_Customers!$D$2:$D$101,MATCH($B68,Raw_Customers!$A$2:$A$101,0)),10)</f>
        <v>+91-0798274175</v>
      </c>
      <c r="F68" s="7" t="str">
        <f>Raw_Orders!C68</f>
        <v>10</v>
      </c>
      <c r="G68" s="7" t="str">
        <f>INDEX(Raw_Products!$B$2:$B$71,MATCH($F68,Raw_Products!$A$2:$A$71,0))</f>
        <v>Accusantium Gift</v>
      </c>
      <c r="H68" s="7" t="str">
        <f>INDEX(Raw_Products!$C$2:$C$71,MATCH($F68,Raw_Products!$A$2:$A$71,0))</f>
        <v>Cake</v>
      </c>
      <c r="I68" s="7">
        <f>VALUE(Raw_Orders!D68)</f>
        <v>2</v>
      </c>
      <c r="J68" s="11" t="str">
        <f>INDEX(Raw_Products!$D$2:$D$71,MATCH($F68,Raw_Products!$A$2:$A$71,0))</f>
        <v>259</v>
      </c>
      <c r="K68" s="11">
        <f t="shared" si="2"/>
        <v>518</v>
      </c>
      <c r="L68" s="12">
        <f>DATE(VALUE(RIGHT(Raw_Orders!E68,4)),VALUE(MID(Raw_Orders!E68,4,2)),VALUE(LEFT(Raw_Orders!E68,2)))</f>
        <v>45113</v>
      </c>
      <c r="M68" s="12">
        <f>DATE(VALUE(RIGHT(Raw_Orders!G68,4)),VALUE(MID(Raw_Orders!G68,4,2)),VALUE(LEFT(Raw_Orders!G68,2)))</f>
        <v>45121</v>
      </c>
      <c r="N68" s="7">
        <f t="shared" si="3"/>
        <v>8</v>
      </c>
      <c r="O68" s="7" t="str">
        <f>Raw_Orders!J68</f>
        <v>Birthday</v>
      </c>
      <c r="P68" s="7" t="str">
        <f>Raw_Orders!I68</f>
        <v>Thrissur</v>
      </c>
    </row>
    <row r="69" spans="1:16">
      <c r="A69" s="7" t="str">
        <f>Raw_Orders!A69</f>
        <v>68</v>
      </c>
      <c r="B69" s="7" t="str">
        <f>Raw_Orders!B69</f>
        <v>C050</v>
      </c>
      <c r="C69" s="7" t="str">
        <f>INDEX(Raw_Customers!$B$2:$B$101,MATCH($B69,Raw_Customers!$A$2:$A$101,0))</f>
        <v>Chirag Srinivas</v>
      </c>
      <c r="D69" s="7" t="str">
        <f>TRIM(INDEX(Raw_Customers!$C$2:$C$101,MATCH($B69,Raw_Customers!$A$2:$A$101,0)))</f>
        <v>Imphal</v>
      </c>
      <c r="E69" s="7" t="str">
        <f>"+91-"&amp;RIGHT("0000000000"&amp;INDEX(Raw_Customers!$D$2:$D$101,MATCH($B69,Raw_Customers!$A$2:$A$101,0)),10)</f>
        <v>+91-1157961919</v>
      </c>
      <c r="F69" s="7" t="str">
        <f>Raw_Orders!C69</f>
        <v>34</v>
      </c>
      <c r="G69" s="7" t="str">
        <f>INDEX(Raw_Products!$B$2:$B$71,MATCH($F69,Raw_Products!$A$2:$A$71,0))</f>
        <v>Placeat Pack</v>
      </c>
      <c r="H69" s="7" t="str">
        <f>INDEX(Raw_Products!$C$2:$C$71,MATCH($F69,Raw_Products!$A$2:$A$71,0))</f>
        <v>Soft Toys</v>
      </c>
      <c r="I69" s="7">
        <f>VALUE(Raw_Orders!D69)</f>
        <v>4</v>
      </c>
      <c r="J69" s="11" t="str">
        <f>INDEX(Raw_Products!$D$2:$D$71,MATCH($F69,Raw_Products!$A$2:$A$71,0))</f>
        <v>1335</v>
      </c>
      <c r="K69" s="11">
        <f t="shared" si="2"/>
        <v>5340</v>
      </c>
      <c r="L69" s="12">
        <f>DATE(VALUE(RIGHT(Raw_Orders!E69,4)),VALUE(MID(Raw_Orders!E69,4,2)),VALUE(LEFT(Raw_Orders!E69,2)))</f>
        <v>45163</v>
      </c>
      <c r="M69" s="12">
        <f>DATE(VALUE(RIGHT(Raw_Orders!G69,4)),VALUE(MID(Raw_Orders!G69,4,2)),VALUE(LEFT(Raw_Orders!G69,2)))</f>
        <v>45169</v>
      </c>
      <c r="N69" s="7">
        <f t="shared" si="3"/>
        <v>6</v>
      </c>
      <c r="O69" s="7" t="str">
        <f>Raw_Orders!J69</f>
        <v>Raksha Bandhan</v>
      </c>
      <c r="P69" s="7" t="str">
        <f>Raw_Orders!I69</f>
        <v>Ahmedabad</v>
      </c>
    </row>
    <row r="70" spans="1:16">
      <c r="A70" s="7" t="str">
        <f>Raw_Orders!A70</f>
        <v>69</v>
      </c>
      <c r="B70" s="7" t="str">
        <f>Raw_Orders!B70</f>
        <v>C091</v>
      </c>
      <c r="C70" s="7" t="str">
        <f>INDEX(Raw_Customers!$B$2:$B$101,MATCH($B70,Raw_Customers!$A$2:$A$101,0))</f>
        <v>Adira Rajan</v>
      </c>
      <c r="D70" s="7" t="str">
        <f>TRIM(INDEX(Raw_Customers!$C$2:$C$101,MATCH($B70,Raw_Customers!$A$2:$A$101,0)))</f>
        <v>New Delhi</v>
      </c>
      <c r="E70" s="7" t="str">
        <f>"+91-"&amp;RIGHT("0000000000"&amp;INDEX(Raw_Customers!$D$2:$D$101,MATCH($B70,Raw_Customers!$A$2:$A$101,0)),10)</f>
        <v>+91-5525478357</v>
      </c>
      <c r="F70" s="7" t="str">
        <f>Raw_Orders!C70</f>
        <v>12</v>
      </c>
      <c r="G70" s="7" t="str">
        <f>INDEX(Raw_Products!$B$2:$B$71,MATCH($F70,Raw_Products!$A$2:$A$71,0))</f>
        <v>Non Set</v>
      </c>
      <c r="H70" s="7" t="str">
        <f>INDEX(Raw_Products!$C$2:$C$71,MATCH($F70,Raw_Products!$A$2:$A$71,0))</f>
        <v>Plants</v>
      </c>
      <c r="I70" s="7">
        <f>VALUE(Raw_Orders!D70)</f>
        <v>4</v>
      </c>
      <c r="J70" s="11" t="str">
        <f>INDEX(Raw_Products!$D$2:$D$71,MATCH($F70,Raw_Products!$A$2:$A$71,0))</f>
        <v>672</v>
      </c>
      <c r="K70" s="11">
        <f t="shared" si="2"/>
        <v>2688</v>
      </c>
      <c r="L70" s="12">
        <f>DATE(VALUE(RIGHT(Raw_Orders!E70,4)),VALUE(MID(Raw_Orders!E70,4,2)),VALUE(LEFT(Raw_Orders!E70,2)))</f>
        <v>45171</v>
      </c>
      <c r="M70" s="12">
        <f>DATE(VALUE(RIGHT(Raw_Orders!G70,4)),VALUE(MID(Raw_Orders!G70,4,2)),VALUE(LEFT(Raw_Orders!G70,2)))</f>
        <v>45177</v>
      </c>
      <c r="N70" s="7">
        <f t="shared" si="3"/>
        <v>6</v>
      </c>
      <c r="O70" s="7" t="str">
        <f>Raw_Orders!J70</f>
        <v>Anniversary</v>
      </c>
      <c r="P70" s="7" t="str">
        <f>Raw_Orders!I70</f>
        <v>Hyderabad</v>
      </c>
    </row>
    <row r="71" spans="1:16">
      <c r="A71" s="7" t="str">
        <f>Raw_Orders!A71</f>
        <v>70</v>
      </c>
      <c r="B71" s="7" t="str">
        <f>Raw_Orders!B71</f>
        <v>C037</v>
      </c>
      <c r="C71" s="7" t="str">
        <f>INDEX(Raw_Customers!$B$2:$B$101,MATCH($B71,Raw_Customers!$A$2:$A$101,0))</f>
        <v>Aradhya Kumar</v>
      </c>
      <c r="D71" s="7" t="str">
        <f>TRIM(INDEX(Raw_Customers!$C$2:$C$101,MATCH($B71,Raw_Customers!$A$2:$A$101,0)))</f>
        <v>Davanagere</v>
      </c>
      <c r="E71" s="7" t="str">
        <f>"+91-"&amp;RIGHT("0000000000"&amp;INDEX(Raw_Customers!$D$2:$D$101,MATCH($B71,Raw_Customers!$A$2:$A$101,0)),10)</f>
        <v>+91-1972392634</v>
      </c>
      <c r="F71" s="7" t="str">
        <f>Raw_Orders!C71</f>
        <v>17</v>
      </c>
      <c r="G71" s="7" t="str">
        <f>INDEX(Raw_Products!$B$2:$B$71,MATCH($F71,Raw_Products!$A$2:$A$71,0))</f>
        <v>Delectus Gift</v>
      </c>
      <c r="H71" s="7" t="str">
        <f>INDEX(Raw_Products!$C$2:$C$71,MATCH($F71,Raw_Products!$A$2:$A$71,0))</f>
        <v>Soft Toys</v>
      </c>
      <c r="I71" s="7">
        <f>VALUE(Raw_Orders!D71)</f>
        <v>1</v>
      </c>
      <c r="J71" s="11" t="str">
        <f>INDEX(Raw_Products!$D$2:$D$71,MATCH($F71,Raw_Products!$A$2:$A$71,0))</f>
        <v>1899</v>
      </c>
      <c r="K71" s="11">
        <f t="shared" si="2"/>
        <v>1899</v>
      </c>
      <c r="L71" s="12">
        <f>DATE(VALUE(RIGHT(Raw_Orders!E71,4)),VALUE(MID(Raw_Orders!E71,4,2)),VALUE(LEFT(Raw_Orders!E71,2)))</f>
        <v>45197</v>
      </c>
      <c r="M71" s="12">
        <f>DATE(VALUE(RIGHT(Raw_Orders!G71,4)),VALUE(MID(Raw_Orders!G71,4,2)),VALUE(LEFT(Raw_Orders!G71,2)))</f>
        <v>45202</v>
      </c>
      <c r="N71" s="7">
        <f t="shared" si="3"/>
        <v>5</v>
      </c>
      <c r="O71" s="7" t="str">
        <f>Raw_Orders!J71</f>
        <v>Anniversary</v>
      </c>
      <c r="P71" s="7" t="str">
        <f>Raw_Orders!I71</f>
        <v>Vijayanagaram</v>
      </c>
    </row>
    <row r="72" spans="1:16">
      <c r="A72" s="7" t="str">
        <f>Raw_Orders!A72</f>
        <v>71</v>
      </c>
      <c r="B72" s="7" t="str">
        <f>Raw_Orders!B72</f>
        <v>C013</v>
      </c>
      <c r="C72" s="7" t="str">
        <f>INDEX(Raw_Customers!$B$2:$B$101,MATCH($B72,Raw_Customers!$A$2:$A$101,0))</f>
        <v>Manikya Goswami</v>
      </c>
      <c r="D72" s="7" t="str">
        <f>TRIM(INDEX(Raw_Customers!$C$2:$C$101,MATCH($B72,Raw_Customers!$A$2:$A$101,0)))</f>
        <v>Mangalore</v>
      </c>
      <c r="E72" s="7" t="str">
        <f>"+91-"&amp;RIGHT("0000000000"&amp;INDEX(Raw_Customers!$D$2:$D$101,MATCH($B72,Raw_Customers!$A$2:$A$101,0)),10)</f>
        <v>+91-2112817503</v>
      </c>
      <c r="F72" s="7" t="str">
        <f>Raw_Orders!C72</f>
        <v>9</v>
      </c>
      <c r="G72" s="7" t="str">
        <f>INDEX(Raw_Products!$B$2:$B$71,MATCH($F72,Raw_Products!$A$2:$A$71,0))</f>
        <v>Aperiam Box</v>
      </c>
      <c r="H72" s="7" t="str">
        <f>INDEX(Raw_Products!$C$2:$C$71,MATCH($F72,Raw_Products!$A$2:$A$71,0))</f>
        <v>Colors</v>
      </c>
      <c r="I72" s="7">
        <f>VALUE(Raw_Orders!D72)</f>
        <v>5</v>
      </c>
      <c r="J72" s="11" t="str">
        <f>INDEX(Raw_Products!$D$2:$D$71,MATCH($F72,Raw_Products!$A$2:$A$71,0))</f>
        <v>1605</v>
      </c>
      <c r="K72" s="11">
        <f t="shared" si="2"/>
        <v>8025</v>
      </c>
      <c r="L72" s="12">
        <f>DATE(VALUE(RIGHT(Raw_Orders!E72,4)),VALUE(MID(Raw_Orders!E72,4,2)),VALUE(LEFT(Raw_Orders!E72,2)))</f>
        <v>45158</v>
      </c>
      <c r="M72" s="12">
        <f>DATE(VALUE(RIGHT(Raw_Orders!G72,4)),VALUE(MID(Raw_Orders!G72,4,2)),VALUE(LEFT(Raw_Orders!G72,2)))</f>
        <v>45166</v>
      </c>
      <c r="N72" s="7">
        <f t="shared" si="3"/>
        <v>8</v>
      </c>
      <c r="O72" s="7" t="str">
        <f>Raw_Orders!J72</f>
        <v>Raksha Bandhan</v>
      </c>
      <c r="P72" s="7" t="str">
        <f>Raw_Orders!I72</f>
        <v>Karnal</v>
      </c>
    </row>
    <row r="73" spans="1:16">
      <c r="A73" s="7" t="str">
        <f>Raw_Orders!A73</f>
        <v>72</v>
      </c>
      <c r="B73" s="7" t="str">
        <f>Raw_Orders!B73</f>
        <v>C058</v>
      </c>
      <c r="C73" s="7" t="str">
        <f>INDEX(Raw_Customers!$B$2:$B$101,MATCH($B73,Raw_Customers!$A$2:$A$101,0))</f>
        <v>Charvi Kanda</v>
      </c>
      <c r="D73" s="7" t="str">
        <f>TRIM(INDEX(Raw_Customers!$C$2:$C$101,MATCH($B73,Raw_Customers!$A$2:$A$101,0)))</f>
        <v>Guntakal</v>
      </c>
      <c r="E73" s="7" t="str">
        <f>"+91-"&amp;RIGHT("0000000000"&amp;INDEX(Raw_Customers!$D$2:$D$101,MATCH($B73,Raw_Customers!$A$2:$A$101,0)),10)</f>
        <v>+91-9771604920</v>
      </c>
      <c r="F73" s="7" t="str">
        <f>Raw_Orders!C73</f>
        <v>26</v>
      </c>
      <c r="G73" s="7" t="str">
        <f>INDEX(Raw_Products!$B$2:$B$71,MATCH($F73,Raw_Products!$A$2:$A$71,0))</f>
        <v>Aliquam Box</v>
      </c>
      <c r="H73" s="7" t="str">
        <f>INDEX(Raw_Products!$C$2:$C$71,MATCH($F73,Raw_Products!$A$2:$A$71,0))</f>
        <v>Colors</v>
      </c>
      <c r="I73" s="7">
        <f>VALUE(Raw_Orders!D73)</f>
        <v>3</v>
      </c>
      <c r="J73" s="11" t="str">
        <f>INDEX(Raw_Products!$D$2:$D$71,MATCH($F73,Raw_Products!$A$2:$A$71,0))</f>
        <v>289</v>
      </c>
      <c r="K73" s="11">
        <f t="shared" si="2"/>
        <v>867</v>
      </c>
      <c r="L73" s="12">
        <f>DATE(VALUE(RIGHT(Raw_Orders!E73,4)),VALUE(MID(Raw_Orders!E73,4,2)),VALUE(LEFT(Raw_Orders!E73,2)))</f>
        <v>44988</v>
      </c>
      <c r="M73" s="12">
        <f>DATE(VALUE(RIGHT(Raw_Orders!G73,4)),VALUE(MID(Raw_Orders!G73,4,2)),VALUE(LEFT(Raw_Orders!G73,2)))</f>
        <v>44997</v>
      </c>
      <c r="N73" s="7">
        <f t="shared" si="3"/>
        <v>9</v>
      </c>
      <c r="O73" s="7" t="str">
        <f>Raw_Orders!J73</f>
        <v>Holi</v>
      </c>
      <c r="P73" s="7" t="str">
        <f>Raw_Orders!I73</f>
        <v>Bally</v>
      </c>
    </row>
    <row r="74" spans="1:16">
      <c r="A74" s="7" t="str">
        <f>Raw_Orders!A74</f>
        <v>73</v>
      </c>
      <c r="B74" s="7" t="str">
        <f>Raw_Orders!B74</f>
        <v>C057</v>
      </c>
      <c r="C74" s="7" t="str">
        <f>INDEX(Raw_Customers!$B$2:$B$101,MATCH($B74,Raw_Customers!$A$2:$A$101,0))</f>
        <v>Zain Hegde</v>
      </c>
      <c r="D74" s="7" t="str">
        <f>TRIM(INDEX(Raw_Customers!$C$2:$C$101,MATCH($B74,Raw_Customers!$A$2:$A$101,0)))</f>
        <v>Delhi</v>
      </c>
      <c r="E74" s="7" t="str">
        <f>"+91-"&amp;RIGHT("0000000000"&amp;INDEX(Raw_Customers!$D$2:$D$101,MATCH($B74,Raw_Customers!$A$2:$A$101,0)),10)</f>
        <v>+91-8736997123</v>
      </c>
      <c r="F74" s="7" t="str">
        <f>Raw_Orders!C74</f>
        <v>26</v>
      </c>
      <c r="G74" s="7" t="str">
        <f>INDEX(Raw_Products!$B$2:$B$71,MATCH($F74,Raw_Products!$A$2:$A$71,0))</f>
        <v>Aliquam Box</v>
      </c>
      <c r="H74" s="7" t="str">
        <f>INDEX(Raw_Products!$C$2:$C$71,MATCH($F74,Raw_Products!$A$2:$A$71,0))</f>
        <v>Colors</v>
      </c>
      <c r="I74" s="7">
        <f>VALUE(Raw_Orders!D74)</f>
        <v>1</v>
      </c>
      <c r="J74" s="11" t="str">
        <f>INDEX(Raw_Products!$D$2:$D$71,MATCH($F74,Raw_Products!$A$2:$A$71,0))</f>
        <v>289</v>
      </c>
      <c r="K74" s="11">
        <f t="shared" si="2"/>
        <v>289</v>
      </c>
      <c r="L74" s="12">
        <f>DATE(VALUE(RIGHT(Raw_Orders!E74,4)),VALUE(MID(Raw_Orders!E74,4,2)),VALUE(LEFT(Raw_Orders!E74,2)))</f>
        <v>44988</v>
      </c>
      <c r="M74" s="12">
        <f>DATE(VALUE(RIGHT(Raw_Orders!G74,4)),VALUE(MID(Raw_Orders!G74,4,2)),VALUE(LEFT(Raw_Orders!G74,2)))</f>
        <v>44996</v>
      </c>
      <c r="N74" s="7">
        <f t="shared" si="3"/>
        <v>8</v>
      </c>
      <c r="O74" s="7" t="str">
        <f>Raw_Orders!J74</f>
        <v>Holi</v>
      </c>
      <c r="P74" s="7" t="str">
        <f>Raw_Orders!I74</f>
        <v>Farrukhabad</v>
      </c>
    </row>
    <row r="75" spans="1:16">
      <c r="A75" s="7" t="str">
        <f>Raw_Orders!A75</f>
        <v>74</v>
      </c>
      <c r="B75" s="7" t="str">
        <f>Raw_Orders!B75</f>
        <v>C024</v>
      </c>
      <c r="C75" s="7" t="str">
        <f>INDEX(Raw_Customers!$B$2:$B$101,MATCH($B75,Raw_Customers!$A$2:$A$101,0))</f>
        <v>Jhanvi Chowdhury</v>
      </c>
      <c r="D75" s="7" t="str">
        <f>TRIM(INDEX(Raw_Customers!$C$2:$C$101,MATCH($B75,Raw_Customers!$A$2:$A$101,0)))</f>
        <v>Kavali</v>
      </c>
      <c r="E75" s="7" t="str">
        <f>"+91-"&amp;RIGHT("0000000000"&amp;INDEX(Raw_Customers!$D$2:$D$101,MATCH($B75,Raw_Customers!$A$2:$A$101,0)),10)</f>
        <v>+91-0316756360</v>
      </c>
      <c r="F75" s="7" t="str">
        <f>Raw_Orders!C75</f>
        <v>31</v>
      </c>
      <c r="G75" s="7" t="str">
        <f>INDEX(Raw_Products!$B$2:$B$71,MATCH($F75,Raw_Products!$A$2:$A$71,0))</f>
        <v>Nihil Box</v>
      </c>
      <c r="H75" s="7" t="str">
        <f>INDEX(Raw_Products!$C$2:$C$71,MATCH($F75,Raw_Products!$A$2:$A$71,0))</f>
        <v>Colors</v>
      </c>
      <c r="I75" s="7">
        <f>VALUE(Raw_Orders!D75)</f>
        <v>3</v>
      </c>
      <c r="J75" s="11" t="str">
        <f>INDEX(Raw_Products!$D$2:$D$71,MATCH($F75,Raw_Products!$A$2:$A$71,0))</f>
        <v>1804</v>
      </c>
      <c r="K75" s="11">
        <f t="shared" si="2"/>
        <v>5412</v>
      </c>
      <c r="L75" s="12">
        <f>DATE(VALUE(RIGHT(Raw_Orders!E75,4)),VALUE(MID(Raw_Orders!E75,4,2)),VALUE(LEFT(Raw_Orders!E75,2)))</f>
        <v>44927</v>
      </c>
      <c r="M75" s="12">
        <f>DATE(VALUE(RIGHT(Raw_Orders!G75,4)),VALUE(MID(Raw_Orders!G75,4,2)),VALUE(LEFT(Raw_Orders!G75,2)))</f>
        <v>44933</v>
      </c>
      <c r="N75" s="7">
        <f t="shared" si="3"/>
        <v>6</v>
      </c>
      <c r="O75" s="7" t="str">
        <f>Raw_Orders!J75</f>
        <v>All Occasions</v>
      </c>
      <c r="P75" s="7" t="str">
        <f>Raw_Orders!I75</f>
        <v>Shivpuri</v>
      </c>
    </row>
    <row r="76" spans="1:16">
      <c r="A76" s="7" t="str">
        <f>Raw_Orders!A76</f>
        <v>75</v>
      </c>
      <c r="B76" s="7" t="str">
        <f>Raw_Orders!B76</f>
        <v>C009</v>
      </c>
      <c r="C76" s="7" t="str">
        <f>INDEX(Raw_Customers!$B$2:$B$101,MATCH($B76,Raw_Customers!$A$2:$A$101,0))</f>
        <v>Ritvik Borah</v>
      </c>
      <c r="D76" s="7" t="str">
        <f>TRIM(INDEX(Raw_Customers!$C$2:$C$101,MATCH($B76,Raw_Customers!$A$2:$A$101,0)))</f>
        <v>Madurai</v>
      </c>
      <c r="E76" s="7" t="str">
        <f>"+91-"&amp;RIGHT("0000000000"&amp;INDEX(Raw_Customers!$D$2:$D$101,MATCH($B76,Raw_Customers!$A$2:$A$101,0)),10)</f>
        <v>+91-1336765676</v>
      </c>
      <c r="F76" s="7" t="str">
        <f>Raw_Orders!C76</f>
        <v>65</v>
      </c>
      <c r="G76" s="7" t="str">
        <f>INDEX(Raw_Products!$B$2:$B$71,MATCH($F76,Raw_Products!$A$2:$A$71,0))</f>
        <v>Error Gift</v>
      </c>
      <c r="H76" s="7" t="str">
        <f>INDEX(Raw_Products!$C$2:$C$71,MATCH($F76,Raw_Products!$A$2:$A$71,0))</f>
        <v>Raksha Bandhan</v>
      </c>
      <c r="I76" s="7">
        <f>VALUE(Raw_Orders!D76)</f>
        <v>2</v>
      </c>
      <c r="J76" s="11" t="str">
        <f>INDEX(Raw_Products!$D$2:$D$71,MATCH($F76,Raw_Products!$A$2:$A$71,0))</f>
        <v>1895</v>
      </c>
      <c r="K76" s="11">
        <f t="shared" si="2"/>
        <v>3790</v>
      </c>
      <c r="L76" s="12">
        <f>DATE(VALUE(RIGHT(Raw_Orders!E76,4)),VALUE(MID(Raw_Orders!E76,4,2)),VALUE(LEFT(Raw_Orders!E76,2)))</f>
        <v>45022</v>
      </c>
      <c r="M76" s="12">
        <f>DATE(VALUE(RIGHT(Raw_Orders!G76,4)),VALUE(MID(Raw_Orders!G76,4,2)),VALUE(LEFT(Raw_Orders!G76,2)))</f>
        <v>45025</v>
      </c>
      <c r="N76" s="7">
        <f t="shared" si="3"/>
        <v>3</v>
      </c>
      <c r="O76" s="7" t="str">
        <f>Raw_Orders!J76</f>
        <v>All Occasions</v>
      </c>
      <c r="P76" s="7" t="str">
        <f>Raw_Orders!I76</f>
        <v>Bally</v>
      </c>
    </row>
    <row r="77" spans="1:16">
      <c r="A77" s="7" t="str">
        <f>Raw_Orders!A77</f>
        <v>76</v>
      </c>
      <c r="B77" s="7" t="str">
        <f>Raw_Orders!B77</f>
        <v>C054</v>
      </c>
      <c r="C77" s="7" t="str">
        <f>INDEX(Raw_Customers!$B$2:$B$101,MATCH($B77,Raw_Customers!$A$2:$A$101,0))</f>
        <v>Umang Ahuja</v>
      </c>
      <c r="D77" s="7" t="str">
        <f>TRIM(INDEX(Raw_Customers!$C$2:$C$101,MATCH($B77,Raw_Customers!$A$2:$A$101,0)))</f>
        <v>Bidhannagar</v>
      </c>
      <c r="E77" s="7" t="str">
        <f>"+91-"&amp;RIGHT("0000000000"&amp;INDEX(Raw_Customers!$D$2:$D$101,MATCH($B77,Raw_Customers!$A$2:$A$101,0)),10)</f>
        <v>+91-7271590783</v>
      </c>
      <c r="F77" s="7" t="str">
        <f>Raw_Orders!C77</f>
        <v>4</v>
      </c>
      <c r="G77" s="7" t="str">
        <f>INDEX(Raw_Products!$B$2:$B$71,MATCH($F77,Raw_Products!$A$2:$A$71,0))</f>
        <v>Accusantium Set</v>
      </c>
      <c r="H77" s="7" t="str">
        <f>INDEX(Raw_Products!$C$2:$C$71,MATCH($F77,Raw_Products!$A$2:$A$71,0))</f>
        <v>Sweets</v>
      </c>
      <c r="I77" s="7">
        <f>VALUE(Raw_Orders!D77)</f>
        <v>1</v>
      </c>
      <c r="J77" s="11" t="str">
        <f>INDEX(Raw_Products!$D$2:$D$71,MATCH($F77,Raw_Products!$A$2:$A$71,0))</f>
        <v>1199</v>
      </c>
      <c r="K77" s="11">
        <f t="shared" si="2"/>
        <v>1199</v>
      </c>
      <c r="L77" s="12">
        <f>DATE(VALUE(RIGHT(Raw_Orders!E77,4)),VALUE(MID(Raw_Orders!E77,4,2)),VALUE(LEFT(Raw_Orders!E77,2)))</f>
        <v>45239</v>
      </c>
      <c r="M77" s="12">
        <f>DATE(VALUE(RIGHT(Raw_Orders!G77,4)),VALUE(MID(Raw_Orders!G77,4,2)),VALUE(LEFT(Raw_Orders!G77,2)))</f>
        <v>45242</v>
      </c>
      <c r="N77" s="7">
        <f t="shared" si="3"/>
        <v>3</v>
      </c>
      <c r="O77" s="7" t="str">
        <f>Raw_Orders!J77</f>
        <v>Diwali</v>
      </c>
      <c r="P77" s="7" t="str">
        <f>Raw_Orders!I77</f>
        <v>Anand</v>
      </c>
    </row>
    <row r="78" spans="1:16">
      <c r="A78" s="7" t="str">
        <f>Raw_Orders!A78</f>
        <v>77</v>
      </c>
      <c r="B78" s="7" t="str">
        <f>Raw_Orders!B78</f>
        <v>C028</v>
      </c>
      <c r="C78" s="7" t="str">
        <f>INDEX(Raw_Customers!$B$2:$B$101,MATCH($B78,Raw_Customers!$A$2:$A$101,0))</f>
        <v>Hridaan Rajagopalan</v>
      </c>
      <c r="D78" s="7" t="str">
        <f>TRIM(INDEX(Raw_Customers!$C$2:$C$101,MATCH($B78,Raw_Customers!$A$2:$A$101,0)))</f>
        <v>Noida</v>
      </c>
      <c r="E78" s="7" t="str">
        <f>"+91-"&amp;RIGHT("0000000000"&amp;INDEX(Raw_Customers!$D$2:$D$101,MATCH($B78,Raw_Customers!$A$2:$A$101,0)),10)</f>
        <v>+91-2539728317</v>
      </c>
      <c r="F78" s="7" t="str">
        <f>Raw_Orders!C78</f>
        <v>42</v>
      </c>
      <c r="G78" s="7" t="str">
        <f>INDEX(Raw_Products!$B$2:$B$71,MATCH($F78,Raw_Products!$A$2:$A$71,0))</f>
        <v>Expedita Gift</v>
      </c>
      <c r="H78" s="7" t="str">
        <f>INDEX(Raw_Products!$C$2:$C$71,MATCH($F78,Raw_Products!$A$2:$A$71,0))</f>
        <v>Sweets</v>
      </c>
      <c r="I78" s="7">
        <f>VALUE(Raw_Orders!D78)</f>
        <v>3</v>
      </c>
      <c r="J78" s="11" t="str">
        <f>INDEX(Raw_Products!$D$2:$D$71,MATCH($F78,Raw_Products!$A$2:$A$71,0))</f>
        <v>1744</v>
      </c>
      <c r="K78" s="11">
        <f t="shared" si="2"/>
        <v>5232</v>
      </c>
      <c r="L78" s="12">
        <f>DATE(VALUE(RIGHT(Raw_Orders!E78,4)),VALUE(MID(Raw_Orders!E78,4,2)),VALUE(LEFT(Raw_Orders!E78,2)))</f>
        <v>45143</v>
      </c>
      <c r="M78" s="12">
        <f>DATE(VALUE(RIGHT(Raw_Orders!G78,4)),VALUE(MID(Raw_Orders!G78,4,2)),VALUE(LEFT(Raw_Orders!G78,2)))</f>
        <v>45151</v>
      </c>
      <c r="N78" s="7">
        <f t="shared" si="3"/>
        <v>8</v>
      </c>
      <c r="O78" s="7" t="str">
        <f>Raw_Orders!J78</f>
        <v>All Occasions</v>
      </c>
      <c r="P78" s="7" t="str">
        <f>Raw_Orders!I78</f>
        <v>Kanpur</v>
      </c>
    </row>
    <row r="79" spans="1:16">
      <c r="A79" s="7" t="str">
        <f>Raw_Orders!A79</f>
        <v>78</v>
      </c>
      <c r="B79" s="7" t="str">
        <f>Raw_Orders!B79</f>
        <v>C062</v>
      </c>
      <c r="C79" s="7" t="str">
        <f>INDEX(Raw_Customers!$B$2:$B$101,MATCH($B79,Raw_Customers!$A$2:$A$101,0))</f>
        <v>Inaaya  Sarraf</v>
      </c>
      <c r="D79" s="7" t="str">
        <f>TRIM(INDEX(Raw_Customers!$C$2:$C$101,MATCH($B79,Raw_Customers!$A$2:$A$101,0)))</f>
        <v>Nagpur</v>
      </c>
      <c r="E79" s="7" t="str">
        <f>"+91-"&amp;RIGHT("0000000000"&amp;INDEX(Raw_Customers!$D$2:$D$101,MATCH($B79,Raw_Customers!$A$2:$A$101,0)),10)</f>
        <v>+91-5915082470</v>
      </c>
      <c r="F79" s="7" t="str">
        <f>Raw_Orders!C79</f>
        <v>11</v>
      </c>
      <c r="G79" s="7" t="str">
        <f>INDEX(Raw_Products!$B$2:$B$71,MATCH($F79,Raw_Products!$A$2:$A$71,0))</f>
        <v>Maxime Set</v>
      </c>
      <c r="H79" s="7" t="str">
        <f>INDEX(Raw_Products!$C$2:$C$71,MATCH($F79,Raw_Products!$A$2:$A$71,0))</f>
        <v>Mugs</v>
      </c>
      <c r="I79" s="7">
        <f>VALUE(Raw_Orders!D79)</f>
        <v>2</v>
      </c>
      <c r="J79" s="11" t="str">
        <f>INDEX(Raw_Products!$D$2:$D$71,MATCH($F79,Raw_Products!$A$2:$A$71,0))</f>
        <v>1096</v>
      </c>
      <c r="K79" s="11">
        <f t="shared" si="2"/>
        <v>2192</v>
      </c>
      <c r="L79" s="12">
        <f>DATE(VALUE(RIGHT(Raw_Orders!E79,4)),VALUE(MID(Raw_Orders!E79,4,2)),VALUE(LEFT(Raw_Orders!E79,2)))</f>
        <v>44961</v>
      </c>
      <c r="M79" s="12">
        <f>DATE(VALUE(RIGHT(Raw_Orders!G79,4)),VALUE(MID(Raw_Orders!G79,4,2)),VALUE(LEFT(Raw_Orders!G79,2)))</f>
        <v>44965</v>
      </c>
      <c r="N79" s="7">
        <f t="shared" si="3"/>
        <v>4</v>
      </c>
      <c r="O79" s="7" t="str">
        <f>Raw_Orders!J79</f>
        <v>Valentine's Day</v>
      </c>
      <c r="P79" s="7" t="str">
        <f>Raw_Orders!I79</f>
        <v>Pallavaram</v>
      </c>
    </row>
    <row r="80" spans="1:16">
      <c r="A80" s="7" t="str">
        <f>Raw_Orders!A80</f>
        <v>79</v>
      </c>
      <c r="B80" s="7" t="str">
        <f>Raw_Orders!B80</f>
        <v>C010</v>
      </c>
      <c r="C80" s="7" t="str">
        <f>INDEX(Raw_Customers!$B$2:$B$101,MATCH($B80,Raw_Customers!$A$2:$A$101,0))</f>
        <v>Darshit Dave</v>
      </c>
      <c r="D80" s="7" t="str">
        <f>TRIM(INDEX(Raw_Customers!$C$2:$C$101,MATCH($B80,Raw_Customers!$A$2:$A$101,0)))</f>
        <v>Kanpur</v>
      </c>
      <c r="E80" s="7" t="str">
        <f>"+91-"&amp;RIGHT("0000000000"&amp;INDEX(Raw_Customers!$D$2:$D$101,MATCH($B80,Raw_Customers!$A$2:$A$101,0)),10)</f>
        <v>+91-1608833065</v>
      </c>
      <c r="F80" s="7" t="str">
        <f>Raw_Orders!C80</f>
        <v>40</v>
      </c>
      <c r="G80" s="7" t="str">
        <f>INDEX(Raw_Products!$B$2:$B$71,MATCH($F80,Raw_Products!$A$2:$A$71,0))</f>
        <v>Provident Pack</v>
      </c>
      <c r="H80" s="7" t="str">
        <f>INDEX(Raw_Products!$C$2:$C$71,MATCH($F80,Raw_Products!$A$2:$A$71,0))</f>
        <v>Sweets</v>
      </c>
      <c r="I80" s="7">
        <f>VALUE(Raw_Orders!D80)</f>
        <v>2</v>
      </c>
      <c r="J80" s="11" t="str">
        <f>INDEX(Raw_Products!$D$2:$D$71,MATCH($F80,Raw_Products!$A$2:$A$71,0))</f>
        <v>1923</v>
      </c>
      <c r="K80" s="11">
        <f t="shared" si="2"/>
        <v>3846</v>
      </c>
      <c r="L80" s="12">
        <f>DATE(VALUE(RIGHT(Raw_Orders!E80,4)),VALUE(MID(Raw_Orders!E80,4,2)),VALUE(LEFT(Raw_Orders!E80,2)))</f>
        <v>45078</v>
      </c>
      <c r="M80" s="12">
        <f>DATE(VALUE(RIGHT(Raw_Orders!G80,4)),VALUE(MID(Raw_Orders!G80,4,2)),VALUE(LEFT(Raw_Orders!G80,2)))</f>
        <v>45088</v>
      </c>
      <c r="N80" s="7">
        <f t="shared" si="3"/>
        <v>10</v>
      </c>
      <c r="O80" s="7" t="str">
        <f>Raw_Orders!J80</f>
        <v>Anniversary</v>
      </c>
      <c r="P80" s="7" t="str">
        <f>Raw_Orders!I80</f>
        <v>Varanasi</v>
      </c>
    </row>
    <row r="81" spans="1:16">
      <c r="A81" s="7" t="str">
        <f>Raw_Orders!A81</f>
        <v>80</v>
      </c>
      <c r="B81" s="7" t="str">
        <f>Raw_Orders!B81</f>
        <v>C008</v>
      </c>
      <c r="C81" s="7" t="str">
        <f>INDEX(Raw_Customers!$B$2:$B$101,MATCH($B81,Raw_Customers!$A$2:$A$101,0))</f>
        <v>Veer Ray</v>
      </c>
      <c r="D81" s="7" t="str">
        <f>TRIM(INDEX(Raw_Customers!$C$2:$C$101,MATCH($B81,Raw_Customers!$A$2:$A$101,0)))</f>
        <v>Chinsurah</v>
      </c>
      <c r="E81" s="7" t="str">
        <f>"+91-"&amp;RIGHT("0000000000"&amp;INDEX(Raw_Customers!$D$2:$D$101,MATCH($B81,Raw_Customers!$A$2:$A$101,0)),10)</f>
        <v>+91-7138085704</v>
      </c>
      <c r="F81" s="7" t="str">
        <f>Raw_Orders!C81</f>
        <v>39</v>
      </c>
      <c r="G81" s="7" t="str">
        <f>INDEX(Raw_Products!$B$2:$B$71,MATCH($F81,Raw_Products!$A$2:$A$71,0))</f>
        <v>Voluptate Set</v>
      </c>
      <c r="H81" s="7" t="str">
        <f>INDEX(Raw_Products!$C$2:$C$71,MATCH($F81,Raw_Products!$A$2:$A$71,0))</f>
        <v>Mugs</v>
      </c>
      <c r="I81" s="7">
        <f>VALUE(Raw_Orders!D81)</f>
        <v>4</v>
      </c>
      <c r="J81" s="11" t="str">
        <f>INDEX(Raw_Products!$D$2:$D$71,MATCH($F81,Raw_Products!$A$2:$A$71,0))</f>
        <v>387</v>
      </c>
      <c r="K81" s="11">
        <f t="shared" si="2"/>
        <v>1548</v>
      </c>
      <c r="L81" s="12">
        <f>DATE(VALUE(RIGHT(Raw_Orders!E81,4)),VALUE(MID(Raw_Orders!E81,4,2)),VALUE(LEFT(Raw_Orders!E81,2)))</f>
        <v>44928</v>
      </c>
      <c r="M81" s="12">
        <f>DATE(VALUE(RIGHT(Raw_Orders!G81,4)),VALUE(MID(Raw_Orders!G81,4,2)),VALUE(LEFT(Raw_Orders!G81,2)))</f>
        <v>44937</v>
      </c>
      <c r="N81" s="7">
        <f t="shared" si="3"/>
        <v>9</v>
      </c>
      <c r="O81" s="7" t="str">
        <f>Raw_Orders!J81</f>
        <v>All Occasions</v>
      </c>
      <c r="P81" s="7" t="str">
        <f>Raw_Orders!I81</f>
        <v>Salem</v>
      </c>
    </row>
    <row r="82" spans="1:16">
      <c r="A82" s="7" t="str">
        <f>Raw_Orders!A82</f>
        <v>81</v>
      </c>
      <c r="B82" s="7" t="str">
        <f>Raw_Orders!B82</f>
        <v>C053</v>
      </c>
      <c r="C82" s="7" t="str">
        <f>INDEX(Raw_Customers!$B$2:$B$101,MATCH($B82,Raw_Customers!$A$2:$A$101,0))</f>
        <v>Kismat Kapadia</v>
      </c>
      <c r="D82" s="7" t="str">
        <f>TRIM(INDEX(Raw_Customers!$C$2:$C$101,MATCH($B82,Raw_Customers!$A$2:$A$101,0)))</f>
        <v>Bharatpur</v>
      </c>
      <c r="E82" s="7" t="str">
        <f>"+91-"&amp;RIGHT("0000000000"&amp;INDEX(Raw_Customers!$D$2:$D$101,MATCH($B82,Raw_Customers!$A$2:$A$101,0)),10)</f>
        <v>+91-8068004996</v>
      </c>
      <c r="F82" s="7" t="str">
        <f>Raw_Orders!C82</f>
        <v>1</v>
      </c>
      <c r="G82" s="7" t="str">
        <f>INDEX(Raw_Products!$B$2:$B$71,MATCH($F82,Raw_Products!$A$2:$A$71,0))</f>
        <v>Magnam Set</v>
      </c>
      <c r="H82" s="7" t="str">
        <f>INDEX(Raw_Products!$C$2:$C$71,MATCH($F82,Raw_Products!$A$2:$A$71,0))</f>
        <v>Soft Toys</v>
      </c>
      <c r="I82" s="7">
        <f>VALUE(Raw_Orders!D82)</f>
        <v>5</v>
      </c>
      <c r="J82" s="11" t="str">
        <f>INDEX(Raw_Products!$D$2:$D$71,MATCH($F82,Raw_Products!$A$2:$A$71,0))</f>
        <v>1935</v>
      </c>
      <c r="K82" s="11">
        <f t="shared" si="2"/>
        <v>9675</v>
      </c>
      <c r="L82" s="12">
        <f>DATE(VALUE(RIGHT(Raw_Orders!E82,4)),VALUE(MID(Raw_Orders!E82,4,2)),VALUE(LEFT(Raw_Orders!E82,2)))</f>
        <v>44979</v>
      </c>
      <c r="M82" s="12">
        <f>DATE(VALUE(RIGHT(Raw_Orders!G82,4)),VALUE(MID(Raw_Orders!G82,4,2)),VALUE(LEFT(Raw_Orders!G82,2)))</f>
        <v>44988</v>
      </c>
      <c r="N82" s="7">
        <f t="shared" si="3"/>
        <v>9</v>
      </c>
      <c r="O82" s="7" t="str">
        <f>Raw_Orders!J82</f>
        <v>All Occasions</v>
      </c>
      <c r="P82" s="7" t="str">
        <f>Raw_Orders!I82</f>
        <v>Kalyan-Dombivli</v>
      </c>
    </row>
    <row r="83" spans="1:16">
      <c r="A83" s="7" t="str">
        <f>Raw_Orders!A83</f>
        <v>82</v>
      </c>
      <c r="B83" s="7" t="str">
        <f>Raw_Orders!B83</f>
        <v>C038</v>
      </c>
      <c r="C83" s="7" t="str">
        <f>INDEX(Raw_Customers!$B$2:$B$101,MATCH($B83,Raw_Customers!$A$2:$A$101,0))</f>
        <v>Yakshit Shah</v>
      </c>
      <c r="D83" s="7" t="str">
        <f>TRIM(INDEX(Raw_Customers!$C$2:$C$101,MATCH($B83,Raw_Customers!$A$2:$A$101,0)))</f>
        <v>Aizawl</v>
      </c>
      <c r="E83" s="7" t="str">
        <f>"+91-"&amp;RIGHT("0000000000"&amp;INDEX(Raw_Customers!$D$2:$D$101,MATCH($B83,Raw_Customers!$A$2:$A$101,0)),10)</f>
        <v>+91-2847411902</v>
      </c>
      <c r="F83" s="7" t="str">
        <f>Raw_Orders!C83</f>
        <v>70</v>
      </c>
      <c r="G83" s="7" t="str">
        <f>INDEX(Raw_Products!$B$2:$B$71,MATCH($F83,Raw_Products!$A$2:$A$71,0))</f>
        <v>Error Gift</v>
      </c>
      <c r="H83" s="7" t="str">
        <f>INDEX(Raw_Products!$C$2:$C$71,MATCH($F83,Raw_Products!$A$2:$A$71,0))</f>
        <v>Sweets</v>
      </c>
      <c r="I83" s="7">
        <f>VALUE(Raw_Orders!D83)</f>
        <v>3</v>
      </c>
      <c r="J83" s="11" t="str">
        <f>INDEX(Raw_Products!$D$2:$D$71,MATCH($F83,Raw_Products!$A$2:$A$71,0))</f>
        <v>866</v>
      </c>
      <c r="K83" s="11">
        <f t="shared" si="2"/>
        <v>2598</v>
      </c>
      <c r="L83" s="12">
        <f>DATE(VALUE(RIGHT(Raw_Orders!E83,4)),VALUE(MID(Raw_Orders!E83,4,2)),VALUE(LEFT(Raw_Orders!E83,2)))</f>
        <v>45142</v>
      </c>
      <c r="M83" s="12">
        <f>DATE(VALUE(RIGHT(Raw_Orders!G83,4)),VALUE(MID(Raw_Orders!G83,4,2)),VALUE(LEFT(Raw_Orders!G83,2)))</f>
        <v>45143</v>
      </c>
      <c r="N83" s="7">
        <f t="shared" si="3"/>
        <v>1</v>
      </c>
      <c r="O83" s="7" t="str">
        <f>Raw_Orders!J83</f>
        <v>Birthday</v>
      </c>
      <c r="P83" s="7" t="str">
        <f>Raw_Orders!I83</f>
        <v>Gwalior</v>
      </c>
    </row>
    <row r="84" spans="1:16">
      <c r="A84" s="7" t="str">
        <f>Raw_Orders!A84</f>
        <v>83</v>
      </c>
      <c r="B84" s="7" t="str">
        <f>Raw_Orders!B84</f>
        <v>C036</v>
      </c>
      <c r="C84" s="7" t="str">
        <f>INDEX(Raw_Customers!$B$2:$B$101,MATCH($B84,Raw_Customers!$A$2:$A$101,0))</f>
        <v>Biju Bajwa</v>
      </c>
      <c r="D84" s="7" t="str">
        <f>TRIM(INDEX(Raw_Customers!$C$2:$C$101,MATCH($B84,Raw_Customers!$A$2:$A$101,0)))</f>
        <v>Dibrugarh</v>
      </c>
      <c r="E84" s="7" t="str">
        <f>"+91-"&amp;RIGHT("0000000000"&amp;INDEX(Raw_Customers!$D$2:$D$101,MATCH($B84,Raw_Customers!$A$2:$A$101,0)),10)</f>
        <v>+91-8721850071</v>
      </c>
      <c r="F84" s="7" t="str">
        <f>Raw_Orders!C84</f>
        <v>27</v>
      </c>
      <c r="G84" s="7" t="str">
        <f>INDEX(Raw_Products!$B$2:$B$71,MATCH($F84,Raw_Products!$A$2:$A$71,0))</f>
        <v>Architecto Gift</v>
      </c>
      <c r="H84" s="7" t="str">
        <f>INDEX(Raw_Products!$C$2:$C$71,MATCH($F84,Raw_Products!$A$2:$A$71,0))</f>
        <v>Cake</v>
      </c>
      <c r="I84" s="7">
        <f>VALUE(Raw_Orders!D84)</f>
        <v>4</v>
      </c>
      <c r="J84" s="11" t="str">
        <f>INDEX(Raw_Products!$D$2:$D$71,MATCH($F84,Raw_Products!$A$2:$A$71,0))</f>
        <v>548</v>
      </c>
      <c r="K84" s="11">
        <f t="shared" si="2"/>
        <v>2192</v>
      </c>
      <c r="L84" s="12">
        <f>DATE(VALUE(RIGHT(Raw_Orders!E84,4)),VALUE(MID(Raw_Orders!E84,4,2)),VALUE(LEFT(Raw_Orders!E84,2)))</f>
        <v>45161</v>
      </c>
      <c r="M84" s="12">
        <f>DATE(VALUE(RIGHT(Raw_Orders!G84,4)),VALUE(MID(Raw_Orders!G84,4,2)),VALUE(LEFT(Raw_Orders!G84,2)))</f>
        <v>45171</v>
      </c>
      <c r="N84" s="7">
        <f t="shared" si="3"/>
        <v>10</v>
      </c>
      <c r="O84" s="7" t="str">
        <f>Raw_Orders!J84</f>
        <v>Raksha Bandhan</v>
      </c>
      <c r="P84" s="7" t="str">
        <f>Raw_Orders!I84</f>
        <v>Asansol</v>
      </c>
    </row>
    <row r="85" spans="1:16">
      <c r="A85" s="7" t="str">
        <f>Raw_Orders!A85</f>
        <v>84</v>
      </c>
      <c r="B85" s="7" t="str">
        <f>Raw_Orders!B85</f>
        <v>C032</v>
      </c>
      <c r="C85" s="7" t="str">
        <f>INDEX(Raw_Customers!$B$2:$B$101,MATCH($B85,Raw_Customers!$A$2:$A$101,0))</f>
        <v>Mannat Anand</v>
      </c>
      <c r="D85" s="7" t="str">
        <f>TRIM(INDEX(Raw_Customers!$C$2:$C$101,MATCH($B85,Raw_Customers!$A$2:$A$101,0)))</f>
        <v>Surat</v>
      </c>
      <c r="E85" s="7" t="str">
        <f>"+91-"&amp;RIGHT("0000000000"&amp;INDEX(Raw_Customers!$D$2:$D$101,MATCH($B85,Raw_Customers!$A$2:$A$101,0)),10)</f>
        <v>+91-1611365500</v>
      </c>
      <c r="F85" s="7" t="str">
        <f>Raw_Orders!C85</f>
        <v>47</v>
      </c>
      <c r="G85" s="7" t="str">
        <f>INDEX(Raw_Products!$B$2:$B$71,MATCH($F85,Raw_Products!$A$2:$A$71,0))</f>
        <v>Harum Pack</v>
      </c>
      <c r="H85" s="7" t="str">
        <f>INDEX(Raw_Products!$C$2:$C$71,MATCH($F85,Raw_Products!$A$2:$A$71,0))</f>
        <v>Colors</v>
      </c>
      <c r="I85" s="7">
        <f>VALUE(Raw_Orders!D85)</f>
        <v>1</v>
      </c>
      <c r="J85" s="11" t="str">
        <f>INDEX(Raw_Products!$D$2:$D$71,MATCH($F85,Raw_Products!$A$2:$A$71,0))</f>
        <v>1638</v>
      </c>
      <c r="K85" s="11">
        <f t="shared" si="2"/>
        <v>1638</v>
      </c>
      <c r="L85" s="12">
        <f>DATE(VALUE(RIGHT(Raw_Orders!E85,4)),VALUE(MID(Raw_Orders!E85,4,2)),VALUE(LEFT(Raw_Orders!E85,2)))</f>
        <v>44989</v>
      </c>
      <c r="M85" s="12">
        <f>DATE(VALUE(RIGHT(Raw_Orders!G85,4)),VALUE(MID(Raw_Orders!G85,4,2)),VALUE(LEFT(Raw_Orders!G85,2)))</f>
        <v>44991</v>
      </c>
      <c r="N85" s="7">
        <f t="shared" si="3"/>
        <v>2</v>
      </c>
      <c r="O85" s="7" t="str">
        <f>Raw_Orders!J85</f>
        <v>Holi</v>
      </c>
      <c r="P85" s="7" t="str">
        <f>Raw_Orders!I85</f>
        <v>Tirupati</v>
      </c>
    </row>
    <row r="86" spans="1:16">
      <c r="A86" s="7" t="str">
        <f>Raw_Orders!A86</f>
        <v>85</v>
      </c>
      <c r="B86" s="7" t="str">
        <f>Raw_Orders!B86</f>
        <v>C041</v>
      </c>
      <c r="C86" s="7" t="str">
        <f>INDEX(Raw_Customers!$B$2:$B$101,MATCH($B86,Raw_Customers!$A$2:$A$101,0))</f>
        <v>Rati Dhingra</v>
      </c>
      <c r="D86" s="7" t="str">
        <f>TRIM(INDEX(Raw_Customers!$C$2:$C$101,MATCH($B86,Raw_Customers!$A$2:$A$101,0)))</f>
        <v>Karaikudi</v>
      </c>
      <c r="E86" s="7" t="str">
        <f>"+91-"&amp;RIGHT("0000000000"&amp;INDEX(Raw_Customers!$D$2:$D$101,MATCH($B86,Raw_Customers!$A$2:$A$101,0)),10)</f>
        <v>+91-0625408216</v>
      </c>
      <c r="F86" s="7" t="str">
        <f>Raw_Orders!C86</f>
        <v>26</v>
      </c>
      <c r="G86" s="7" t="str">
        <f>INDEX(Raw_Products!$B$2:$B$71,MATCH($F86,Raw_Products!$A$2:$A$71,0))</f>
        <v>Aliquam Box</v>
      </c>
      <c r="H86" s="7" t="str">
        <f>INDEX(Raw_Products!$C$2:$C$71,MATCH($F86,Raw_Products!$A$2:$A$71,0))</f>
        <v>Colors</v>
      </c>
      <c r="I86" s="7">
        <f>VALUE(Raw_Orders!D86)</f>
        <v>2</v>
      </c>
      <c r="J86" s="11" t="str">
        <f>INDEX(Raw_Products!$D$2:$D$71,MATCH($F86,Raw_Products!$A$2:$A$71,0))</f>
        <v>289</v>
      </c>
      <c r="K86" s="11">
        <f t="shared" si="2"/>
        <v>578</v>
      </c>
      <c r="L86" s="12">
        <f>DATE(VALUE(RIGHT(Raw_Orders!E86,4)),VALUE(MID(Raw_Orders!E86,4,2)),VALUE(LEFT(Raw_Orders!E86,2)))</f>
        <v>44989</v>
      </c>
      <c r="M86" s="12">
        <f>DATE(VALUE(RIGHT(Raw_Orders!G86,4)),VALUE(MID(Raw_Orders!G86,4,2)),VALUE(LEFT(Raw_Orders!G86,2)))</f>
        <v>44999</v>
      </c>
      <c r="N86" s="7">
        <f t="shared" si="3"/>
        <v>10</v>
      </c>
      <c r="O86" s="7" t="str">
        <f>Raw_Orders!J86</f>
        <v>Holi</v>
      </c>
      <c r="P86" s="7" t="str">
        <f>Raw_Orders!I86</f>
        <v>Agra</v>
      </c>
    </row>
    <row r="87" spans="1:16">
      <c r="A87" s="7" t="str">
        <f>Raw_Orders!A87</f>
        <v>86</v>
      </c>
      <c r="B87" s="7" t="str">
        <f>Raw_Orders!B87</f>
        <v>C046</v>
      </c>
      <c r="C87" s="7" t="str">
        <f>INDEX(Raw_Customers!$B$2:$B$101,MATCH($B87,Raw_Customers!$A$2:$A$101,0))</f>
        <v>Tara Kannan</v>
      </c>
      <c r="D87" s="7" t="str">
        <f>TRIM(INDEX(Raw_Customers!$C$2:$C$101,MATCH($B87,Raw_Customers!$A$2:$A$101,0)))</f>
        <v>Guna</v>
      </c>
      <c r="E87" s="7" t="str">
        <f>"+91-"&amp;RIGHT("0000000000"&amp;INDEX(Raw_Customers!$D$2:$D$101,MATCH($B87,Raw_Customers!$A$2:$A$101,0)),10)</f>
        <v>+91-7543187237</v>
      </c>
      <c r="F87" s="7" t="str">
        <f>Raw_Orders!C87</f>
        <v>39</v>
      </c>
      <c r="G87" s="7" t="str">
        <f>INDEX(Raw_Products!$B$2:$B$71,MATCH($F87,Raw_Products!$A$2:$A$71,0))</f>
        <v>Voluptate Set</v>
      </c>
      <c r="H87" s="7" t="str">
        <f>INDEX(Raw_Products!$C$2:$C$71,MATCH($F87,Raw_Products!$A$2:$A$71,0))</f>
        <v>Mugs</v>
      </c>
      <c r="I87" s="7">
        <f>VALUE(Raw_Orders!D87)</f>
        <v>4</v>
      </c>
      <c r="J87" s="11" t="str">
        <f>INDEX(Raw_Products!$D$2:$D$71,MATCH($F87,Raw_Products!$A$2:$A$71,0))</f>
        <v>387</v>
      </c>
      <c r="K87" s="11">
        <f t="shared" si="2"/>
        <v>1548</v>
      </c>
      <c r="L87" s="12">
        <f>DATE(VALUE(RIGHT(Raw_Orders!E87,4)),VALUE(MID(Raw_Orders!E87,4,2)),VALUE(LEFT(Raw_Orders!E87,2)))</f>
        <v>45182</v>
      </c>
      <c r="M87" s="12">
        <f>DATE(VALUE(RIGHT(Raw_Orders!G87,4)),VALUE(MID(Raw_Orders!G87,4,2)),VALUE(LEFT(Raw_Orders!G87,2)))</f>
        <v>45191</v>
      </c>
      <c r="N87" s="7">
        <f t="shared" si="3"/>
        <v>9</v>
      </c>
      <c r="O87" s="7" t="str">
        <f>Raw_Orders!J87</f>
        <v>All Occasions</v>
      </c>
      <c r="P87" s="7" t="str">
        <f>Raw_Orders!I87</f>
        <v>Sirsa</v>
      </c>
    </row>
    <row r="88" spans="1:16">
      <c r="A88" s="7" t="str">
        <f>Raw_Orders!A88</f>
        <v>87</v>
      </c>
      <c r="B88" s="7" t="str">
        <f>Raw_Orders!B88</f>
        <v>C055</v>
      </c>
      <c r="C88" s="7" t="str">
        <f>INDEX(Raw_Customers!$B$2:$B$101,MATCH($B88,Raw_Customers!$A$2:$A$101,0))</f>
        <v>Umang Luthra</v>
      </c>
      <c r="D88" s="7" t="str">
        <f>TRIM(INDEX(Raw_Customers!$C$2:$C$101,MATCH($B88,Raw_Customers!$A$2:$A$101,0)))</f>
        <v>Imphal</v>
      </c>
      <c r="E88" s="7" t="str">
        <f>"+91-"&amp;RIGHT("0000000000"&amp;INDEX(Raw_Customers!$D$2:$D$101,MATCH($B88,Raw_Customers!$A$2:$A$101,0)),10)</f>
        <v>+91-2007986762</v>
      </c>
      <c r="F88" s="7" t="str">
        <f>Raw_Orders!C88</f>
        <v>2</v>
      </c>
      <c r="G88" s="7" t="str">
        <f>INDEX(Raw_Products!$B$2:$B$71,MATCH($F88,Raw_Products!$A$2:$A$71,0))</f>
        <v>Voluptas Box</v>
      </c>
      <c r="H88" s="7" t="str">
        <f>INDEX(Raw_Products!$C$2:$C$71,MATCH($F88,Raw_Products!$A$2:$A$71,0))</f>
        <v>Plants</v>
      </c>
      <c r="I88" s="7">
        <f>VALUE(Raw_Orders!D88)</f>
        <v>5</v>
      </c>
      <c r="J88" s="11" t="str">
        <f>INDEX(Raw_Products!$D$2:$D$71,MATCH($F88,Raw_Products!$A$2:$A$71,0))</f>
        <v>441</v>
      </c>
      <c r="K88" s="11">
        <f t="shared" si="2"/>
        <v>2205</v>
      </c>
      <c r="L88" s="12">
        <f>DATE(VALUE(RIGHT(Raw_Orders!E88,4)),VALUE(MID(Raw_Orders!E88,4,2)),VALUE(LEFT(Raw_Orders!E88,2)))</f>
        <v>44961</v>
      </c>
      <c r="M88" s="12">
        <f>DATE(VALUE(RIGHT(Raw_Orders!G88,4)),VALUE(MID(Raw_Orders!G88,4,2)),VALUE(LEFT(Raw_Orders!G88,2)))</f>
        <v>44968</v>
      </c>
      <c r="N88" s="7">
        <f t="shared" si="3"/>
        <v>7</v>
      </c>
      <c r="O88" s="7" t="str">
        <f>Raw_Orders!J88</f>
        <v>Valentine's Day</v>
      </c>
      <c r="P88" s="7" t="str">
        <f>Raw_Orders!I88</f>
        <v>Malda</v>
      </c>
    </row>
    <row r="89" spans="1:16">
      <c r="A89" s="7" t="str">
        <f>Raw_Orders!A89</f>
        <v>88</v>
      </c>
      <c r="B89" s="7" t="str">
        <f>Raw_Orders!B89</f>
        <v>C008</v>
      </c>
      <c r="C89" s="7" t="str">
        <f>INDEX(Raw_Customers!$B$2:$B$101,MATCH($B89,Raw_Customers!$A$2:$A$101,0))</f>
        <v>Veer Ray</v>
      </c>
      <c r="D89" s="7" t="str">
        <f>TRIM(INDEX(Raw_Customers!$C$2:$C$101,MATCH($B89,Raw_Customers!$A$2:$A$101,0)))</f>
        <v>Chinsurah</v>
      </c>
      <c r="E89" s="7" t="str">
        <f>"+91-"&amp;RIGHT("0000000000"&amp;INDEX(Raw_Customers!$D$2:$D$101,MATCH($B89,Raw_Customers!$A$2:$A$101,0)),10)</f>
        <v>+91-7138085704</v>
      </c>
      <c r="F89" s="7" t="str">
        <f>Raw_Orders!C89</f>
        <v>15</v>
      </c>
      <c r="G89" s="7" t="str">
        <f>INDEX(Raw_Products!$B$2:$B$71,MATCH($F89,Raw_Products!$A$2:$A$71,0))</f>
        <v>Repudiandae Box</v>
      </c>
      <c r="H89" s="7" t="str">
        <f>INDEX(Raw_Products!$C$2:$C$71,MATCH($F89,Raw_Products!$A$2:$A$71,0))</f>
        <v>Raksha Bandhan</v>
      </c>
      <c r="I89" s="7">
        <f>VALUE(Raw_Orders!D89)</f>
        <v>4</v>
      </c>
      <c r="J89" s="11" t="str">
        <f>INDEX(Raw_Products!$D$2:$D$71,MATCH($F89,Raw_Products!$A$2:$A$71,0))</f>
        <v>1488</v>
      </c>
      <c r="K89" s="11">
        <f t="shared" si="2"/>
        <v>5952</v>
      </c>
      <c r="L89" s="12">
        <f>DATE(VALUE(RIGHT(Raw_Orders!E89,4)),VALUE(MID(Raw_Orders!E89,4,2)),VALUE(LEFT(Raw_Orders!E89,2)))</f>
        <v>45282</v>
      </c>
      <c r="M89" s="12">
        <f>DATE(VALUE(RIGHT(Raw_Orders!G89,4)),VALUE(MID(Raw_Orders!G89,4,2)),VALUE(LEFT(Raw_Orders!G89,2)))</f>
        <v>45292</v>
      </c>
      <c r="N89" s="7">
        <f t="shared" si="3"/>
        <v>10</v>
      </c>
      <c r="O89" s="7" t="str">
        <f>Raw_Orders!J89</f>
        <v>Anniversary</v>
      </c>
      <c r="P89" s="7" t="str">
        <f>Raw_Orders!I89</f>
        <v>Avadi</v>
      </c>
    </row>
    <row r="90" spans="1:16">
      <c r="A90" s="7" t="str">
        <f>Raw_Orders!A90</f>
        <v>89</v>
      </c>
      <c r="B90" s="7" t="str">
        <f>Raw_Orders!B90</f>
        <v>C060</v>
      </c>
      <c r="C90" s="7" t="str">
        <f>INDEX(Raw_Customers!$B$2:$B$101,MATCH($B90,Raw_Customers!$A$2:$A$101,0))</f>
        <v>Riya Wagle</v>
      </c>
      <c r="D90" s="7" t="str">
        <f>TRIM(INDEX(Raw_Customers!$C$2:$C$101,MATCH($B90,Raw_Customers!$A$2:$A$101,0)))</f>
        <v>Satara</v>
      </c>
      <c r="E90" s="7" t="str">
        <f>"+91-"&amp;RIGHT("0000000000"&amp;INDEX(Raw_Customers!$D$2:$D$101,MATCH($B90,Raw_Customers!$A$2:$A$101,0)),10)</f>
        <v>+91-0214103009</v>
      </c>
      <c r="F90" s="7" t="str">
        <f>Raw_Orders!C90</f>
        <v>3</v>
      </c>
      <c r="G90" s="7" t="str">
        <f>INDEX(Raw_Products!$B$2:$B$71,MATCH($F90,Raw_Products!$A$2:$A$71,0))</f>
        <v>Eius Gift</v>
      </c>
      <c r="H90" s="7" t="str">
        <f>INDEX(Raw_Products!$C$2:$C$71,MATCH($F90,Raw_Products!$A$2:$A$71,0))</f>
        <v>Colors</v>
      </c>
      <c r="I90" s="7">
        <f>VALUE(Raw_Orders!D90)</f>
        <v>5</v>
      </c>
      <c r="J90" s="11" t="str">
        <f>INDEX(Raw_Products!$D$2:$D$71,MATCH($F90,Raw_Products!$A$2:$A$71,0))</f>
        <v>1534</v>
      </c>
      <c r="K90" s="11">
        <f t="shared" si="2"/>
        <v>7670</v>
      </c>
      <c r="L90" s="12">
        <f>DATE(VALUE(RIGHT(Raw_Orders!E90,4)),VALUE(MID(Raw_Orders!E90,4,2)),VALUE(LEFT(Raw_Orders!E90,2)))</f>
        <v>44969</v>
      </c>
      <c r="M90" s="12">
        <f>DATE(VALUE(RIGHT(Raw_Orders!G90,4)),VALUE(MID(Raw_Orders!G90,4,2)),VALUE(LEFT(Raw_Orders!G90,2)))</f>
        <v>44970</v>
      </c>
      <c r="N90" s="7">
        <f t="shared" si="3"/>
        <v>1</v>
      </c>
      <c r="O90" s="7" t="str">
        <f>Raw_Orders!J90</f>
        <v>Valentine's Day</v>
      </c>
      <c r="P90" s="7" t="str">
        <f>Raw_Orders!I90</f>
        <v>Aurangabad</v>
      </c>
    </row>
    <row r="91" spans="1:16">
      <c r="A91" s="7" t="str">
        <f>Raw_Orders!A91</f>
        <v>90</v>
      </c>
      <c r="B91" s="7" t="str">
        <f>Raw_Orders!B91</f>
        <v>C088</v>
      </c>
      <c r="C91" s="7" t="str">
        <f>INDEX(Raw_Customers!$B$2:$B$101,MATCH($B91,Raw_Customers!$A$2:$A$101,0))</f>
        <v>Shalv Kulkarni</v>
      </c>
      <c r="D91" s="7" t="str">
        <f>TRIM(INDEX(Raw_Customers!$C$2:$C$101,MATCH($B91,Raw_Customers!$A$2:$A$101,0)))</f>
        <v>Khora</v>
      </c>
      <c r="E91" s="7" t="str">
        <f>"+91-"&amp;RIGHT("0000000000"&amp;INDEX(Raw_Customers!$D$2:$D$101,MATCH($B91,Raw_Customers!$A$2:$A$101,0)),10)</f>
        <v>+91-9113488461</v>
      </c>
      <c r="F91" s="7" t="str">
        <f>Raw_Orders!C91</f>
        <v>41</v>
      </c>
      <c r="G91" s="7" t="str">
        <f>INDEX(Raw_Products!$B$2:$B$71,MATCH($F91,Raw_Products!$A$2:$A$71,0))</f>
        <v>Aut Box</v>
      </c>
      <c r="H91" s="7" t="str">
        <f>INDEX(Raw_Products!$C$2:$C$71,MATCH($F91,Raw_Products!$A$2:$A$71,0))</f>
        <v>Sweets</v>
      </c>
      <c r="I91" s="7">
        <f>VALUE(Raw_Orders!D91)</f>
        <v>3</v>
      </c>
      <c r="J91" s="11" t="str">
        <f>INDEX(Raw_Products!$D$2:$D$71,MATCH($F91,Raw_Products!$A$2:$A$71,0))</f>
        <v>1977</v>
      </c>
      <c r="K91" s="11">
        <f t="shared" si="2"/>
        <v>5931</v>
      </c>
      <c r="L91" s="12">
        <f>DATE(VALUE(RIGHT(Raw_Orders!E91,4)),VALUE(MID(Raw_Orders!E91,4,2)),VALUE(LEFT(Raw_Orders!E91,2)))</f>
        <v>45239</v>
      </c>
      <c r="M91" s="12">
        <f>DATE(VALUE(RIGHT(Raw_Orders!G91,4)),VALUE(MID(Raw_Orders!G91,4,2)),VALUE(LEFT(Raw_Orders!G91,2)))</f>
        <v>45248</v>
      </c>
      <c r="N91" s="7">
        <f t="shared" si="3"/>
        <v>9</v>
      </c>
      <c r="O91" s="7" t="str">
        <f>Raw_Orders!J91</f>
        <v>Diwali</v>
      </c>
      <c r="P91" s="7" t="str">
        <f>Raw_Orders!I91</f>
        <v>Shahjahanpur</v>
      </c>
    </row>
    <row r="92" spans="1:16">
      <c r="A92" s="7" t="str">
        <f>Raw_Orders!A92</f>
        <v>91</v>
      </c>
      <c r="B92" s="7" t="str">
        <f>Raw_Orders!B92</f>
        <v>C061</v>
      </c>
      <c r="C92" s="7" t="str">
        <f>INDEX(Raw_Customers!$B$2:$B$101,MATCH($B92,Raw_Customers!$A$2:$A$101,0))</f>
        <v>Akarsh Ramesh</v>
      </c>
      <c r="D92" s="7" t="str">
        <f>TRIM(INDEX(Raw_Customers!$C$2:$C$101,MATCH($B92,Raw_Customers!$A$2:$A$101,0)))</f>
        <v>Kavali</v>
      </c>
      <c r="E92" s="7" t="str">
        <f>"+91-"&amp;RIGHT("0000000000"&amp;INDEX(Raw_Customers!$D$2:$D$101,MATCH($B92,Raw_Customers!$A$2:$A$101,0)),10)</f>
        <v>+91-4318554567</v>
      </c>
      <c r="F92" s="7" t="str">
        <f>Raw_Orders!C92</f>
        <v>6</v>
      </c>
      <c r="G92" s="7" t="str">
        <f>INDEX(Raw_Products!$B$2:$B$71,MATCH($F92,Raw_Products!$A$2:$A$71,0))</f>
        <v>Quos Box</v>
      </c>
      <c r="H92" s="7" t="str">
        <f>INDEX(Raw_Products!$C$2:$C$71,MATCH($F92,Raw_Products!$A$2:$A$71,0))</f>
        <v>Cake</v>
      </c>
      <c r="I92" s="7">
        <f>VALUE(Raw_Orders!D92)</f>
        <v>2</v>
      </c>
      <c r="J92" s="11" t="str">
        <f>INDEX(Raw_Products!$D$2:$D$71,MATCH($F92,Raw_Products!$A$2:$A$71,0))</f>
        <v>1112</v>
      </c>
      <c r="K92" s="11">
        <f t="shared" si="2"/>
        <v>2224</v>
      </c>
      <c r="L92" s="12">
        <f>DATE(VALUE(RIGHT(Raw_Orders!E92,4)),VALUE(MID(Raw_Orders!E92,4,2)),VALUE(LEFT(Raw_Orders!E92,2)))</f>
        <v>44984</v>
      </c>
      <c r="M92" s="12">
        <f>DATE(VALUE(RIGHT(Raw_Orders!G92,4)),VALUE(MID(Raw_Orders!G92,4,2)),VALUE(LEFT(Raw_Orders!G92,2)))</f>
        <v>44990</v>
      </c>
      <c r="N92" s="7">
        <f t="shared" si="3"/>
        <v>6</v>
      </c>
      <c r="O92" s="7" t="str">
        <f>Raw_Orders!J92</f>
        <v>Holi</v>
      </c>
      <c r="P92" s="7" t="str">
        <f>Raw_Orders!I92</f>
        <v>Mahbubnagar</v>
      </c>
    </row>
    <row r="93" spans="1:16">
      <c r="A93" s="7" t="str">
        <f>Raw_Orders!A93</f>
        <v>92</v>
      </c>
      <c r="B93" s="7" t="str">
        <f>Raw_Orders!B93</f>
        <v>C100</v>
      </c>
      <c r="C93" s="7" t="str">
        <f>INDEX(Raw_Customers!$B$2:$B$101,MATCH($B93,Raw_Customers!$A$2:$A$101,0))</f>
        <v>Pranay Chaudhary</v>
      </c>
      <c r="D93" s="7" t="str">
        <f>TRIM(INDEX(Raw_Customers!$C$2:$C$101,MATCH($B93,Raw_Customers!$A$2:$A$101,0)))</f>
        <v>Phagwara</v>
      </c>
      <c r="E93" s="7" t="str">
        <f>"+91-"&amp;RIGHT("0000000000"&amp;INDEX(Raw_Customers!$D$2:$D$101,MATCH($B93,Raw_Customers!$A$2:$A$101,0)),10)</f>
        <v>+91-9478540370</v>
      </c>
      <c r="F93" s="7" t="str">
        <f>Raw_Orders!C93</f>
        <v>18</v>
      </c>
      <c r="G93" s="7" t="str">
        <f>INDEX(Raw_Products!$B$2:$B$71,MATCH($F93,Raw_Products!$A$2:$A$71,0))</f>
        <v>Nemo Set</v>
      </c>
      <c r="H93" s="7" t="str">
        <f>INDEX(Raw_Products!$C$2:$C$71,MATCH($F93,Raw_Products!$A$2:$A$71,0))</f>
        <v>Plants</v>
      </c>
      <c r="I93" s="7">
        <f>VALUE(Raw_Orders!D93)</f>
        <v>5</v>
      </c>
      <c r="J93" s="11" t="str">
        <f>INDEX(Raw_Products!$D$2:$D$71,MATCH($F93,Raw_Products!$A$2:$A$71,0))</f>
        <v>781</v>
      </c>
      <c r="K93" s="11">
        <f t="shared" si="2"/>
        <v>3905</v>
      </c>
      <c r="L93" s="12">
        <f>DATE(VALUE(RIGHT(Raw_Orders!E93,4)),VALUE(MID(Raw_Orders!E93,4,2)),VALUE(LEFT(Raw_Orders!E93,2)))</f>
        <v>45061</v>
      </c>
      <c r="M93" s="12">
        <f>DATE(VALUE(RIGHT(Raw_Orders!G93,4)),VALUE(MID(Raw_Orders!G93,4,2)),VALUE(LEFT(Raw_Orders!G93,2)))</f>
        <v>45071</v>
      </c>
      <c r="N93" s="7">
        <f t="shared" si="3"/>
        <v>10</v>
      </c>
      <c r="O93" s="7" t="str">
        <f>Raw_Orders!J93</f>
        <v>Birthday</v>
      </c>
      <c r="P93" s="7" t="str">
        <f>Raw_Orders!I93</f>
        <v>Rohtak</v>
      </c>
    </row>
    <row r="94" spans="1:16">
      <c r="A94" s="7" t="str">
        <f>Raw_Orders!A94</f>
        <v>93</v>
      </c>
      <c r="B94" s="7" t="str">
        <f>Raw_Orders!B94</f>
        <v>C047</v>
      </c>
      <c r="C94" s="7" t="str">
        <f>INDEX(Raw_Customers!$B$2:$B$101,MATCH($B94,Raw_Customers!$A$2:$A$101,0))</f>
        <v>Bhamini Ravi</v>
      </c>
      <c r="D94" s="7" t="str">
        <f>TRIM(INDEX(Raw_Customers!$C$2:$C$101,MATCH($B94,Raw_Customers!$A$2:$A$101,0)))</f>
        <v>Jorhat</v>
      </c>
      <c r="E94" s="7" t="str">
        <f>"+91-"&amp;RIGHT("0000000000"&amp;INDEX(Raw_Customers!$D$2:$D$101,MATCH($B94,Raw_Customers!$A$2:$A$101,0)),10)</f>
        <v>+91-0798274175</v>
      </c>
      <c r="F94" s="7" t="str">
        <f>Raw_Orders!C94</f>
        <v>24</v>
      </c>
      <c r="G94" s="7" t="str">
        <f>INDEX(Raw_Products!$B$2:$B$71,MATCH($F94,Raw_Products!$A$2:$A$71,0))</f>
        <v>Ad Box</v>
      </c>
      <c r="H94" s="7" t="str">
        <f>INDEX(Raw_Products!$C$2:$C$71,MATCH($F94,Raw_Products!$A$2:$A$71,0))</f>
        <v>Mugs</v>
      </c>
      <c r="I94" s="7">
        <f>VALUE(Raw_Orders!D94)</f>
        <v>4</v>
      </c>
      <c r="J94" s="11" t="str">
        <f>INDEX(Raw_Products!$D$2:$D$71,MATCH($F94,Raw_Products!$A$2:$A$71,0))</f>
        <v>535</v>
      </c>
      <c r="K94" s="11">
        <f t="shared" si="2"/>
        <v>2140</v>
      </c>
      <c r="L94" s="12">
        <f>DATE(VALUE(RIGHT(Raw_Orders!E94,4)),VALUE(MID(Raw_Orders!E94,4,2)),VALUE(LEFT(Raw_Orders!E94,2)))</f>
        <v>45047</v>
      </c>
      <c r="M94" s="12">
        <f>DATE(VALUE(RIGHT(Raw_Orders!G94,4)),VALUE(MID(Raw_Orders!G94,4,2)),VALUE(LEFT(Raw_Orders!G94,2)))</f>
        <v>45049</v>
      </c>
      <c r="N94" s="7">
        <f t="shared" si="3"/>
        <v>2</v>
      </c>
      <c r="O94" s="7" t="str">
        <f>Raw_Orders!J94</f>
        <v>Birthday</v>
      </c>
      <c r="P94" s="7" t="str">
        <f>Raw_Orders!I94</f>
        <v>Warangal</v>
      </c>
    </row>
    <row r="95" spans="1:16">
      <c r="A95" s="7" t="str">
        <f>Raw_Orders!A95</f>
        <v>94</v>
      </c>
      <c r="B95" s="7" t="str">
        <f>Raw_Orders!B95</f>
        <v>C099</v>
      </c>
      <c r="C95" s="7" t="str">
        <f>INDEX(Raw_Customers!$B$2:$B$101,MATCH($B95,Raw_Customers!$A$2:$A$101,0))</f>
        <v>Ranbir Loyal</v>
      </c>
      <c r="D95" s="7" t="str">
        <f>TRIM(INDEX(Raw_Customers!$C$2:$C$101,MATCH($B95,Raw_Customers!$A$2:$A$101,0)))</f>
        <v>Dhanbad</v>
      </c>
      <c r="E95" s="7" t="str">
        <f>"+91-"&amp;RIGHT("0000000000"&amp;INDEX(Raw_Customers!$D$2:$D$101,MATCH($B95,Raw_Customers!$A$2:$A$101,0)),10)</f>
        <v>+91-3621448305</v>
      </c>
      <c r="F95" s="7" t="str">
        <f>Raw_Orders!C95</f>
        <v>69</v>
      </c>
      <c r="G95" s="7" t="str">
        <f>INDEX(Raw_Products!$B$2:$B$71,MATCH($F95,Raw_Products!$A$2:$A$71,0))</f>
        <v>Id Box</v>
      </c>
      <c r="H95" s="7" t="str">
        <f>INDEX(Raw_Products!$C$2:$C$71,MATCH($F95,Raw_Products!$A$2:$A$71,0))</f>
        <v>Cake</v>
      </c>
      <c r="I95" s="7">
        <f>VALUE(Raw_Orders!D95)</f>
        <v>5</v>
      </c>
      <c r="J95" s="11" t="str">
        <f>INDEX(Raw_Products!$D$2:$D$71,MATCH($F95,Raw_Products!$A$2:$A$71,0))</f>
        <v>998</v>
      </c>
      <c r="K95" s="11">
        <f t="shared" si="2"/>
        <v>4990</v>
      </c>
      <c r="L95" s="12">
        <f>DATE(VALUE(RIGHT(Raw_Orders!E95,4)),VALUE(MID(Raw_Orders!E95,4,2)),VALUE(LEFT(Raw_Orders!E95,2)))</f>
        <v>44987</v>
      </c>
      <c r="M95" s="12">
        <f>DATE(VALUE(RIGHT(Raw_Orders!G95,4)),VALUE(MID(Raw_Orders!G95,4,2)),VALUE(LEFT(Raw_Orders!G95,2)))</f>
        <v>44996</v>
      </c>
      <c r="N95" s="7">
        <f t="shared" si="3"/>
        <v>9</v>
      </c>
      <c r="O95" s="7" t="str">
        <f>Raw_Orders!J95</f>
        <v>Holi</v>
      </c>
      <c r="P95" s="7" t="str">
        <f>Raw_Orders!I95</f>
        <v>Purnia</v>
      </c>
    </row>
    <row r="96" spans="1:16">
      <c r="A96" s="7" t="str">
        <f>Raw_Orders!A96</f>
        <v>95</v>
      </c>
      <c r="B96" s="7" t="str">
        <f>Raw_Orders!B96</f>
        <v>C039</v>
      </c>
      <c r="C96" s="7" t="str">
        <f>INDEX(Raw_Customers!$B$2:$B$101,MATCH($B96,Raw_Customers!$A$2:$A$101,0))</f>
        <v>Kaira Bahl</v>
      </c>
      <c r="D96" s="7" t="str">
        <f>TRIM(INDEX(Raw_Customers!$C$2:$C$101,MATCH($B96,Raw_Customers!$A$2:$A$101,0)))</f>
        <v>Kamarhati</v>
      </c>
      <c r="E96" s="7" t="str">
        <f>"+91-"&amp;RIGHT("0000000000"&amp;INDEX(Raw_Customers!$D$2:$D$101,MATCH($B96,Raw_Customers!$A$2:$A$101,0)),10)</f>
        <v>+91-8804850295</v>
      </c>
      <c r="F96" s="7" t="str">
        <f>Raw_Orders!C96</f>
        <v>70</v>
      </c>
      <c r="G96" s="7" t="str">
        <f>INDEX(Raw_Products!$B$2:$B$71,MATCH($F96,Raw_Products!$A$2:$A$71,0))</f>
        <v>Error Gift</v>
      </c>
      <c r="H96" s="7" t="str">
        <f>INDEX(Raw_Products!$C$2:$C$71,MATCH($F96,Raw_Products!$A$2:$A$71,0))</f>
        <v>Sweets</v>
      </c>
      <c r="I96" s="7">
        <f>VALUE(Raw_Orders!D96)</f>
        <v>4</v>
      </c>
      <c r="J96" s="11" t="str">
        <f>INDEX(Raw_Products!$D$2:$D$71,MATCH($F96,Raw_Products!$A$2:$A$71,0))</f>
        <v>866</v>
      </c>
      <c r="K96" s="11">
        <f t="shared" si="2"/>
        <v>3464</v>
      </c>
      <c r="L96" s="12">
        <f>DATE(VALUE(RIGHT(Raw_Orders!E96,4)),VALUE(MID(Raw_Orders!E96,4,2)),VALUE(LEFT(Raw_Orders!E96,2)))</f>
        <v>45075</v>
      </c>
      <c r="M96" s="12">
        <f>DATE(VALUE(RIGHT(Raw_Orders!G96,4)),VALUE(MID(Raw_Orders!G96,4,2)),VALUE(LEFT(Raw_Orders!G96,2)))</f>
        <v>45080</v>
      </c>
      <c r="N96" s="7">
        <f t="shared" si="3"/>
        <v>5</v>
      </c>
      <c r="O96" s="7" t="str">
        <f>Raw_Orders!J96</f>
        <v>Birthday</v>
      </c>
      <c r="P96" s="7" t="str">
        <f>Raw_Orders!I96</f>
        <v>Narasaraopet</v>
      </c>
    </row>
    <row r="97" spans="1:16">
      <c r="A97" s="7" t="str">
        <f>Raw_Orders!A97</f>
        <v>96</v>
      </c>
      <c r="B97" s="7" t="str">
        <f>Raw_Orders!B97</f>
        <v>C099</v>
      </c>
      <c r="C97" s="7" t="str">
        <f>INDEX(Raw_Customers!$B$2:$B$101,MATCH($B97,Raw_Customers!$A$2:$A$101,0))</f>
        <v>Ranbir Loyal</v>
      </c>
      <c r="D97" s="7" t="str">
        <f>TRIM(INDEX(Raw_Customers!$C$2:$C$101,MATCH($B97,Raw_Customers!$A$2:$A$101,0)))</f>
        <v>Dhanbad</v>
      </c>
      <c r="E97" s="7" t="str">
        <f>"+91-"&amp;RIGHT("0000000000"&amp;INDEX(Raw_Customers!$D$2:$D$101,MATCH($B97,Raw_Customers!$A$2:$A$101,0)),10)</f>
        <v>+91-3621448305</v>
      </c>
      <c r="F97" s="7" t="str">
        <f>Raw_Orders!C97</f>
        <v>25</v>
      </c>
      <c r="G97" s="7" t="str">
        <f>INDEX(Raw_Products!$B$2:$B$71,MATCH($F97,Raw_Products!$A$2:$A$71,0))</f>
        <v>Qui Gift</v>
      </c>
      <c r="H97" s="7" t="str">
        <f>INDEX(Raw_Products!$C$2:$C$71,MATCH($F97,Raw_Products!$A$2:$A$71,0))</f>
        <v>Plants</v>
      </c>
      <c r="I97" s="7">
        <f>VALUE(Raw_Orders!D97)</f>
        <v>3</v>
      </c>
      <c r="J97" s="11" t="str">
        <f>INDEX(Raw_Products!$D$2:$D$71,MATCH($F97,Raw_Products!$A$2:$A$71,0))</f>
        <v>1202</v>
      </c>
      <c r="K97" s="11">
        <f t="shared" si="2"/>
        <v>3606</v>
      </c>
      <c r="L97" s="12">
        <f>DATE(VALUE(RIGHT(Raw_Orders!E97,4)),VALUE(MID(Raw_Orders!E97,4,2)),VALUE(LEFT(Raw_Orders!E97,2)))</f>
        <v>44999</v>
      </c>
      <c r="M97" s="12">
        <f>DATE(VALUE(RIGHT(Raw_Orders!G97,4)),VALUE(MID(Raw_Orders!G97,4,2)),VALUE(LEFT(Raw_Orders!G97,2)))</f>
        <v>45008</v>
      </c>
      <c r="N97" s="7">
        <f t="shared" si="3"/>
        <v>9</v>
      </c>
      <c r="O97" s="7" t="str">
        <f>Raw_Orders!J97</f>
        <v>Anniversary</v>
      </c>
      <c r="P97" s="7" t="str">
        <f>Raw_Orders!I97</f>
        <v>Latur</v>
      </c>
    </row>
    <row r="98" spans="1:16">
      <c r="A98" s="7" t="str">
        <f>Raw_Orders!A98</f>
        <v>97</v>
      </c>
      <c r="B98" s="7" t="str">
        <f>Raw_Orders!B98</f>
        <v>C041</v>
      </c>
      <c r="C98" s="7" t="str">
        <f>INDEX(Raw_Customers!$B$2:$B$101,MATCH($B98,Raw_Customers!$A$2:$A$101,0))</f>
        <v>Rati Dhingra</v>
      </c>
      <c r="D98" s="7" t="str">
        <f>TRIM(INDEX(Raw_Customers!$C$2:$C$101,MATCH($B98,Raw_Customers!$A$2:$A$101,0)))</f>
        <v>Karaikudi</v>
      </c>
      <c r="E98" s="7" t="str">
        <f>"+91-"&amp;RIGHT("0000000000"&amp;INDEX(Raw_Customers!$D$2:$D$101,MATCH($B98,Raw_Customers!$A$2:$A$101,0)),10)</f>
        <v>+91-0625408216</v>
      </c>
      <c r="F98" s="7" t="str">
        <f>Raw_Orders!C98</f>
        <v>41</v>
      </c>
      <c r="G98" s="7" t="str">
        <f>INDEX(Raw_Products!$B$2:$B$71,MATCH($F98,Raw_Products!$A$2:$A$71,0))</f>
        <v>Aut Box</v>
      </c>
      <c r="H98" s="7" t="str">
        <f>INDEX(Raw_Products!$C$2:$C$71,MATCH($F98,Raw_Products!$A$2:$A$71,0))</f>
        <v>Sweets</v>
      </c>
      <c r="I98" s="7">
        <f>VALUE(Raw_Orders!D98)</f>
        <v>1</v>
      </c>
      <c r="J98" s="11" t="str">
        <f>INDEX(Raw_Products!$D$2:$D$71,MATCH($F98,Raw_Products!$A$2:$A$71,0))</f>
        <v>1977</v>
      </c>
      <c r="K98" s="11">
        <f t="shared" si="2"/>
        <v>1977</v>
      </c>
      <c r="L98" s="12">
        <f>DATE(VALUE(RIGHT(Raw_Orders!E98,4)),VALUE(MID(Raw_Orders!E98,4,2)),VALUE(LEFT(Raw_Orders!E98,2)))</f>
        <v>45233</v>
      </c>
      <c r="M98" s="12">
        <f>DATE(VALUE(RIGHT(Raw_Orders!G98,4)),VALUE(MID(Raw_Orders!G98,4,2)),VALUE(LEFT(Raw_Orders!G98,2)))</f>
        <v>45238</v>
      </c>
      <c r="N98" s="7">
        <f t="shared" si="3"/>
        <v>5</v>
      </c>
      <c r="O98" s="7" t="str">
        <f>Raw_Orders!J98</f>
        <v>Diwali</v>
      </c>
      <c r="P98" s="7" t="str">
        <f>Raw_Orders!I98</f>
        <v>Bhavnagar</v>
      </c>
    </row>
    <row r="99" spans="1:16">
      <c r="A99" s="7" t="str">
        <f>Raw_Orders!A99</f>
        <v>98</v>
      </c>
      <c r="B99" s="7" t="str">
        <f>Raw_Orders!B99</f>
        <v>C031</v>
      </c>
      <c r="C99" s="7" t="str">
        <f>INDEX(Raw_Customers!$B$2:$B$101,MATCH($B99,Raw_Customers!$A$2:$A$101,0))</f>
        <v>Madhup Wable</v>
      </c>
      <c r="D99" s="7" t="str">
        <f>TRIM(INDEX(Raw_Customers!$C$2:$C$101,MATCH($B99,Raw_Customers!$A$2:$A$101,0)))</f>
        <v>Sasaram</v>
      </c>
      <c r="E99" s="7" t="str">
        <f>"+91-"&amp;RIGHT("0000000000"&amp;INDEX(Raw_Customers!$D$2:$D$101,MATCH($B99,Raw_Customers!$A$2:$A$101,0)),10)</f>
        <v>+91-0135745753</v>
      </c>
      <c r="F99" s="7" t="str">
        <f>Raw_Orders!C99</f>
        <v>8</v>
      </c>
      <c r="G99" s="7" t="str">
        <f>INDEX(Raw_Products!$B$2:$B$71,MATCH($F99,Raw_Products!$A$2:$A$71,0))</f>
        <v>Qui Box</v>
      </c>
      <c r="H99" s="7" t="str">
        <f>INDEX(Raw_Products!$C$2:$C$71,MATCH($F99,Raw_Products!$A$2:$A$71,0))</f>
        <v>Sweets</v>
      </c>
      <c r="I99" s="7">
        <f>VALUE(Raw_Orders!D99)</f>
        <v>1</v>
      </c>
      <c r="J99" s="11" t="str">
        <f>INDEX(Raw_Products!$D$2:$D$71,MATCH($F99,Raw_Products!$A$2:$A$71,0))</f>
        <v>252</v>
      </c>
      <c r="K99" s="11">
        <f t="shared" si="2"/>
        <v>252</v>
      </c>
      <c r="L99" s="12">
        <f>DATE(VALUE(RIGHT(Raw_Orders!E99,4)),VALUE(MID(Raw_Orders!E99,4,2)),VALUE(LEFT(Raw_Orders!E99,2)))</f>
        <v>45229</v>
      </c>
      <c r="M99" s="12">
        <f>DATE(VALUE(RIGHT(Raw_Orders!G99,4)),VALUE(MID(Raw_Orders!G99,4,2)),VALUE(LEFT(Raw_Orders!G99,2)))</f>
        <v>45231</v>
      </c>
      <c r="N99" s="7">
        <f t="shared" si="3"/>
        <v>2</v>
      </c>
      <c r="O99" s="7" t="str">
        <f>Raw_Orders!J99</f>
        <v>Anniversary</v>
      </c>
      <c r="P99" s="7" t="str">
        <f>Raw_Orders!I99</f>
        <v>Bulandshahr</v>
      </c>
    </row>
    <row r="100" spans="1:16">
      <c r="A100" s="7" t="str">
        <f>Raw_Orders!A100</f>
        <v>99</v>
      </c>
      <c r="B100" s="7" t="str">
        <f>Raw_Orders!B100</f>
        <v>C050</v>
      </c>
      <c r="C100" s="7" t="str">
        <f>INDEX(Raw_Customers!$B$2:$B$101,MATCH($B100,Raw_Customers!$A$2:$A$101,0))</f>
        <v>Chirag Srinivas</v>
      </c>
      <c r="D100" s="7" t="str">
        <f>TRIM(INDEX(Raw_Customers!$C$2:$C$101,MATCH($B100,Raw_Customers!$A$2:$A$101,0)))</f>
        <v>Imphal</v>
      </c>
      <c r="E100" s="7" t="str">
        <f>"+91-"&amp;RIGHT("0000000000"&amp;INDEX(Raw_Customers!$D$2:$D$101,MATCH($B100,Raw_Customers!$A$2:$A$101,0)),10)</f>
        <v>+91-1157961919</v>
      </c>
      <c r="F100" s="7" t="str">
        <f>Raw_Orders!C100</f>
        <v>38</v>
      </c>
      <c r="G100" s="7" t="str">
        <f>INDEX(Raw_Products!$B$2:$B$71,MATCH($F100,Raw_Products!$A$2:$A$71,0))</f>
        <v>Mollitia Set</v>
      </c>
      <c r="H100" s="7" t="str">
        <f>INDEX(Raw_Products!$C$2:$C$71,MATCH($F100,Raw_Products!$A$2:$A$71,0))</f>
        <v>Cake</v>
      </c>
      <c r="I100" s="7">
        <f>VALUE(Raw_Orders!D100)</f>
        <v>3</v>
      </c>
      <c r="J100" s="11" t="str">
        <f>INDEX(Raw_Products!$D$2:$D$71,MATCH($F100,Raw_Products!$A$2:$A$71,0))</f>
        <v>562</v>
      </c>
      <c r="K100" s="11">
        <f t="shared" si="2"/>
        <v>1686</v>
      </c>
      <c r="L100" s="12">
        <f>DATE(VALUE(RIGHT(Raw_Orders!E100,4)),VALUE(MID(Raw_Orders!E100,4,2)),VALUE(LEFT(Raw_Orders!E100,2)))</f>
        <v>45234</v>
      </c>
      <c r="M100" s="12">
        <f>DATE(VALUE(RIGHT(Raw_Orders!G100,4)),VALUE(MID(Raw_Orders!G100,4,2)),VALUE(LEFT(Raw_Orders!G100,2)))</f>
        <v>45235</v>
      </c>
      <c r="N100" s="7">
        <f t="shared" si="3"/>
        <v>1</v>
      </c>
      <c r="O100" s="7" t="str">
        <f>Raw_Orders!J100</f>
        <v>Birthday</v>
      </c>
      <c r="P100" s="7" t="str">
        <f>Raw_Orders!I100</f>
        <v>Burhanpur</v>
      </c>
    </row>
    <row r="101" spans="1:16">
      <c r="A101" s="7" t="str">
        <f>Raw_Orders!A101</f>
        <v>100</v>
      </c>
      <c r="B101" s="7" t="str">
        <f>Raw_Orders!B101</f>
        <v>C055</v>
      </c>
      <c r="C101" s="7" t="str">
        <f>INDEX(Raw_Customers!$B$2:$B$101,MATCH($B101,Raw_Customers!$A$2:$A$101,0))</f>
        <v>Umang Luthra</v>
      </c>
      <c r="D101" s="7" t="str">
        <f>TRIM(INDEX(Raw_Customers!$C$2:$C$101,MATCH($B101,Raw_Customers!$A$2:$A$101,0)))</f>
        <v>Imphal</v>
      </c>
      <c r="E101" s="7" t="str">
        <f>"+91-"&amp;RIGHT("0000000000"&amp;INDEX(Raw_Customers!$D$2:$D$101,MATCH($B101,Raw_Customers!$A$2:$A$101,0)),10)</f>
        <v>+91-2007986762</v>
      </c>
      <c r="F101" s="7" t="str">
        <f>Raw_Orders!C101</f>
        <v>42</v>
      </c>
      <c r="G101" s="7" t="str">
        <f>INDEX(Raw_Products!$B$2:$B$71,MATCH($F101,Raw_Products!$A$2:$A$71,0))</f>
        <v>Expedita Gift</v>
      </c>
      <c r="H101" s="7" t="str">
        <f>INDEX(Raw_Products!$C$2:$C$71,MATCH($F101,Raw_Products!$A$2:$A$71,0))</f>
        <v>Sweets</v>
      </c>
      <c r="I101" s="7">
        <f>VALUE(Raw_Orders!D101)</f>
        <v>5</v>
      </c>
      <c r="J101" s="11" t="str">
        <f>INDEX(Raw_Products!$D$2:$D$71,MATCH($F101,Raw_Products!$A$2:$A$71,0))</f>
        <v>1744</v>
      </c>
      <c r="K101" s="11">
        <f t="shared" si="2"/>
        <v>8720</v>
      </c>
      <c r="L101" s="12">
        <f>DATE(VALUE(RIGHT(Raw_Orders!E101,4)),VALUE(MID(Raw_Orders!E101,4,2)),VALUE(LEFT(Raw_Orders!E101,2)))</f>
        <v>45055</v>
      </c>
      <c r="M101" s="12">
        <f>DATE(VALUE(RIGHT(Raw_Orders!G101,4)),VALUE(MID(Raw_Orders!G101,4,2)),VALUE(LEFT(Raw_Orders!G101,2)))</f>
        <v>45063</v>
      </c>
      <c r="N101" s="7">
        <f t="shared" si="3"/>
        <v>8</v>
      </c>
      <c r="O101" s="7" t="str">
        <f>Raw_Orders!J101</f>
        <v>All Occasions</v>
      </c>
      <c r="P101" s="7" t="str">
        <f>Raw_Orders!I101</f>
        <v>Bhiwani</v>
      </c>
    </row>
    <row r="102" spans="1:16">
      <c r="A102" s="7" t="str">
        <f>Raw_Orders!A102</f>
        <v>101</v>
      </c>
      <c r="B102" s="7" t="str">
        <f>Raw_Orders!B102</f>
        <v>C064</v>
      </c>
      <c r="C102" s="7" t="str">
        <f>INDEX(Raw_Customers!$B$2:$B$101,MATCH($B102,Raw_Customers!$A$2:$A$101,0))</f>
        <v>Indrajit Kale</v>
      </c>
      <c r="D102" s="7" t="str">
        <f>TRIM(INDEX(Raw_Customers!$C$2:$C$101,MATCH($B102,Raw_Customers!$A$2:$A$101,0)))</f>
        <v>Srikakulam</v>
      </c>
      <c r="E102" s="7" t="str">
        <f>"+91-"&amp;RIGHT("0000000000"&amp;INDEX(Raw_Customers!$D$2:$D$101,MATCH($B102,Raw_Customers!$A$2:$A$101,0)),10)</f>
        <v>+91-6181058210</v>
      </c>
      <c r="F102" s="7" t="str">
        <f>Raw_Orders!C102</f>
        <v>70</v>
      </c>
      <c r="G102" s="7" t="str">
        <f>INDEX(Raw_Products!$B$2:$B$71,MATCH($F102,Raw_Products!$A$2:$A$71,0))</f>
        <v>Error Gift</v>
      </c>
      <c r="H102" s="7" t="str">
        <f>INDEX(Raw_Products!$C$2:$C$71,MATCH($F102,Raw_Products!$A$2:$A$71,0))</f>
        <v>Sweets</v>
      </c>
      <c r="I102" s="7">
        <f>VALUE(Raw_Orders!D102)</f>
        <v>4</v>
      </c>
      <c r="J102" s="11" t="str">
        <f>INDEX(Raw_Products!$D$2:$D$71,MATCH($F102,Raw_Products!$A$2:$A$71,0))</f>
        <v>866</v>
      </c>
      <c r="K102" s="11">
        <f t="shared" si="2"/>
        <v>3464</v>
      </c>
      <c r="L102" s="12">
        <f>DATE(VALUE(RIGHT(Raw_Orders!E102,4)),VALUE(MID(Raw_Orders!E102,4,2)),VALUE(LEFT(Raw_Orders!E102,2)))</f>
        <v>45096</v>
      </c>
      <c r="M102" s="12">
        <f>DATE(VALUE(RIGHT(Raw_Orders!G102,4)),VALUE(MID(Raw_Orders!G102,4,2)),VALUE(LEFT(Raw_Orders!G102,2)))</f>
        <v>45098</v>
      </c>
      <c r="N102" s="7">
        <f t="shared" si="3"/>
        <v>2</v>
      </c>
      <c r="O102" s="7" t="str">
        <f>Raw_Orders!J102</f>
        <v>Birthday</v>
      </c>
      <c r="P102" s="7" t="str">
        <f>Raw_Orders!I102</f>
        <v>Belgaum</v>
      </c>
    </row>
    <row r="103" spans="1:16">
      <c r="A103" s="7" t="str">
        <f>Raw_Orders!A103</f>
        <v>102</v>
      </c>
      <c r="B103" s="7" t="str">
        <f>Raw_Orders!B103</f>
        <v>C081</v>
      </c>
      <c r="C103" s="7" t="str">
        <f>INDEX(Raw_Customers!$B$2:$B$101,MATCH($B103,Raw_Customers!$A$2:$A$101,0))</f>
        <v>Kaira Ramachandran</v>
      </c>
      <c r="D103" s="7" t="str">
        <f>TRIM(INDEX(Raw_Customers!$C$2:$C$101,MATCH($B103,Raw_Customers!$A$2:$A$101,0)))</f>
        <v>Ratlam</v>
      </c>
      <c r="E103" s="7" t="str">
        <f>"+91-"&amp;RIGHT("0000000000"&amp;INDEX(Raw_Customers!$D$2:$D$101,MATCH($B103,Raw_Customers!$A$2:$A$101,0)),10)</f>
        <v>+91-4987395025</v>
      </c>
      <c r="F103" s="7" t="str">
        <f>Raw_Orders!C103</f>
        <v>10</v>
      </c>
      <c r="G103" s="7" t="str">
        <f>INDEX(Raw_Products!$B$2:$B$71,MATCH($F103,Raw_Products!$A$2:$A$71,0))</f>
        <v>Accusantium Gift</v>
      </c>
      <c r="H103" s="7" t="str">
        <f>INDEX(Raw_Products!$C$2:$C$71,MATCH($F103,Raw_Products!$A$2:$A$71,0))</f>
        <v>Cake</v>
      </c>
      <c r="I103" s="7">
        <f>VALUE(Raw_Orders!D103)</f>
        <v>3</v>
      </c>
      <c r="J103" s="11" t="str">
        <f>INDEX(Raw_Products!$D$2:$D$71,MATCH($F103,Raw_Products!$A$2:$A$71,0))</f>
        <v>259</v>
      </c>
      <c r="K103" s="11">
        <f t="shared" si="2"/>
        <v>777</v>
      </c>
      <c r="L103" s="12">
        <f>DATE(VALUE(RIGHT(Raw_Orders!E103,4)),VALUE(MID(Raw_Orders!E103,4,2)),VALUE(LEFT(Raw_Orders!E103,2)))</f>
        <v>45227</v>
      </c>
      <c r="M103" s="12">
        <f>DATE(VALUE(RIGHT(Raw_Orders!G103,4)),VALUE(MID(Raw_Orders!G103,4,2)),VALUE(LEFT(Raw_Orders!G103,2)))</f>
        <v>45236</v>
      </c>
      <c r="N103" s="7">
        <f t="shared" si="3"/>
        <v>9</v>
      </c>
      <c r="O103" s="7" t="str">
        <f>Raw_Orders!J103</f>
        <v>Birthday</v>
      </c>
      <c r="P103" s="7" t="str">
        <f>Raw_Orders!I103</f>
        <v>Ozhukarai</v>
      </c>
    </row>
    <row r="104" spans="1:16">
      <c r="A104" s="7" t="str">
        <f>Raw_Orders!A104</f>
        <v>103</v>
      </c>
      <c r="B104" s="7" t="str">
        <f>Raw_Orders!B104</f>
        <v>C097</v>
      </c>
      <c r="C104" s="7" t="str">
        <f>INDEX(Raw_Customers!$B$2:$B$101,MATCH($B104,Raw_Customers!$A$2:$A$101,0))</f>
        <v>Nakul Randhawa</v>
      </c>
      <c r="D104" s="7" t="str">
        <f>TRIM(INDEX(Raw_Customers!$C$2:$C$101,MATCH($B104,Raw_Customers!$A$2:$A$101,0)))</f>
        <v>Sri Ganganagar</v>
      </c>
      <c r="E104" s="7" t="str">
        <f>"+91-"&amp;RIGHT("0000000000"&amp;INDEX(Raw_Customers!$D$2:$D$101,MATCH($B104,Raw_Customers!$A$2:$A$101,0)),10)</f>
        <v>+91-0456900126</v>
      </c>
      <c r="F104" s="7" t="str">
        <f>Raw_Orders!C104</f>
        <v>18</v>
      </c>
      <c r="G104" s="7" t="str">
        <f>INDEX(Raw_Products!$B$2:$B$71,MATCH($F104,Raw_Products!$A$2:$A$71,0))</f>
        <v>Nemo Set</v>
      </c>
      <c r="H104" s="7" t="str">
        <f>INDEX(Raw_Products!$C$2:$C$71,MATCH($F104,Raw_Products!$A$2:$A$71,0))</f>
        <v>Plants</v>
      </c>
      <c r="I104" s="7">
        <f>VALUE(Raw_Orders!D104)</f>
        <v>3</v>
      </c>
      <c r="J104" s="11" t="str">
        <f>INDEX(Raw_Products!$D$2:$D$71,MATCH($F104,Raw_Products!$A$2:$A$71,0))</f>
        <v>781</v>
      </c>
      <c r="K104" s="11">
        <f t="shared" si="2"/>
        <v>2343</v>
      </c>
      <c r="L104" s="12">
        <f>DATE(VALUE(RIGHT(Raw_Orders!E104,4)),VALUE(MID(Raw_Orders!E104,4,2)),VALUE(LEFT(Raw_Orders!E104,2)))</f>
        <v>44958</v>
      </c>
      <c r="M104" s="12">
        <f>DATE(VALUE(RIGHT(Raw_Orders!G104,4)),VALUE(MID(Raw_Orders!G104,4,2)),VALUE(LEFT(Raw_Orders!G104,2)))</f>
        <v>44965</v>
      </c>
      <c r="N104" s="7">
        <f t="shared" si="3"/>
        <v>7</v>
      </c>
      <c r="O104" s="7" t="str">
        <f>Raw_Orders!J104</f>
        <v>Birthday</v>
      </c>
      <c r="P104" s="7" t="str">
        <f>Raw_Orders!I104</f>
        <v>Ichalkaranji</v>
      </c>
    </row>
    <row r="105" spans="1:16">
      <c r="A105" s="7" t="str">
        <f>Raw_Orders!A105</f>
        <v>104</v>
      </c>
      <c r="B105" s="7" t="str">
        <f>Raw_Orders!B105</f>
        <v>C082</v>
      </c>
      <c r="C105" s="7" t="str">
        <f>INDEX(Raw_Customers!$B$2:$B$101,MATCH($B105,Raw_Customers!$A$2:$A$101,0))</f>
        <v>Anya Chaudhari</v>
      </c>
      <c r="D105" s="7" t="str">
        <f>TRIM(INDEX(Raw_Customers!$C$2:$C$101,MATCH($B105,Raw_Customers!$A$2:$A$101,0)))</f>
        <v>Ahmednagar</v>
      </c>
      <c r="E105" s="7" t="str">
        <f>"+91-"&amp;RIGHT("0000000000"&amp;INDEX(Raw_Customers!$D$2:$D$101,MATCH($B105,Raw_Customers!$A$2:$A$101,0)),10)</f>
        <v>+91-0813770782</v>
      </c>
      <c r="F105" s="7" t="str">
        <f>Raw_Orders!C105</f>
        <v>51</v>
      </c>
      <c r="G105" s="7" t="str">
        <f>INDEX(Raw_Products!$B$2:$B$71,MATCH($F105,Raw_Products!$A$2:$A$71,0))</f>
        <v>Fugit Set</v>
      </c>
      <c r="H105" s="7" t="str">
        <f>INDEX(Raw_Products!$C$2:$C$71,MATCH($F105,Raw_Products!$A$2:$A$71,0))</f>
        <v>Soft Toys</v>
      </c>
      <c r="I105" s="7">
        <f>VALUE(Raw_Orders!D105)</f>
        <v>3</v>
      </c>
      <c r="J105" s="11" t="str">
        <f>INDEX(Raw_Products!$D$2:$D$71,MATCH($F105,Raw_Products!$A$2:$A$71,0))</f>
        <v>1084</v>
      </c>
      <c r="K105" s="11">
        <f t="shared" si="2"/>
        <v>3252</v>
      </c>
      <c r="L105" s="12">
        <f>DATE(VALUE(RIGHT(Raw_Orders!E105,4)),VALUE(MID(Raw_Orders!E105,4,2)),VALUE(LEFT(Raw_Orders!E105,2)))</f>
        <v>45289</v>
      </c>
      <c r="M105" s="12">
        <f>DATE(VALUE(RIGHT(Raw_Orders!G105,4)),VALUE(MID(Raw_Orders!G105,4,2)),VALUE(LEFT(Raw_Orders!G105,2)))</f>
        <v>45296</v>
      </c>
      <c r="N105" s="7">
        <f t="shared" si="3"/>
        <v>7</v>
      </c>
      <c r="O105" s="7" t="str">
        <f>Raw_Orders!J105</f>
        <v>All Occasions</v>
      </c>
      <c r="P105" s="7" t="str">
        <f>Raw_Orders!I105</f>
        <v>Ahmednagar</v>
      </c>
    </row>
    <row r="106" spans="1:16">
      <c r="A106" s="7" t="str">
        <f>Raw_Orders!A106</f>
        <v>105</v>
      </c>
      <c r="B106" s="7" t="str">
        <f>Raw_Orders!B106</f>
        <v>C063</v>
      </c>
      <c r="C106" s="7" t="str">
        <f>INDEX(Raw_Customers!$B$2:$B$101,MATCH($B106,Raw_Customers!$A$2:$A$101,0))</f>
        <v>Arhaan Ahluwalia</v>
      </c>
      <c r="D106" s="7" t="str">
        <f>TRIM(INDEX(Raw_Customers!$C$2:$C$101,MATCH($B106,Raw_Customers!$A$2:$A$101,0)))</f>
        <v>Jamnagar</v>
      </c>
      <c r="E106" s="7" t="str">
        <f>"+91-"&amp;RIGHT("0000000000"&amp;INDEX(Raw_Customers!$D$2:$D$101,MATCH($B106,Raw_Customers!$A$2:$A$101,0)),10)</f>
        <v>+91-5287021467</v>
      </c>
      <c r="F106" s="7" t="str">
        <f>Raw_Orders!C106</f>
        <v>36</v>
      </c>
      <c r="G106" s="7" t="str">
        <f>INDEX(Raw_Products!$B$2:$B$71,MATCH($F106,Raw_Products!$A$2:$A$71,0))</f>
        <v>Cum Gift</v>
      </c>
      <c r="H106" s="7" t="str">
        <f>INDEX(Raw_Products!$C$2:$C$71,MATCH($F106,Raw_Products!$A$2:$A$71,0))</f>
        <v>Plants</v>
      </c>
      <c r="I106" s="7">
        <f>VALUE(Raw_Orders!D106)</f>
        <v>2</v>
      </c>
      <c r="J106" s="11" t="str">
        <f>INDEX(Raw_Products!$D$2:$D$71,MATCH($F106,Raw_Products!$A$2:$A$71,0))</f>
        <v>203</v>
      </c>
      <c r="K106" s="11">
        <f t="shared" si="2"/>
        <v>406</v>
      </c>
      <c r="L106" s="12">
        <f>DATE(VALUE(RIGHT(Raw_Orders!E106,4)),VALUE(MID(Raw_Orders!E106,4,2)),VALUE(LEFT(Raw_Orders!E106,2)))</f>
        <v>44968</v>
      </c>
      <c r="M106" s="12">
        <f>DATE(VALUE(RIGHT(Raw_Orders!G106,4)),VALUE(MID(Raw_Orders!G106,4,2)),VALUE(LEFT(Raw_Orders!G106,2)))</f>
        <v>44978</v>
      </c>
      <c r="N106" s="7">
        <f t="shared" si="3"/>
        <v>10</v>
      </c>
      <c r="O106" s="7" t="str">
        <f>Raw_Orders!J106</f>
        <v>Birthday</v>
      </c>
      <c r="P106" s="7" t="str">
        <f>Raw_Orders!I106</f>
        <v>Guna</v>
      </c>
    </row>
    <row r="107" spans="1:16">
      <c r="A107" s="7" t="str">
        <f>Raw_Orders!A107</f>
        <v>106</v>
      </c>
      <c r="B107" s="7" t="str">
        <f>Raw_Orders!B107</f>
        <v>C095</v>
      </c>
      <c r="C107" s="7" t="str">
        <f>INDEX(Raw_Customers!$B$2:$B$101,MATCH($B107,Raw_Customers!$A$2:$A$101,0))</f>
        <v>Mahika Cherian</v>
      </c>
      <c r="D107" s="7" t="str">
        <f>TRIM(INDEX(Raw_Customers!$C$2:$C$101,MATCH($B107,Raw_Customers!$A$2:$A$101,0)))</f>
        <v>Warangal</v>
      </c>
      <c r="E107" s="7" t="str">
        <f>"+91-"&amp;RIGHT("0000000000"&amp;INDEX(Raw_Customers!$D$2:$D$101,MATCH($B107,Raw_Customers!$A$2:$A$101,0)),10)</f>
        <v>+91-2769457161</v>
      </c>
      <c r="F107" s="7" t="str">
        <f>Raw_Orders!C107</f>
        <v>41</v>
      </c>
      <c r="G107" s="7" t="str">
        <f>INDEX(Raw_Products!$B$2:$B$71,MATCH($F107,Raw_Products!$A$2:$A$71,0))</f>
        <v>Aut Box</v>
      </c>
      <c r="H107" s="7" t="str">
        <f>INDEX(Raw_Products!$C$2:$C$71,MATCH($F107,Raw_Products!$A$2:$A$71,0))</f>
        <v>Sweets</v>
      </c>
      <c r="I107" s="7">
        <f>VALUE(Raw_Orders!D107)</f>
        <v>2</v>
      </c>
      <c r="J107" s="11" t="str">
        <f>INDEX(Raw_Products!$D$2:$D$71,MATCH($F107,Raw_Products!$A$2:$A$71,0))</f>
        <v>1977</v>
      </c>
      <c r="K107" s="11">
        <f t="shared" si="2"/>
        <v>3954</v>
      </c>
      <c r="L107" s="12">
        <f>DATE(VALUE(RIGHT(Raw_Orders!E107,4)),VALUE(MID(Raw_Orders!E107,4,2)),VALUE(LEFT(Raw_Orders!E107,2)))</f>
        <v>45236</v>
      </c>
      <c r="M107" s="12">
        <f>DATE(VALUE(RIGHT(Raw_Orders!G107,4)),VALUE(MID(Raw_Orders!G107,4,2)),VALUE(LEFT(Raw_Orders!G107,2)))</f>
        <v>45238</v>
      </c>
      <c r="N107" s="7">
        <f t="shared" si="3"/>
        <v>2</v>
      </c>
      <c r="O107" s="7" t="str">
        <f>Raw_Orders!J107</f>
        <v>Diwali</v>
      </c>
      <c r="P107" s="7" t="str">
        <f>Raw_Orders!I107</f>
        <v>Chinsurah</v>
      </c>
    </row>
    <row r="108" spans="1:16">
      <c r="A108" s="7" t="str">
        <f>Raw_Orders!A108</f>
        <v>107</v>
      </c>
      <c r="B108" s="7" t="str">
        <f>Raw_Orders!B108</f>
        <v>C041</v>
      </c>
      <c r="C108" s="7" t="str">
        <f>INDEX(Raw_Customers!$B$2:$B$101,MATCH($B108,Raw_Customers!$A$2:$A$101,0))</f>
        <v>Rati Dhingra</v>
      </c>
      <c r="D108" s="7" t="str">
        <f>TRIM(INDEX(Raw_Customers!$C$2:$C$101,MATCH($B108,Raw_Customers!$A$2:$A$101,0)))</f>
        <v>Karaikudi</v>
      </c>
      <c r="E108" s="7" t="str">
        <f>"+91-"&amp;RIGHT("0000000000"&amp;INDEX(Raw_Customers!$D$2:$D$101,MATCH($B108,Raw_Customers!$A$2:$A$101,0)),10)</f>
        <v>+91-0625408216</v>
      </c>
      <c r="F108" s="7" t="str">
        <f>Raw_Orders!C108</f>
        <v>4</v>
      </c>
      <c r="G108" s="7" t="str">
        <f>INDEX(Raw_Products!$B$2:$B$71,MATCH($F108,Raw_Products!$A$2:$A$71,0))</f>
        <v>Accusantium Set</v>
      </c>
      <c r="H108" s="7" t="str">
        <f>INDEX(Raw_Products!$C$2:$C$71,MATCH($F108,Raw_Products!$A$2:$A$71,0))</f>
        <v>Sweets</v>
      </c>
      <c r="I108" s="7">
        <f>VALUE(Raw_Orders!D108)</f>
        <v>3</v>
      </c>
      <c r="J108" s="11" t="str">
        <f>INDEX(Raw_Products!$D$2:$D$71,MATCH($F108,Raw_Products!$A$2:$A$71,0))</f>
        <v>1199</v>
      </c>
      <c r="K108" s="11">
        <f t="shared" si="2"/>
        <v>3597</v>
      </c>
      <c r="L108" s="12">
        <f>DATE(VALUE(RIGHT(Raw_Orders!E108,4)),VALUE(MID(Raw_Orders!E108,4,2)),VALUE(LEFT(Raw_Orders!E108,2)))</f>
        <v>45236</v>
      </c>
      <c r="M108" s="12">
        <f>DATE(VALUE(RIGHT(Raw_Orders!G108,4)),VALUE(MID(Raw_Orders!G108,4,2)),VALUE(LEFT(Raw_Orders!G108,2)))</f>
        <v>45242</v>
      </c>
      <c r="N108" s="7">
        <f t="shared" si="3"/>
        <v>6</v>
      </c>
      <c r="O108" s="7" t="str">
        <f>Raw_Orders!J108</f>
        <v>Diwali</v>
      </c>
      <c r="P108" s="7" t="str">
        <f>Raw_Orders!I108</f>
        <v>Gorakhpur</v>
      </c>
    </row>
    <row r="109" spans="1:16">
      <c r="A109" s="7" t="str">
        <f>Raw_Orders!A109</f>
        <v>108</v>
      </c>
      <c r="B109" s="7" t="str">
        <f>Raw_Orders!B109</f>
        <v>C012</v>
      </c>
      <c r="C109" s="7" t="str">
        <f>INDEX(Raw_Customers!$B$2:$B$101,MATCH($B109,Raw_Customers!$A$2:$A$101,0))</f>
        <v>Onkar Mangat</v>
      </c>
      <c r="D109" s="7" t="str">
        <f>TRIM(INDEX(Raw_Customers!$C$2:$C$101,MATCH($B109,Raw_Customers!$A$2:$A$101,0)))</f>
        <v>Bilaspur</v>
      </c>
      <c r="E109" s="7" t="str">
        <f>"+91-"&amp;RIGHT("0000000000"&amp;INDEX(Raw_Customers!$D$2:$D$101,MATCH($B109,Raw_Customers!$A$2:$A$101,0)),10)</f>
        <v>+91-9921125624</v>
      </c>
      <c r="F109" s="7" t="str">
        <f>Raw_Orders!C109</f>
        <v>26</v>
      </c>
      <c r="G109" s="7" t="str">
        <f>INDEX(Raw_Products!$B$2:$B$71,MATCH($F109,Raw_Products!$A$2:$A$71,0))</f>
        <v>Aliquam Box</v>
      </c>
      <c r="H109" s="7" t="str">
        <f>INDEX(Raw_Products!$C$2:$C$71,MATCH($F109,Raw_Products!$A$2:$A$71,0))</f>
        <v>Colors</v>
      </c>
      <c r="I109" s="7">
        <f>VALUE(Raw_Orders!D109)</f>
        <v>4</v>
      </c>
      <c r="J109" s="11" t="str">
        <f>INDEX(Raw_Products!$D$2:$D$71,MATCH($F109,Raw_Products!$A$2:$A$71,0))</f>
        <v>289</v>
      </c>
      <c r="K109" s="11">
        <f t="shared" si="2"/>
        <v>1156</v>
      </c>
      <c r="L109" s="12">
        <f>DATE(VALUE(RIGHT(Raw_Orders!E109,4)),VALUE(MID(Raw_Orders!E109,4,2)),VALUE(LEFT(Raw_Orders!E109,2)))</f>
        <v>44984</v>
      </c>
      <c r="M109" s="12">
        <f>DATE(VALUE(RIGHT(Raw_Orders!G109,4)),VALUE(MID(Raw_Orders!G109,4,2)),VALUE(LEFT(Raw_Orders!G109,2)))</f>
        <v>44990</v>
      </c>
      <c r="N109" s="7">
        <f t="shared" si="3"/>
        <v>6</v>
      </c>
      <c r="O109" s="7" t="str">
        <f>Raw_Orders!J109</f>
        <v>Holi</v>
      </c>
      <c r="P109" s="7" t="str">
        <f>Raw_Orders!I109</f>
        <v>Berhampore</v>
      </c>
    </row>
    <row r="110" spans="1:16">
      <c r="A110" s="7" t="str">
        <f>Raw_Orders!A110</f>
        <v>109</v>
      </c>
      <c r="B110" s="7" t="str">
        <f>Raw_Orders!B110</f>
        <v>C074</v>
      </c>
      <c r="C110" s="7" t="str">
        <f>INDEX(Raw_Customers!$B$2:$B$101,MATCH($B110,Raw_Customers!$A$2:$A$101,0))</f>
        <v>Vanya Apte</v>
      </c>
      <c r="D110" s="7" t="str">
        <f>TRIM(INDEX(Raw_Customers!$C$2:$C$101,MATCH($B110,Raw_Customers!$A$2:$A$101,0)))</f>
        <v>Sultan Pur Majra</v>
      </c>
      <c r="E110" s="7" t="str">
        <f>"+91-"&amp;RIGHT("0000000000"&amp;INDEX(Raw_Customers!$D$2:$D$101,MATCH($B110,Raw_Customers!$A$2:$A$101,0)),10)</f>
        <v>+91-9182523205</v>
      </c>
      <c r="F110" s="7" t="str">
        <f>Raw_Orders!C110</f>
        <v>50</v>
      </c>
      <c r="G110" s="7" t="str">
        <f>INDEX(Raw_Products!$B$2:$B$71,MATCH($F110,Raw_Products!$A$2:$A$71,0))</f>
        <v>Eligendi Set</v>
      </c>
      <c r="H110" s="7" t="str">
        <f>INDEX(Raw_Products!$C$2:$C$71,MATCH($F110,Raw_Products!$A$2:$A$71,0))</f>
        <v>Plants</v>
      </c>
      <c r="I110" s="7">
        <f>VALUE(Raw_Orders!D110)</f>
        <v>5</v>
      </c>
      <c r="J110" s="11" t="str">
        <f>INDEX(Raw_Products!$D$2:$D$71,MATCH($F110,Raw_Products!$A$2:$A$71,0))</f>
        <v>422</v>
      </c>
      <c r="K110" s="11">
        <f t="shared" si="2"/>
        <v>2110</v>
      </c>
      <c r="L110" s="12">
        <f>DATE(VALUE(RIGHT(Raw_Orders!E110,4)),VALUE(MID(Raw_Orders!E110,4,2)),VALUE(LEFT(Raw_Orders!E110,2)))</f>
        <v>44984</v>
      </c>
      <c r="M110" s="12">
        <f>DATE(VALUE(RIGHT(Raw_Orders!G110,4)),VALUE(MID(Raw_Orders!G110,4,2)),VALUE(LEFT(Raw_Orders!G110,2)))</f>
        <v>44986</v>
      </c>
      <c r="N110" s="7">
        <f t="shared" si="3"/>
        <v>2</v>
      </c>
      <c r="O110" s="7" t="str">
        <f>Raw_Orders!J110</f>
        <v>Holi</v>
      </c>
      <c r="P110" s="7" t="str">
        <f>Raw_Orders!I110</f>
        <v>Gandhidham</v>
      </c>
    </row>
    <row r="111" spans="1:16">
      <c r="A111" s="7" t="str">
        <f>Raw_Orders!A111</f>
        <v>110</v>
      </c>
      <c r="B111" s="7" t="str">
        <f>Raw_Orders!B111</f>
        <v>C075</v>
      </c>
      <c r="C111" s="7" t="str">
        <f>INDEX(Raw_Customers!$B$2:$B$101,MATCH($B111,Raw_Customers!$A$2:$A$101,0))</f>
        <v>Yashvi Bansal</v>
      </c>
      <c r="D111" s="7" t="str">
        <f>TRIM(INDEX(Raw_Customers!$C$2:$C$101,MATCH($B111,Raw_Customers!$A$2:$A$101,0)))</f>
        <v>Aligarh</v>
      </c>
      <c r="E111" s="7" t="str">
        <f>"+91-"&amp;RIGHT("0000000000"&amp;INDEX(Raw_Customers!$D$2:$D$101,MATCH($B111,Raw_Customers!$A$2:$A$101,0)),10)</f>
        <v>+91-4513765238</v>
      </c>
      <c r="F111" s="7" t="str">
        <f>Raw_Orders!C111</f>
        <v>26</v>
      </c>
      <c r="G111" s="7" t="str">
        <f>INDEX(Raw_Products!$B$2:$B$71,MATCH($F111,Raw_Products!$A$2:$A$71,0))</f>
        <v>Aliquam Box</v>
      </c>
      <c r="H111" s="7" t="str">
        <f>INDEX(Raw_Products!$C$2:$C$71,MATCH($F111,Raw_Products!$A$2:$A$71,0))</f>
        <v>Colors</v>
      </c>
      <c r="I111" s="7">
        <f>VALUE(Raw_Orders!D111)</f>
        <v>2</v>
      </c>
      <c r="J111" s="11" t="str">
        <f>INDEX(Raw_Products!$D$2:$D$71,MATCH($F111,Raw_Products!$A$2:$A$71,0))</f>
        <v>289</v>
      </c>
      <c r="K111" s="11">
        <f t="shared" si="2"/>
        <v>578</v>
      </c>
      <c r="L111" s="12">
        <f>DATE(VALUE(RIGHT(Raw_Orders!E111,4)),VALUE(MID(Raw_Orders!E111,4,2)),VALUE(LEFT(Raw_Orders!E111,2)))</f>
        <v>44989</v>
      </c>
      <c r="M111" s="12">
        <f>DATE(VALUE(RIGHT(Raw_Orders!G111,4)),VALUE(MID(Raw_Orders!G111,4,2)),VALUE(LEFT(Raw_Orders!G111,2)))</f>
        <v>44998</v>
      </c>
      <c r="N111" s="7">
        <f t="shared" si="3"/>
        <v>9</v>
      </c>
      <c r="O111" s="7" t="str">
        <f>Raw_Orders!J111</f>
        <v>Holi</v>
      </c>
      <c r="P111" s="7" t="str">
        <f>Raw_Orders!I111</f>
        <v>Kishanganj</v>
      </c>
    </row>
    <row r="112" spans="1:16">
      <c r="A112" s="7" t="str">
        <f>Raw_Orders!A112</f>
        <v>111</v>
      </c>
      <c r="B112" s="7" t="str">
        <f>Raw_Orders!B112</f>
        <v>C009</v>
      </c>
      <c r="C112" s="7" t="str">
        <f>INDEX(Raw_Customers!$B$2:$B$101,MATCH($B112,Raw_Customers!$A$2:$A$101,0))</f>
        <v>Ritvik Borah</v>
      </c>
      <c r="D112" s="7" t="str">
        <f>TRIM(INDEX(Raw_Customers!$C$2:$C$101,MATCH($B112,Raw_Customers!$A$2:$A$101,0)))</f>
        <v>Madurai</v>
      </c>
      <c r="E112" s="7" t="str">
        <f>"+91-"&amp;RIGHT("0000000000"&amp;INDEX(Raw_Customers!$D$2:$D$101,MATCH($B112,Raw_Customers!$A$2:$A$101,0)),10)</f>
        <v>+91-1336765676</v>
      </c>
      <c r="F112" s="7" t="str">
        <f>Raw_Orders!C112</f>
        <v>8</v>
      </c>
      <c r="G112" s="7" t="str">
        <f>INDEX(Raw_Products!$B$2:$B$71,MATCH($F112,Raw_Products!$A$2:$A$71,0))</f>
        <v>Qui Box</v>
      </c>
      <c r="H112" s="7" t="str">
        <f>INDEX(Raw_Products!$C$2:$C$71,MATCH($F112,Raw_Products!$A$2:$A$71,0))</f>
        <v>Sweets</v>
      </c>
      <c r="I112" s="7">
        <f>VALUE(Raw_Orders!D112)</f>
        <v>3</v>
      </c>
      <c r="J112" s="11" t="str">
        <f>INDEX(Raw_Products!$D$2:$D$71,MATCH($F112,Raw_Products!$A$2:$A$71,0))</f>
        <v>252</v>
      </c>
      <c r="K112" s="11">
        <f t="shared" si="2"/>
        <v>756</v>
      </c>
      <c r="L112" s="12">
        <f>DATE(VALUE(RIGHT(Raw_Orders!E112,4)),VALUE(MID(Raw_Orders!E112,4,2)),VALUE(LEFT(Raw_Orders!E112,2)))</f>
        <v>45098</v>
      </c>
      <c r="M112" s="12">
        <f>DATE(VALUE(RIGHT(Raw_Orders!G112,4)),VALUE(MID(Raw_Orders!G112,4,2)),VALUE(LEFT(Raw_Orders!G112,2)))</f>
        <v>45102</v>
      </c>
      <c r="N112" s="7">
        <f t="shared" si="3"/>
        <v>4</v>
      </c>
      <c r="O112" s="7" t="str">
        <f>Raw_Orders!J112</f>
        <v>Anniversary</v>
      </c>
      <c r="P112" s="7" t="str">
        <f>Raw_Orders!I112</f>
        <v>Ramgarh</v>
      </c>
    </row>
    <row r="113" spans="1:16">
      <c r="A113" s="7" t="str">
        <f>Raw_Orders!A113</f>
        <v>112</v>
      </c>
      <c r="B113" s="7" t="str">
        <f>Raw_Orders!B113</f>
        <v>C023</v>
      </c>
      <c r="C113" s="7" t="str">
        <f>INDEX(Raw_Customers!$B$2:$B$101,MATCH($B113,Raw_Customers!$A$2:$A$101,0))</f>
        <v>Abram Sandhu</v>
      </c>
      <c r="D113" s="7" t="str">
        <f>TRIM(INDEX(Raw_Customers!$C$2:$C$101,MATCH($B113,Raw_Customers!$A$2:$A$101,0)))</f>
        <v>Bidhannagar</v>
      </c>
      <c r="E113" s="7" t="str">
        <f>"+91-"&amp;RIGHT("0000000000"&amp;INDEX(Raw_Customers!$D$2:$D$101,MATCH($B113,Raw_Customers!$A$2:$A$101,0)),10)</f>
        <v>+91-7196287267</v>
      </c>
      <c r="F113" s="7" t="str">
        <f>Raw_Orders!C113</f>
        <v>37</v>
      </c>
      <c r="G113" s="7" t="str">
        <f>INDEX(Raw_Products!$B$2:$B$71,MATCH($F113,Raw_Products!$A$2:$A$71,0))</f>
        <v>Officiis Pack</v>
      </c>
      <c r="H113" s="7" t="str">
        <f>INDEX(Raw_Products!$C$2:$C$71,MATCH($F113,Raw_Products!$A$2:$A$71,0))</f>
        <v>Colors</v>
      </c>
      <c r="I113" s="7">
        <f>VALUE(Raw_Orders!D113)</f>
        <v>3</v>
      </c>
      <c r="J113" s="11" t="str">
        <f>INDEX(Raw_Products!$D$2:$D$71,MATCH($F113,Raw_Products!$A$2:$A$71,0))</f>
        <v>1428</v>
      </c>
      <c r="K113" s="11">
        <f t="shared" si="2"/>
        <v>4284</v>
      </c>
      <c r="L113" s="12">
        <f>DATE(VALUE(RIGHT(Raw_Orders!E113,4)),VALUE(MID(Raw_Orders!E113,4,2)),VALUE(LEFT(Raw_Orders!E113,2)))</f>
        <v>45241</v>
      </c>
      <c r="M113" s="12">
        <f>DATE(VALUE(RIGHT(Raw_Orders!G113,4)),VALUE(MID(Raw_Orders!G113,4,2)),VALUE(LEFT(Raw_Orders!G113,2)))</f>
        <v>45244</v>
      </c>
      <c r="N113" s="7">
        <f t="shared" si="3"/>
        <v>3</v>
      </c>
      <c r="O113" s="7" t="str">
        <f>Raw_Orders!J113</f>
        <v>Diwali</v>
      </c>
      <c r="P113" s="7" t="str">
        <f>Raw_Orders!I113</f>
        <v>Kochi</v>
      </c>
    </row>
    <row r="114" spans="1:16">
      <c r="A114" s="7" t="str">
        <f>Raw_Orders!A114</f>
        <v>113</v>
      </c>
      <c r="B114" s="7" t="str">
        <f>Raw_Orders!B114</f>
        <v>C032</v>
      </c>
      <c r="C114" s="7" t="str">
        <f>INDEX(Raw_Customers!$B$2:$B$101,MATCH($B114,Raw_Customers!$A$2:$A$101,0))</f>
        <v>Mannat Anand</v>
      </c>
      <c r="D114" s="7" t="str">
        <f>TRIM(INDEX(Raw_Customers!$C$2:$C$101,MATCH($B114,Raw_Customers!$A$2:$A$101,0)))</f>
        <v>Surat</v>
      </c>
      <c r="E114" s="7" t="str">
        <f>"+91-"&amp;RIGHT("0000000000"&amp;INDEX(Raw_Customers!$D$2:$D$101,MATCH($B114,Raw_Customers!$A$2:$A$101,0)),10)</f>
        <v>+91-1611365500</v>
      </c>
      <c r="F114" s="7" t="str">
        <f>Raw_Orders!C114</f>
        <v>1</v>
      </c>
      <c r="G114" s="7" t="str">
        <f>INDEX(Raw_Products!$B$2:$B$71,MATCH($F114,Raw_Products!$A$2:$A$71,0))</f>
        <v>Magnam Set</v>
      </c>
      <c r="H114" s="7" t="str">
        <f>INDEX(Raw_Products!$C$2:$C$71,MATCH($F114,Raw_Products!$A$2:$A$71,0))</f>
        <v>Soft Toys</v>
      </c>
      <c r="I114" s="7">
        <f>VALUE(Raw_Orders!D114)</f>
        <v>3</v>
      </c>
      <c r="J114" s="11" t="str">
        <f>INDEX(Raw_Products!$D$2:$D$71,MATCH($F114,Raw_Products!$A$2:$A$71,0))</f>
        <v>1935</v>
      </c>
      <c r="K114" s="11">
        <f t="shared" si="2"/>
        <v>5805</v>
      </c>
      <c r="L114" s="12">
        <f>DATE(VALUE(RIGHT(Raw_Orders!E114,4)),VALUE(MID(Raw_Orders!E114,4,2)),VALUE(LEFT(Raw_Orders!E114,2)))</f>
        <v>45244</v>
      </c>
      <c r="M114" s="12">
        <f>DATE(VALUE(RIGHT(Raw_Orders!G114,4)),VALUE(MID(Raw_Orders!G114,4,2)),VALUE(LEFT(Raw_Orders!G114,2)))</f>
        <v>45253</v>
      </c>
      <c r="N114" s="7">
        <f t="shared" si="3"/>
        <v>9</v>
      </c>
      <c r="O114" s="7" t="str">
        <f>Raw_Orders!J114</f>
        <v>All Occasions</v>
      </c>
      <c r="P114" s="7" t="str">
        <f>Raw_Orders!I114</f>
        <v>Bulandshahr</v>
      </c>
    </row>
    <row r="115" spans="1:16">
      <c r="A115" s="7" t="str">
        <f>Raw_Orders!A115</f>
        <v>114</v>
      </c>
      <c r="B115" s="7" t="str">
        <f>Raw_Orders!B115</f>
        <v>C009</v>
      </c>
      <c r="C115" s="7" t="str">
        <f>INDEX(Raw_Customers!$B$2:$B$101,MATCH($B115,Raw_Customers!$A$2:$A$101,0))</f>
        <v>Ritvik Borah</v>
      </c>
      <c r="D115" s="7" t="str">
        <f>TRIM(INDEX(Raw_Customers!$C$2:$C$101,MATCH($B115,Raw_Customers!$A$2:$A$101,0)))</f>
        <v>Madurai</v>
      </c>
      <c r="E115" s="7" t="str">
        <f>"+91-"&amp;RIGHT("0000000000"&amp;INDEX(Raw_Customers!$D$2:$D$101,MATCH($B115,Raw_Customers!$A$2:$A$101,0)),10)</f>
        <v>+91-1336765676</v>
      </c>
      <c r="F115" s="7" t="str">
        <f>Raw_Orders!C115</f>
        <v>40</v>
      </c>
      <c r="G115" s="7" t="str">
        <f>INDEX(Raw_Products!$B$2:$B$71,MATCH($F115,Raw_Products!$A$2:$A$71,0))</f>
        <v>Provident Pack</v>
      </c>
      <c r="H115" s="7" t="str">
        <f>INDEX(Raw_Products!$C$2:$C$71,MATCH($F115,Raw_Products!$A$2:$A$71,0))</f>
        <v>Sweets</v>
      </c>
      <c r="I115" s="7">
        <f>VALUE(Raw_Orders!D115)</f>
        <v>4</v>
      </c>
      <c r="J115" s="11" t="str">
        <f>INDEX(Raw_Products!$D$2:$D$71,MATCH($F115,Raw_Products!$A$2:$A$71,0))</f>
        <v>1923</v>
      </c>
      <c r="K115" s="11">
        <f t="shared" si="2"/>
        <v>7692</v>
      </c>
      <c r="L115" s="12">
        <f>DATE(VALUE(RIGHT(Raw_Orders!E115,4)),VALUE(MID(Raw_Orders!E115,4,2)),VALUE(LEFT(Raw_Orders!E115,2)))</f>
        <v>44960</v>
      </c>
      <c r="M115" s="12">
        <f>DATE(VALUE(RIGHT(Raw_Orders!G115,4)),VALUE(MID(Raw_Orders!G115,4,2)),VALUE(LEFT(Raw_Orders!G115,2)))</f>
        <v>44964</v>
      </c>
      <c r="N115" s="7">
        <f t="shared" si="3"/>
        <v>4</v>
      </c>
      <c r="O115" s="7" t="str">
        <f>Raw_Orders!J115</f>
        <v>Anniversary</v>
      </c>
      <c r="P115" s="7" t="str">
        <f>Raw_Orders!I115</f>
        <v>Kirari Suleman Nagar</v>
      </c>
    </row>
    <row r="116" spans="1:16">
      <c r="A116" s="7" t="str">
        <f>Raw_Orders!A116</f>
        <v>115</v>
      </c>
      <c r="B116" s="7" t="str">
        <f>Raw_Orders!B116</f>
        <v>C095</v>
      </c>
      <c r="C116" s="7" t="str">
        <f>INDEX(Raw_Customers!$B$2:$B$101,MATCH($B116,Raw_Customers!$A$2:$A$101,0))</f>
        <v>Mahika Cherian</v>
      </c>
      <c r="D116" s="7" t="str">
        <f>TRIM(INDEX(Raw_Customers!$C$2:$C$101,MATCH($B116,Raw_Customers!$A$2:$A$101,0)))</f>
        <v>Warangal</v>
      </c>
      <c r="E116" s="7" t="str">
        <f>"+91-"&amp;RIGHT("0000000000"&amp;INDEX(Raw_Customers!$D$2:$D$101,MATCH($B116,Raw_Customers!$A$2:$A$101,0)),10)</f>
        <v>+91-2769457161</v>
      </c>
      <c r="F116" s="7" t="str">
        <f>Raw_Orders!C116</f>
        <v>57</v>
      </c>
      <c r="G116" s="7" t="str">
        <f>INDEX(Raw_Products!$B$2:$B$71,MATCH($F116,Raw_Products!$A$2:$A$71,0))</f>
        <v>Voluptatem Box</v>
      </c>
      <c r="H116" s="7" t="str">
        <f>INDEX(Raw_Products!$C$2:$C$71,MATCH($F116,Raw_Products!$A$2:$A$71,0))</f>
        <v>Colors</v>
      </c>
      <c r="I116" s="7">
        <f>VALUE(Raw_Orders!D116)</f>
        <v>1</v>
      </c>
      <c r="J116" s="11" t="str">
        <f>INDEX(Raw_Products!$D$2:$D$71,MATCH($F116,Raw_Products!$A$2:$A$71,0))</f>
        <v>1582</v>
      </c>
      <c r="K116" s="11">
        <f t="shared" si="2"/>
        <v>1582</v>
      </c>
      <c r="L116" s="12">
        <f>DATE(VALUE(RIGHT(Raw_Orders!E116,4)),VALUE(MID(Raw_Orders!E116,4,2)),VALUE(LEFT(Raw_Orders!E116,2)))</f>
        <v>45044</v>
      </c>
      <c r="M116" s="12">
        <f>DATE(VALUE(RIGHT(Raw_Orders!G116,4)),VALUE(MID(Raw_Orders!G116,4,2)),VALUE(LEFT(Raw_Orders!G116,2)))</f>
        <v>45051</v>
      </c>
      <c r="N116" s="7">
        <f t="shared" si="3"/>
        <v>7</v>
      </c>
      <c r="O116" s="7" t="str">
        <f>Raw_Orders!J116</f>
        <v>Birthday</v>
      </c>
      <c r="P116" s="7" t="str">
        <f>Raw_Orders!I116</f>
        <v>Jhansi</v>
      </c>
    </row>
    <row r="117" spans="1:16">
      <c r="A117" s="7" t="str">
        <f>Raw_Orders!A117</f>
        <v>116</v>
      </c>
      <c r="B117" s="7" t="str">
        <f>Raw_Orders!B117</f>
        <v>C009</v>
      </c>
      <c r="C117" s="7" t="str">
        <f>INDEX(Raw_Customers!$B$2:$B$101,MATCH($B117,Raw_Customers!$A$2:$A$101,0))</f>
        <v>Ritvik Borah</v>
      </c>
      <c r="D117" s="7" t="str">
        <f>TRIM(INDEX(Raw_Customers!$C$2:$C$101,MATCH($B117,Raw_Customers!$A$2:$A$101,0)))</f>
        <v>Madurai</v>
      </c>
      <c r="E117" s="7" t="str">
        <f>"+91-"&amp;RIGHT("0000000000"&amp;INDEX(Raw_Customers!$D$2:$D$101,MATCH($B117,Raw_Customers!$A$2:$A$101,0)),10)</f>
        <v>+91-1336765676</v>
      </c>
      <c r="F117" s="7" t="str">
        <f>Raw_Orders!C117</f>
        <v>4</v>
      </c>
      <c r="G117" s="7" t="str">
        <f>INDEX(Raw_Products!$B$2:$B$71,MATCH($F117,Raw_Products!$A$2:$A$71,0))</f>
        <v>Accusantium Set</v>
      </c>
      <c r="H117" s="7" t="str">
        <f>INDEX(Raw_Products!$C$2:$C$71,MATCH($F117,Raw_Products!$A$2:$A$71,0))</f>
        <v>Sweets</v>
      </c>
      <c r="I117" s="7">
        <f>VALUE(Raw_Orders!D117)</f>
        <v>3</v>
      </c>
      <c r="J117" s="11" t="str">
        <f>INDEX(Raw_Products!$D$2:$D$71,MATCH($F117,Raw_Products!$A$2:$A$71,0))</f>
        <v>1199</v>
      </c>
      <c r="K117" s="11">
        <f t="shared" si="2"/>
        <v>3597</v>
      </c>
      <c r="L117" s="12">
        <f>DATE(VALUE(RIGHT(Raw_Orders!E117,4)),VALUE(MID(Raw_Orders!E117,4,2)),VALUE(LEFT(Raw_Orders!E117,2)))</f>
        <v>45241</v>
      </c>
      <c r="M117" s="12">
        <f>DATE(VALUE(RIGHT(Raw_Orders!G117,4)),VALUE(MID(Raw_Orders!G117,4,2)),VALUE(LEFT(Raw_Orders!G117,2)))</f>
        <v>45250</v>
      </c>
      <c r="N117" s="7">
        <f t="shared" si="3"/>
        <v>9</v>
      </c>
      <c r="O117" s="7" t="str">
        <f>Raw_Orders!J117</f>
        <v>Diwali</v>
      </c>
      <c r="P117" s="7" t="str">
        <f>Raw_Orders!I117</f>
        <v>Howrah</v>
      </c>
    </row>
    <row r="118" spans="1:16">
      <c r="A118" s="7" t="str">
        <f>Raw_Orders!A118</f>
        <v>117</v>
      </c>
      <c r="B118" s="7" t="str">
        <f>Raw_Orders!B118</f>
        <v>C033</v>
      </c>
      <c r="C118" s="7" t="str">
        <f>INDEX(Raw_Customers!$B$2:$B$101,MATCH($B118,Raw_Customers!$A$2:$A$101,0))</f>
        <v>Suhana Kurian</v>
      </c>
      <c r="D118" s="7" t="str">
        <f>TRIM(INDEX(Raw_Customers!$C$2:$C$101,MATCH($B118,Raw_Customers!$A$2:$A$101,0)))</f>
        <v>Indore</v>
      </c>
      <c r="E118" s="7" t="str">
        <f>"+91-"&amp;RIGHT("0000000000"&amp;INDEX(Raw_Customers!$D$2:$D$101,MATCH($B118,Raw_Customers!$A$2:$A$101,0)),10)</f>
        <v>+91-5713958095</v>
      </c>
      <c r="F118" s="7" t="str">
        <f>Raw_Orders!C118</f>
        <v>59</v>
      </c>
      <c r="G118" s="7" t="str">
        <f>INDEX(Raw_Products!$B$2:$B$71,MATCH($F118,Raw_Products!$A$2:$A$71,0))</f>
        <v>Pariatur Box</v>
      </c>
      <c r="H118" s="7" t="str">
        <f>INDEX(Raw_Products!$C$2:$C$71,MATCH($F118,Raw_Products!$A$2:$A$71,0))</f>
        <v>Cake</v>
      </c>
      <c r="I118" s="7">
        <f>VALUE(Raw_Orders!D118)</f>
        <v>3</v>
      </c>
      <c r="J118" s="11" t="str">
        <f>INDEX(Raw_Products!$D$2:$D$71,MATCH($F118,Raw_Products!$A$2:$A$71,0))</f>
        <v>811</v>
      </c>
      <c r="K118" s="11">
        <f t="shared" si="2"/>
        <v>2433</v>
      </c>
      <c r="L118" s="12">
        <f>DATE(VALUE(RIGHT(Raw_Orders!E118,4)),VALUE(MID(Raw_Orders!E118,4,2)),VALUE(LEFT(Raw_Orders!E118,2)))</f>
        <v>45158</v>
      </c>
      <c r="M118" s="12">
        <f>DATE(VALUE(RIGHT(Raw_Orders!G118,4)),VALUE(MID(Raw_Orders!G118,4,2)),VALUE(LEFT(Raw_Orders!G118,2)))</f>
        <v>45160</v>
      </c>
      <c r="N118" s="7">
        <f t="shared" si="3"/>
        <v>2</v>
      </c>
      <c r="O118" s="7" t="str">
        <f>Raw_Orders!J118</f>
        <v>Raksha Bandhan</v>
      </c>
      <c r="P118" s="7" t="str">
        <f>Raw_Orders!I118</f>
        <v>Loni</v>
      </c>
    </row>
    <row r="119" spans="1:16">
      <c r="A119" s="7" t="str">
        <f>Raw_Orders!A119</f>
        <v>118</v>
      </c>
      <c r="B119" s="7" t="str">
        <f>Raw_Orders!B119</f>
        <v>C035</v>
      </c>
      <c r="C119" s="7" t="str">
        <f>INDEX(Raw_Customers!$B$2:$B$101,MATCH($B119,Raw_Customers!$A$2:$A$101,0))</f>
        <v>Ira Sarna</v>
      </c>
      <c r="D119" s="7" t="str">
        <f>TRIM(INDEX(Raw_Customers!$C$2:$C$101,MATCH($B119,Raw_Customers!$A$2:$A$101,0)))</f>
        <v>Vellore</v>
      </c>
      <c r="E119" s="7" t="str">
        <f>"+91-"&amp;RIGHT("0000000000"&amp;INDEX(Raw_Customers!$D$2:$D$101,MATCH($B119,Raw_Customers!$A$2:$A$101,0)),10)</f>
        <v>+91-6899648374</v>
      </c>
      <c r="F119" s="7" t="str">
        <f>Raw_Orders!C119</f>
        <v>62</v>
      </c>
      <c r="G119" s="7" t="str">
        <f>INDEX(Raw_Products!$B$2:$B$71,MATCH($F119,Raw_Products!$A$2:$A$71,0))</f>
        <v>Sed Set</v>
      </c>
      <c r="H119" s="7" t="str">
        <f>INDEX(Raw_Products!$C$2:$C$71,MATCH($F119,Raw_Products!$A$2:$A$71,0))</f>
        <v>Colors</v>
      </c>
      <c r="I119" s="7">
        <f>VALUE(Raw_Orders!D119)</f>
        <v>1</v>
      </c>
      <c r="J119" s="11" t="str">
        <f>INDEX(Raw_Products!$D$2:$D$71,MATCH($F119,Raw_Products!$A$2:$A$71,0))</f>
        <v>1356</v>
      </c>
      <c r="K119" s="11">
        <f t="shared" si="2"/>
        <v>1356</v>
      </c>
      <c r="L119" s="12">
        <f>DATE(VALUE(RIGHT(Raw_Orders!E119,4)),VALUE(MID(Raw_Orders!E119,4,2)),VALUE(LEFT(Raw_Orders!E119,2)))</f>
        <v>44984</v>
      </c>
      <c r="M119" s="12">
        <f>DATE(VALUE(RIGHT(Raw_Orders!G119,4)),VALUE(MID(Raw_Orders!G119,4,2)),VALUE(LEFT(Raw_Orders!G119,2)))</f>
        <v>44990</v>
      </c>
      <c r="N119" s="7">
        <f t="shared" si="3"/>
        <v>6</v>
      </c>
      <c r="O119" s="7" t="str">
        <f>Raw_Orders!J119</f>
        <v>Holi</v>
      </c>
      <c r="P119" s="7" t="str">
        <f>Raw_Orders!I119</f>
        <v>Bhavnagar</v>
      </c>
    </row>
    <row r="120" spans="1:16">
      <c r="A120" s="7" t="str">
        <f>Raw_Orders!A120</f>
        <v>119</v>
      </c>
      <c r="B120" s="7" t="str">
        <f>Raw_Orders!B120</f>
        <v>C010</v>
      </c>
      <c r="C120" s="7" t="str">
        <f>INDEX(Raw_Customers!$B$2:$B$101,MATCH($B120,Raw_Customers!$A$2:$A$101,0))</f>
        <v>Darshit Dave</v>
      </c>
      <c r="D120" s="7" t="str">
        <f>TRIM(INDEX(Raw_Customers!$C$2:$C$101,MATCH($B120,Raw_Customers!$A$2:$A$101,0)))</f>
        <v>Kanpur</v>
      </c>
      <c r="E120" s="7" t="str">
        <f>"+91-"&amp;RIGHT("0000000000"&amp;INDEX(Raw_Customers!$D$2:$D$101,MATCH($B120,Raw_Customers!$A$2:$A$101,0)),10)</f>
        <v>+91-1608833065</v>
      </c>
      <c r="F120" s="7" t="str">
        <f>Raw_Orders!C120</f>
        <v>6</v>
      </c>
      <c r="G120" s="7" t="str">
        <f>INDEX(Raw_Products!$B$2:$B$71,MATCH($F120,Raw_Products!$A$2:$A$71,0))</f>
        <v>Quos Box</v>
      </c>
      <c r="H120" s="7" t="str">
        <f>INDEX(Raw_Products!$C$2:$C$71,MATCH($F120,Raw_Products!$A$2:$A$71,0))</f>
        <v>Cake</v>
      </c>
      <c r="I120" s="7">
        <f>VALUE(Raw_Orders!D120)</f>
        <v>4</v>
      </c>
      <c r="J120" s="11" t="str">
        <f>INDEX(Raw_Products!$D$2:$D$71,MATCH($F120,Raw_Products!$A$2:$A$71,0))</f>
        <v>1112</v>
      </c>
      <c r="K120" s="11">
        <f t="shared" si="2"/>
        <v>4448</v>
      </c>
      <c r="L120" s="12">
        <f>DATE(VALUE(RIGHT(Raw_Orders!E120,4)),VALUE(MID(Raw_Orders!E120,4,2)),VALUE(LEFT(Raw_Orders!E120,2)))</f>
        <v>44989</v>
      </c>
      <c r="M120" s="12">
        <f>DATE(VALUE(RIGHT(Raw_Orders!G120,4)),VALUE(MID(Raw_Orders!G120,4,2)),VALUE(LEFT(Raw_Orders!G120,2)))</f>
        <v>44997</v>
      </c>
      <c r="N120" s="7">
        <f t="shared" si="3"/>
        <v>8</v>
      </c>
      <c r="O120" s="7" t="str">
        <f>Raw_Orders!J120</f>
        <v>Holi</v>
      </c>
      <c r="P120" s="7" t="str">
        <f>Raw_Orders!I120</f>
        <v>Fatehpur</v>
      </c>
    </row>
    <row r="121" spans="1:16">
      <c r="A121" s="7" t="str">
        <f>Raw_Orders!A121</f>
        <v>120</v>
      </c>
      <c r="B121" s="7" t="str">
        <f>Raw_Orders!B121</f>
        <v>C050</v>
      </c>
      <c r="C121" s="7" t="str">
        <f>INDEX(Raw_Customers!$B$2:$B$101,MATCH($B121,Raw_Customers!$A$2:$A$101,0))</f>
        <v>Chirag Srinivas</v>
      </c>
      <c r="D121" s="7" t="str">
        <f>TRIM(INDEX(Raw_Customers!$C$2:$C$101,MATCH($B121,Raw_Customers!$A$2:$A$101,0)))</f>
        <v>Imphal</v>
      </c>
      <c r="E121" s="7" t="str">
        <f>"+91-"&amp;RIGHT("0000000000"&amp;INDEX(Raw_Customers!$D$2:$D$101,MATCH($B121,Raw_Customers!$A$2:$A$101,0)),10)</f>
        <v>+91-1157961919</v>
      </c>
      <c r="F121" s="7" t="str">
        <f>Raw_Orders!C121</f>
        <v>61</v>
      </c>
      <c r="G121" s="7" t="str">
        <f>INDEX(Raw_Products!$B$2:$B$71,MATCH($F121,Raw_Products!$A$2:$A$71,0))</f>
        <v>Iusto Box</v>
      </c>
      <c r="H121" s="7" t="str">
        <f>INDEX(Raw_Products!$C$2:$C$71,MATCH($F121,Raw_Products!$A$2:$A$71,0))</f>
        <v>Plants</v>
      </c>
      <c r="I121" s="7">
        <f>VALUE(Raw_Orders!D121)</f>
        <v>1</v>
      </c>
      <c r="J121" s="11" t="str">
        <f>INDEX(Raw_Products!$D$2:$D$71,MATCH($F121,Raw_Products!$A$2:$A$71,0))</f>
        <v>810</v>
      </c>
      <c r="K121" s="11">
        <f t="shared" si="2"/>
        <v>810</v>
      </c>
      <c r="L121" s="12">
        <f>DATE(VALUE(RIGHT(Raw_Orders!E121,4)),VALUE(MID(Raw_Orders!E121,4,2)),VALUE(LEFT(Raw_Orders!E121,2)))</f>
        <v>45285</v>
      </c>
      <c r="M121" s="12">
        <f>DATE(VALUE(RIGHT(Raw_Orders!G121,4)),VALUE(MID(Raw_Orders!G121,4,2)),VALUE(LEFT(Raw_Orders!G121,2)))</f>
        <v>45291</v>
      </c>
      <c r="N121" s="7">
        <f t="shared" si="3"/>
        <v>6</v>
      </c>
      <c r="O121" s="7" t="str">
        <f>Raw_Orders!J121</f>
        <v>Anniversary</v>
      </c>
      <c r="P121" s="7" t="str">
        <f>Raw_Orders!I121</f>
        <v>Kalyan-Dombivli</v>
      </c>
    </row>
    <row r="122" spans="1:16">
      <c r="A122" s="7" t="str">
        <f>Raw_Orders!A122</f>
        <v>121</v>
      </c>
      <c r="B122" s="7" t="str">
        <f>Raw_Orders!B122</f>
        <v>C048</v>
      </c>
      <c r="C122" s="7" t="str">
        <f>INDEX(Raw_Customers!$B$2:$B$101,MATCH($B122,Raw_Customers!$A$2:$A$101,0))</f>
        <v>Aradhya Kale</v>
      </c>
      <c r="D122" s="7" t="str">
        <f>TRIM(INDEX(Raw_Customers!$C$2:$C$101,MATCH($B122,Raw_Customers!$A$2:$A$101,0)))</f>
        <v>Guntakal</v>
      </c>
      <c r="E122" s="7" t="str">
        <f>"+91-"&amp;RIGHT("0000000000"&amp;INDEX(Raw_Customers!$D$2:$D$101,MATCH($B122,Raw_Customers!$A$2:$A$101,0)),10)</f>
        <v>+91-7979926231</v>
      </c>
      <c r="F122" s="7" t="str">
        <f>Raw_Orders!C122</f>
        <v>33</v>
      </c>
      <c r="G122" s="7" t="str">
        <f>INDEX(Raw_Products!$B$2:$B$71,MATCH($F122,Raw_Products!$A$2:$A$71,0))</f>
        <v>Earum Set</v>
      </c>
      <c r="H122" s="7" t="str">
        <f>INDEX(Raw_Products!$C$2:$C$71,MATCH($F122,Raw_Products!$A$2:$A$71,0))</f>
        <v>Colors</v>
      </c>
      <c r="I122" s="7">
        <f>VALUE(Raw_Orders!D122)</f>
        <v>3</v>
      </c>
      <c r="J122" s="11" t="str">
        <f>INDEX(Raw_Products!$D$2:$D$71,MATCH($F122,Raw_Products!$A$2:$A$71,0))</f>
        <v>314</v>
      </c>
      <c r="K122" s="11">
        <f t="shared" si="2"/>
        <v>942</v>
      </c>
      <c r="L122" s="12">
        <f>DATE(VALUE(RIGHT(Raw_Orders!E122,4)),VALUE(MID(Raw_Orders!E122,4,2)),VALUE(LEFT(Raw_Orders!E122,2)))</f>
        <v>44962</v>
      </c>
      <c r="M122" s="12">
        <f>DATE(VALUE(RIGHT(Raw_Orders!G122,4)),VALUE(MID(Raw_Orders!G122,4,2)),VALUE(LEFT(Raw_Orders!G122,2)))</f>
        <v>44966</v>
      </c>
      <c r="N122" s="7">
        <f t="shared" si="3"/>
        <v>4</v>
      </c>
      <c r="O122" s="7" t="str">
        <f>Raw_Orders!J122</f>
        <v>Valentine's Day</v>
      </c>
      <c r="P122" s="7" t="str">
        <f>Raw_Orders!I122</f>
        <v>Guntur</v>
      </c>
    </row>
    <row r="123" spans="1:16">
      <c r="A123" s="7" t="str">
        <f>Raw_Orders!A123</f>
        <v>122</v>
      </c>
      <c r="B123" s="7" t="str">
        <f>Raw_Orders!B123</f>
        <v>C083</v>
      </c>
      <c r="C123" s="7" t="str">
        <f>INDEX(Raw_Customers!$B$2:$B$101,MATCH($B123,Raw_Customers!$A$2:$A$101,0))</f>
        <v>Aaryahi Sodhi</v>
      </c>
      <c r="D123" s="7" t="str">
        <f>TRIM(INDEX(Raw_Customers!$C$2:$C$101,MATCH($B123,Raw_Customers!$A$2:$A$101,0)))</f>
        <v>Raurkela Industrial Township</v>
      </c>
      <c r="E123" s="7" t="str">
        <f>"+91-"&amp;RIGHT("0000000000"&amp;INDEX(Raw_Customers!$D$2:$D$101,MATCH($B123,Raw_Customers!$A$2:$A$101,0)),10)</f>
        <v>+91-2690208110</v>
      </c>
      <c r="F123" s="7" t="str">
        <f>Raw_Orders!C123</f>
        <v>24</v>
      </c>
      <c r="G123" s="7" t="str">
        <f>INDEX(Raw_Products!$B$2:$B$71,MATCH($F123,Raw_Products!$A$2:$A$71,0))</f>
        <v>Ad Box</v>
      </c>
      <c r="H123" s="7" t="str">
        <f>INDEX(Raw_Products!$C$2:$C$71,MATCH($F123,Raw_Products!$A$2:$A$71,0))</f>
        <v>Mugs</v>
      </c>
      <c r="I123" s="7">
        <f>VALUE(Raw_Orders!D123)</f>
        <v>5</v>
      </c>
      <c r="J123" s="11" t="str">
        <f>INDEX(Raw_Products!$D$2:$D$71,MATCH($F123,Raw_Products!$A$2:$A$71,0))</f>
        <v>535</v>
      </c>
      <c r="K123" s="11">
        <f t="shared" si="2"/>
        <v>2675</v>
      </c>
      <c r="L123" s="12">
        <f>DATE(VALUE(RIGHT(Raw_Orders!E123,4)),VALUE(MID(Raw_Orders!E123,4,2)),VALUE(LEFT(Raw_Orders!E123,2)))</f>
        <v>45202</v>
      </c>
      <c r="M123" s="12">
        <f>DATE(VALUE(RIGHT(Raw_Orders!G123,4)),VALUE(MID(Raw_Orders!G123,4,2)),VALUE(LEFT(Raw_Orders!G123,2)))</f>
        <v>45212</v>
      </c>
      <c r="N123" s="7">
        <f t="shared" si="3"/>
        <v>10</v>
      </c>
      <c r="O123" s="7" t="str">
        <f>Raw_Orders!J123</f>
        <v>Birthday</v>
      </c>
      <c r="P123" s="7" t="str">
        <f>Raw_Orders!I123</f>
        <v>Gulbarga</v>
      </c>
    </row>
    <row r="124" spans="1:16">
      <c r="A124" s="7" t="str">
        <f>Raw_Orders!A124</f>
        <v>123</v>
      </c>
      <c r="B124" s="7" t="str">
        <f>Raw_Orders!B124</f>
        <v>C026</v>
      </c>
      <c r="C124" s="7" t="str">
        <f>INDEX(Raw_Customers!$B$2:$B$101,MATCH($B124,Raw_Customers!$A$2:$A$101,0))</f>
        <v>Ira Chahal</v>
      </c>
      <c r="D124" s="7" t="str">
        <f>TRIM(INDEX(Raw_Customers!$C$2:$C$101,MATCH($B124,Raw_Customers!$A$2:$A$101,0)))</f>
        <v>Farrukhabad</v>
      </c>
      <c r="E124" s="7" t="str">
        <f>"+91-"&amp;RIGHT("0000000000"&amp;INDEX(Raw_Customers!$D$2:$D$101,MATCH($B124,Raw_Customers!$A$2:$A$101,0)),10)</f>
        <v>+91-8716483532</v>
      </c>
      <c r="F124" s="7" t="str">
        <f>Raw_Orders!C124</f>
        <v>38</v>
      </c>
      <c r="G124" s="7" t="str">
        <f>INDEX(Raw_Products!$B$2:$B$71,MATCH($F124,Raw_Products!$A$2:$A$71,0))</f>
        <v>Mollitia Set</v>
      </c>
      <c r="H124" s="7" t="str">
        <f>INDEX(Raw_Products!$C$2:$C$71,MATCH($F124,Raw_Products!$A$2:$A$71,0))</f>
        <v>Cake</v>
      </c>
      <c r="I124" s="7">
        <f>VALUE(Raw_Orders!D124)</f>
        <v>1</v>
      </c>
      <c r="J124" s="11" t="str">
        <f>INDEX(Raw_Products!$D$2:$D$71,MATCH($F124,Raw_Products!$A$2:$A$71,0))</f>
        <v>562</v>
      </c>
      <c r="K124" s="11">
        <f t="shared" si="2"/>
        <v>562</v>
      </c>
      <c r="L124" s="12">
        <f>DATE(VALUE(RIGHT(Raw_Orders!E124,4)),VALUE(MID(Raw_Orders!E124,4,2)),VALUE(LEFT(Raw_Orders!E124,2)))</f>
        <v>44941</v>
      </c>
      <c r="M124" s="12">
        <f>DATE(VALUE(RIGHT(Raw_Orders!G124,4)),VALUE(MID(Raw_Orders!G124,4,2)),VALUE(LEFT(Raw_Orders!G124,2)))</f>
        <v>44951</v>
      </c>
      <c r="N124" s="7">
        <f t="shared" si="3"/>
        <v>10</v>
      </c>
      <c r="O124" s="7" t="str">
        <f>Raw_Orders!J124</f>
        <v>Birthday</v>
      </c>
      <c r="P124" s="7" t="str">
        <f>Raw_Orders!I124</f>
        <v>Malegaon</v>
      </c>
    </row>
    <row r="125" spans="1:16">
      <c r="A125" s="7" t="str">
        <f>Raw_Orders!A125</f>
        <v>124</v>
      </c>
      <c r="B125" s="7" t="str">
        <f>Raw_Orders!B125</f>
        <v>C030</v>
      </c>
      <c r="C125" s="7" t="str">
        <f>INDEX(Raw_Customers!$B$2:$B$101,MATCH($B125,Raw_Customers!$A$2:$A$101,0))</f>
        <v>Vardaniya Contractor</v>
      </c>
      <c r="D125" s="7" t="str">
        <f>TRIM(INDEX(Raw_Customers!$C$2:$C$101,MATCH($B125,Raw_Customers!$A$2:$A$101,0)))</f>
        <v>Sambhal</v>
      </c>
      <c r="E125" s="7" t="str">
        <f>"+91-"&amp;RIGHT("0000000000"&amp;INDEX(Raw_Customers!$D$2:$D$101,MATCH($B125,Raw_Customers!$A$2:$A$101,0)),10)</f>
        <v>+91-9972300876</v>
      </c>
      <c r="F125" s="7" t="str">
        <f>Raw_Orders!C125</f>
        <v>67</v>
      </c>
      <c r="G125" s="7" t="str">
        <f>INDEX(Raw_Products!$B$2:$B$71,MATCH($F125,Raw_Products!$A$2:$A$71,0))</f>
        <v>Maiores Box</v>
      </c>
      <c r="H125" s="7" t="str">
        <f>INDEX(Raw_Products!$C$2:$C$71,MATCH($F125,Raw_Products!$A$2:$A$71,0))</f>
        <v>Raksha Bandhan</v>
      </c>
      <c r="I125" s="7">
        <f>VALUE(Raw_Orders!D125)</f>
        <v>4</v>
      </c>
      <c r="J125" s="11" t="str">
        <f>INDEX(Raw_Products!$D$2:$D$71,MATCH($F125,Raw_Products!$A$2:$A$71,0))</f>
        <v>1374</v>
      </c>
      <c r="K125" s="11">
        <f t="shared" si="2"/>
        <v>5496</v>
      </c>
      <c r="L125" s="12">
        <f>DATE(VALUE(RIGHT(Raw_Orders!E125,4)),VALUE(MID(Raw_Orders!E125,4,2)),VALUE(LEFT(Raw_Orders!E125,2)))</f>
        <v>45128</v>
      </c>
      <c r="M125" s="12">
        <f>DATE(VALUE(RIGHT(Raw_Orders!G125,4)),VALUE(MID(Raw_Orders!G125,4,2)),VALUE(LEFT(Raw_Orders!G125,2)))</f>
        <v>45130</v>
      </c>
      <c r="N125" s="7">
        <f t="shared" si="3"/>
        <v>2</v>
      </c>
      <c r="O125" s="7" t="str">
        <f>Raw_Orders!J125</f>
        <v>Anniversary</v>
      </c>
      <c r="P125" s="7" t="str">
        <f>Raw_Orders!I125</f>
        <v>Bhilwara</v>
      </c>
    </row>
    <row r="126" spans="1:16">
      <c r="A126" s="7" t="str">
        <f>Raw_Orders!A126</f>
        <v>125</v>
      </c>
      <c r="B126" s="7" t="str">
        <f>Raw_Orders!B126</f>
        <v>C020</v>
      </c>
      <c r="C126" s="7" t="str">
        <f>INDEX(Raw_Customers!$B$2:$B$101,MATCH($B126,Raw_Customers!$A$2:$A$101,0))</f>
        <v>Samaira Ganesh</v>
      </c>
      <c r="D126" s="7" t="str">
        <f>TRIM(INDEX(Raw_Customers!$C$2:$C$101,MATCH($B126,Raw_Customers!$A$2:$A$101,0)))</f>
        <v>Machilipatnam</v>
      </c>
      <c r="E126" s="7" t="str">
        <f>"+91-"&amp;RIGHT("0000000000"&amp;INDEX(Raw_Customers!$D$2:$D$101,MATCH($B126,Raw_Customers!$A$2:$A$101,0)),10)</f>
        <v>+91-1731643700</v>
      </c>
      <c r="F126" s="7" t="str">
        <f>Raw_Orders!C126</f>
        <v>31</v>
      </c>
      <c r="G126" s="7" t="str">
        <f>INDEX(Raw_Products!$B$2:$B$71,MATCH($F126,Raw_Products!$A$2:$A$71,0))</f>
        <v>Nihil Box</v>
      </c>
      <c r="H126" s="7" t="str">
        <f>INDEX(Raw_Products!$C$2:$C$71,MATCH($F126,Raw_Products!$A$2:$A$71,0))</f>
        <v>Colors</v>
      </c>
      <c r="I126" s="7">
        <f>VALUE(Raw_Orders!D126)</f>
        <v>2</v>
      </c>
      <c r="J126" s="11" t="str">
        <f>INDEX(Raw_Products!$D$2:$D$71,MATCH($F126,Raw_Products!$A$2:$A$71,0))</f>
        <v>1804</v>
      </c>
      <c r="K126" s="11">
        <f t="shared" si="2"/>
        <v>3608</v>
      </c>
      <c r="L126" s="12">
        <f>DATE(VALUE(RIGHT(Raw_Orders!E126,4)),VALUE(MID(Raw_Orders!E126,4,2)),VALUE(LEFT(Raw_Orders!E126,2)))</f>
        <v>45004</v>
      </c>
      <c r="M126" s="12">
        <f>DATE(VALUE(RIGHT(Raw_Orders!G126,4)),VALUE(MID(Raw_Orders!G126,4,2)),VALUE(LEFT(Raw_Orders!G126,2)))</f>
        <v>45010</v>
      </c>
      <c r="N126" s="7">
        <f t="shared" si="3"/>
        <v>6</v>
      </c>
      <c r="O126" s="7" t="str">
        <f>Raw_Orders!J126</f>
        <v>All Occasions</v>
      </c>
      <c r="P126" s="7" t="str">
        <f>Raw_Orders!I126</f>
        <v>Kolkata</v>
      </c>
    </row>
    <row r="127" spans="1:16">
      <c r="A127" s="7" t="str">
        <f>Raw_Orders!A127</f>
        <v>126</v>
      </c>
      <c r="B127" s="7" t="str">
        <f>Raw_Orders!B127</f>
        <v>C040</v>
      </c>
      <c r="C127" s="7" t="str">
        <f>INDEX(Raw_Customers!$B$2:$B$101,MATCH($B127,Raw_Customers!$A$2:$A$101,0))</f>
        <v>Hazel Mangat</v>
      </c>
      <c r="D127" s="7" t="str">
        <f>TRIM(INDEX(Raw_Customers!$C$2:$C$101,MATCH($B127,Raw_Customers!$A$2:$A$101,0)))</f>
        <v>Pallavaram</v>
      </c>
      <c r="E127" s="7" t="str">
        <f>"+91-"&amp;RIGHT("0000000000"&amp;INDEX(Raw_Customers!$D$2:$D$101,MATCH($B127,Raw_Customers!$A$2:$A$101,0)),10)</f>
        <v>+91-8810621361</v>
      </c>
      <c r="F127" s="7" t="str">
        <f>Raw_Orders!C127</f>
        <v>19</v>
      </c>
      <c r="G127" s="7" t="str">
        <f>INDEX(Raw_Products!$B$2:$B$71,MATCH($F127,Raw_Products!$A$2:$A$71,0))</f>
        <v>Iure Gift</v>
      </c>
      <c r="H127" s="7" t="str">
        <f>INDEX(Raw_Products!$C$2:$C$71,MATCH($F127,Raw_Products!$A$2:$A$71,0))</f>
        <v>Mugs</v>
      </c>
      <c r="I127" s="7">
        <f>VALUE(Raw_Orders!D127)</f>
        <v>5</v>
      </c>
      <c r="J127" s="11" t="str">
        <f>INDEX(Raw_Products!$D$2:$D$71,MATCH($F127,Raw_Products!$A$2:$A$71,0))</f>
        <v>1234</v>
      </c>
      <c r="K127" s="11">
        <f t="shared" si="2"/>
        <v>6170</v>
      </c>
      <c r="L127" s="12">
        <f>DATE(VALUE(RIGHT(Raw_Orders!E127,4)),VALUE(MID(Raw_Orders!E127,4,2)),VALUE(LEFT(Raw_Orders!E127,2)))</f>
        <v>44961</v>
      </c>
      <c r="M127" s="12">
        <f>DATE(VALUE(RIGHT(Raw_Orders!G127,4)),VALUE(MID(Raw_Orders!G127,4,2)),VALUE(LEFT(Raw_Orders!G127,2)))</f>
        <v>44970</v>
      </c>
      <c r="N127" s="7">
        <f t="shared" si="3"/>
        <v>9</v>
      </c>
      <c r="O127" s="7" t="str">
        <f>Raw_Orders!J127</f>
        <v>Valentine's Day</v>
      </c>
      <c r="P127" s="7" t="str">
        <f>Raw_Orders!I127</f>
        <v>Dharmavaram</v>
      </c>
    </row>
    <row r="128" spans="1:16">
      <c r="A128" s="7" t="str">
        <f>Raw_Orders!A128</f>
        <v>127</v>
      </c>
      <c r="B128" s="7" t="str">
        <f>Raw_Orders!B128</f>
        <v>C051</v>
      </c>
      <c r="C128" s="7" t="str">
        <f>INDEX(Raw_Customers!$B$2:$B$101,MATCH($B128,Raw_Customers!$A$2:$A$101,0))</f>
        <v>Aradhya Batta</v>
      </c>
      <c r="D128" s="7" t="str">
        <f>TRIM(INDEX(Raw_Customers!$C$2:$C$101,MATCH($B128,Raw_Customers!$A$2:$A$101,0)))</f>
        <v>Kota</v>
      </c>
      <c r="E128" s="7" t="str">
        <f>"+91-"&amp;RIGHT("0000000000"&amp;INDEX(Raw_Customers!$D$2:$D$101,MATCH($B128,Raw_Customers!$A$2:$A$101,0)),10)</f>
        <v>+91-1200621501</v>
      </c>
      <c r="F128" s="7" t="str">
        <f>Raw_Orders!C128</f>
        <v>60</v>
      </c>
      <c r="G128" s="7" t="str">
        <f>INDEX(Raw_Products!$B$2:$B$71,MATCH($F128,Raw_Products!$A$2:$A$71,0))</f>
        <v>Ea Set</v>
      </c>
      <c r="H128" s="7" t="str">
        <f>INDEX(Raw_Products!$C$2:$C$71,MATCH($F128,Raw_Products!$A$2:$A$71,0))</f>
        <v>Sweets</v>
      </c>
      <c r="I128" s="7">
        <f>VALUE(Raw_Orders!D128)</f>
        <v>4</v>
      </c>
      <c r="J128" s="11" t="str">
        <f>INDEX(Raw_Products!$D$2:$D$71,MATCH($F128,Raw_Products!$A$2:$A$71,0))</f>
        <v>827</v>
      </c>
      <c r="K128" s="11">
        <f t="shared" si="2"/>
        <v>3308</v>
      </c>
      <c r="L128" s="12">
        <f>DATE(VALUE(RIGHT(Raw_Orders!E128,4)),VALUE(MID(Raw_Orders!E128,4,2)),VALUE(LEFT(Raw_Orders!E128,2)))</f>
        <v>45232</v>
      </c>
      <c r="M128" s="12">
        <f>DATE(VALUE(RIGHT(Raw_Orders!G128,4)),VALUE(MID(Raw_Orders!G128,4,2)),VALUE(LEFT(Raw_Orders!G128,2)))</f>
        <v>45233</v>
      </c>
      <c r="N128" s="7">
        <f t="shared" si="3"/>
        <v>1</v>
      </c>
      <c r="O128" s="7" t="str">
        <f>Raw_Orders!J128</f>
        <v>Diwali</v>
      </c>
      <c r="P128" s="7" t="str">
        <f>Raw_Orders!I128</f>
        <v>Dhanbad</v>
      </c>
    </row>
    <row r="129" spans="1:16">
      <c r="A129" s="7" t="str">
        <f>Raw_Orders!A129</f>
        <v>128</v>
      </c>
      <c r="B129" s="7" t="str">
        <f>Raw_Orders!B129</f>
        <v>C065</v>
      </c>
      <c r="C129" s="7" t="str">
        <f>INDEX(Raw_Customers!$B$2:$B$101,MATCH($B129,Raw_Customers!$A$2:$A$101,0))</f>
        <v>Badal Vora</v>
      </c>
      <c r="D129" s="7" t="str">
        <f>TRIM(INDEX(Raw_Customers!$C$2:$C$101,MATCH($B129,Raw_Customers!$A$2:$A$101,0)))</f>
        <v>North Dumdum</v>
      </c>
      <c r="E129" s="7" t="str">
        <f>"+91-"&amp;RIGHT("0000000000"&amp;INDEX(Raw_Customers!$D$2:$D$101,MATCH($B129,Raw_Customers!$A$2:$A$101,0)),10)</f>
        <v>+91-9753056313</v>
      </c>
      <c r="F129" s="7" t="str">
        <f>Raw_Orders!C129</f>
        <v>12</v>
      </c>
      <c r="G129" s="7" t="str">
        <f>INDEX(Raw_Products!$B$2:$B$71,MATCH($F129,Raw_Products!$A$2:$A$71,0))</f>
        <v>Non Set</v>
      </c>
      <c r="H129" s="7" t="str">
        <f>INDEX(Raw_Products!$C$2:$C$71,MATCH($F129,Raw_Products!$A$2:$A$71,0))</f>
        <v>Plants</v>
      </c>
      <c r="I129" s="7">
        <f>VALUE(Raw_Orders!D129)</f>
        <v>3</v>
      </c>
      <c r="J129" s="11" t="str">
        <f>INDEX(Raw_Products!$D$2:$D$71,MATCH($F129,Raw_Products!$A$2:$A$71,0))</f>
        <v>672</v>
      </c>
      <c r="K129" s="11">
        <f t="shared" si="2"/>
        <v>2016</v>
      </c>
      <c r="L129" s="12">
        <f>DATE(VALUE(RIGHT(Raw_Orders!E129,4)),VALUE(MID(Raw_Orders!E129,4,2)),VALUE(LEFT(Raw_Orders!E129,2)))</f>
        <v>44991</v>
      </c>
      <c r="M129" s="12">
        <f>DATE(VALUE(RIGHT(Raw_Orders!G129,4)),VALUE(MID(Raw_Orders!G129,4,2)),VALUE(LEFT(Raw_Orders!G129,2)))</f>
        <v>44998</v>
      </c>
      <c r="N129" s="7">
        <f t="shared" si="3"/>
        <v>7</v>
      </c>
      <c r="O129" s="7" t="str">
        <f>Raw_Orders!J129</f>
        <v>Anniversary</v>
      </c>
      <c r="P129" s="7" t="str">
        <f>Raw_Orders!I129</f>
        <v>Kochi</v>
      </c>
    </row>
    <row r="130" spans="1:16">
      <c r="A130" s="7" t="str">
        <f>Raw_Orders!A130</f>
        <v>129</v>
      </c>
      <c r="B130" s="7" t="str">
        <f>Raw_Orders!B130</f>
        <v>C051</v>
      </c>
      <c r="C130" s="7" t="str">
        <f>INDEX(Raw_Customers!$B$2:$B$101,MATCH($B130,Raw_Customers!$A$2:$A$101,0))</f>
        <v>Aradhya Batta</v>
      </c>
      <c r="D130" s="7" t="str">
        <f>TRIM(INDEX(Raw_Customers!$C$2:$C$101,MATCH($B130,Raw_Customers!$A$2:$A$101,0)))</f>
        <v>Kota</v>
      </c>
      <c r="E130" s="7" t="str">
        <f>"+91-"&amp;RIGHT("0000000000"&amp;INDEX(Raw_Customers!$D$2:$D$101,MATCH($B130,Raw_Customers!$A$2:$A$101,0)),10)</f>
        <v>+91-1200621501</v>
      </c>
      <c r="F130" s="7" t="str">
        <f>Raw_Orders!C130</f>
        <v>67</v>
      </c>
      <c r="G130" s="7" t="str">
        <f>INDEX(Raw_Products!$B$2:$B$71,MATCH($F130,Raw_Products!$A$2:$A$71,0))</f>
        <v>Maiores Box</v>
      </c>
      <c r="H130" s="7" t="str">
        <f>INDEX(Raw_Products!$C$2:$C$71,MATCH($F130,Raw_Products!$A$2:$A$71,0))</f>
        <v>Raksha Bandhan</v>
      </c>
      <c r="I130" s="7">
        <f>VALUE(Raw_Orders!D130)</f>
        <v>2</v>
      </c>
      <c r="J130" s="11" t="str">
        <f>INDEX(Raw_Products!$D$2:$D$71,MATCH($F130,Raw_Products!$A$2:$A$71,0))</f>
        <v>1374</v>
      </c>
      <c r="K130" s="11">
        <f t="shared" ref="K130:K193" si="4">I130*J130</f>
        <v>2748</v>
      </c>
      <c r="L130" s="12">
        <f>DATE(VALUE(RIGHT(Raw_Orders!E130,4)),VALUE(MID(Raw_Orders!E130,4,2)),VALUE(LEFT(Raw_Orders!E130,2)))</f>
        <v>44974</v>
      </c>
      <c r="M130" s="12">
        <f>DATE(VALUE(RIGHT(Raw_Orders!G130,4)),VALUE(MID(Raw_Orders!G130,4,2)),VALUE(LEFT(Raw_Orders!G130,2)))</f>
        <v>44977</v>
      </c>
      <c r="N130" s="7">
        <f t="shared" ref="N130:N193" si="5">M130-L130</f>
        <v>3</v>
      </c>
      <c r="O130" s="7" t="str">
        <f>Raw_Orders!J130</f>
        <v>Anniversary</v>
      </c>
      <c r="P130" s="7" t="str">
        <f>Raw_Orders!I130</f>
        <v>Ramgarh</v>
      </c>
    </row>
    <row r="131" spans="1:16">
      <c r="A131" s="7" t="str">
        <f>Raw_Orders!A131</f>
        <v>130</v>
      </c>
      <c r="B131" s="7" t="str">
        <f>Raw_Orders!B131</f>
        <v>C070</v>
      </c>
      <c r="C131" s="7" t="str">
        <f>INDEX(Raw_Customers!$B$2:$B$101,MATCH($B131,Raw_Customers!$A$2:$A$101,0))</f>
        <v>Emir Gokhale</v>
      </c>
      <c r="D131" s="7" t="str">
        <f>TRIM(INDEX(Raw_Customers!$C$2:$C$101,MATCH($B131,Raw_Customers!$A$2:$A$101,0)))</f>
        <v>Bhatpara</v>
      </c>
      <c r="E131" s="7" t="str">
        <f>"+91-"&amp;RIGHT("0000000000"&amp;INDEX(Raw_Customers!$D$2:$D$101,MATCH($B131,Raw_Customers!$A$2:$A$101,0)),10)</f>
        <v>+91-3859920805</v>
      </c>
      <c r="F131" s="7" t="str">
        <f>Raw_Orders!C131</f>
        <v>10</v>
      </c>
      <c r="G131" s="7" t="str">
        <f>INDEX(Raw_Products!$B$2:$B$71,MATCH($F131,Raw_Products!$A$2:$A$71,0))</f>
        <v>Accusantium Gift</v>
      </c>
      <c r="H131" s="7" t="str">
        <f>INDEX(Raw_Products!$C$2:$C$71,MATCH($F131,Raw_Products!$A$2:$A$71,0))</f>
        <v>Cake</v>
      </c>
      <c r="I131" s="7">
        <f>VALUE(Raw_Orders!D131)</f>
        <v>5</v>
      </c>
      <c r="J131" s="11" t="str">
        <f>INDEX(Raw_Products!$D$2:$D$71,MATCH($F131,Raw_Products!$A$2:$A$71,0))</f>
        <v>259</v>
      </c>
      <c r="K131" s="11">
        <f t="shared" si="4"/>
        <v>1295</v>
      </c>
      <c r="L131" s="12">
        <f>DATE(VALUE(RIGHT(Raw_Orders!E131,4)),VALUE(MID(Raw_Orders!E131,4,2)),VALUE(LEFT(Raw_Orders!E131,2)))</f>
        <v>45038</v>
      </c>
      <c r="M131" s="12">
        <f>DATE(VALUE(RIGHT(Raw_Orders!G131,4)),VALUE(MID(Raw_Orders!G131,4,2)),VALUE(LEFT(Raw_Orders!G131,2)))</f>
        <v>45043</v>
      </c>
      <c r="N131" s="7">
        <f t="shared" si="5"/>
        <v>5</v>
      </c>
      <c r="O131" s="7" t="str">
        <f>Raw_Orders!J131</f>
        <v>Birthday</v>
      </c>
      <c r="P131" s="7" t="str">
        <f>Raw_Orders!I131</f>
        <v>Darbhanga</v>
      </c>
    </row>
    <row r="132" spans="1:16">
      <c r="A132" s="7" t="str">
        <f>Raw_Orders!A132</f>
        <v>131</v>
      </c>
      <c r="B132" s="7" t="str">
        <f>Raw_Orders!B132</f>
        <v>C078</v>
      </c>
      <c r="C132" s="7" t="str">
        <f>INDEX(Raw_Customers!$B$2:$B$101,MATCH($B132,Raw_Customers!$A$2:$A$101,0))</f>
        <v>Jivika Rajan</v>
      </c>
      <c r="D132" s="7" t="str">
        <f>TRIM(INDEX(Raw_Customers!$C$2:$C$101,MATCH($B132,Raw_Customers!$A$2:$A$101,0)))</f>
        <v>Bhubaneswar</v>
      </c>
      <c r="E132" s="7" t="str">
        <f>"+91-"&amp;RIGHT("0000000000"&amp;INDEX(Raw_Customers!$D$2:$D$101,MATCH($B132,Raw_Customers!$A$2:$A$101,0)),10)</f>
        <v>+91-3005266310</v>
      </c>
      <c r="F132" s="7" t="str">
        <f>Raw_Orders!C132</f>
        <v>3</v>
      </c>
      <c r="G132" s="7" t="str">
        <f>INDEX(Raw_Products!$B$2:$B$71,MATCH($F132,Raw_Products!$A$2:$A$71,0))</f>
        <v>Eius Gift</v>
      </c>
      <c r="H132" s="7" t="str">
        <f>INDEX(Raw_Products!$C$2:$C$71,MATCH($F132,Raw_Products!$A$2:$A$71,0))</f>
        <v>Colors</v>
      </c>
      <c r="I132" s="7">
        <f>VALUE(Raw_Orders!D132)</f>
        <v>5</v>
      </c>
      <c r="J132" s="11" t="str">
        <f>INDEX(Raw_Products!$D$2:$D$71,MATCH($F132,Raw_Products!$A$2:$A$71,0))</f>
        <v>1534</v>
      </c>
      <c r="K132" s="11">
        <f t="shared" si="4"/>
        <v>7670</v>
      </c>
      <c r="L132" s="12">
        <f>DATE(VALUE(RIGHT(Raw_Orders!E132,4)),VALUE(MID(Raw_Orders!E132,4,2)),VALUE(LEFT(Raw_Orders!E132,2)))</f>
        <v>44961</v>
      </c>
      <c r="M132" s="12">
        <f>DATE(VALUE(RIGHT(Raw_Orders!G132,4)),VALUE(MID(Raw_Orders!G132,4,2)),VALUE(LEFT(Raw_Orders!G132,2)))</f>
        <v>44968</v>
      </c>
      <c r="N132" s="7">
        <f t="shared" si="5"/>
        <v>7</v>
      </c>
      <c r="O132" s="7" t="str">
        <f>Raw_Orders!J132</f>
        <v>Valentine's Day</v>
      </c>
      <c r="P132" s="7" t="str">
        <f>Raw_Orders!I132</f>
        <v>Satara</v>
      </c>
    </row>
    <row r="133" spans="1:16">
      <c r="A133" s="7" t="str">
        <f>Raw_Orders!A133</f>
        <v>132</v>
      </c>
      <c r="B133" s="7" t="str">
        <f>Raw_Orders!B133</f>
        <v>C045</v>
      </c>
      <c r="C133" s="7" t="str">
        <f>INDEX(Raw_Customers!$B$2:$B$101,MATCH($B133,Raw_Customers!$A$2:$A$101,0))</f>
        <v>Divit Mahajan</v>
      </c>
      <c r="D133" s="7" t="str">
        <f>TRIM(INDEX(Raw_Customers!$C$2:$C$101,MATCH($B133,Raw_Customers!$A$2:$A$101,0)))</f>
        <v>Maheshtala</v>
      </c>
      <c r="E133" s="7" t="str">
        <f>"+91-"&amp;RIGHT("0000000000"&amp;INDEX(Raw_Customers!$D$2:$D$101,MATCH($B133,Raw_Customers!$A$2:$A$101,0)),10)</f>
        <v>+91-6789522856</v>
      </c>
      <c r="F133" s="7" t="str">
        <f>Raw_Orders!C133</f>
        <v>49</v>
      </c>
      <c r="G133" s="7" t="str">
        <f>INDEX(Raw_Products!$B$2:$B$71,MATCH($F133,Raw_Products!$A$2:$A$71,0))</f>
        <v>Voluptate Pack</v>
      </c>
      <c r="H133" s="7" t="str">
        <f>INDEX(Raw_Products!$C$2:$C$71,MATCH($F133,Raw_Products!$A$2:$A$71,0))</f>
        <v>Colors</v>
      </c>
      <c r="I133" s="7">
        <f>VALUE(Raw_Orders!D133)</f>
        <v>4</v>
      </c>
      <c r="J133" s="11" t="str">
        <f>INDEX(Raw_Products!$D$2:$D$71,MATCH($F133,Raw_Products!$A$2:$A$71,0))</f>
        <v>903</v>
      </c>
      <c r="K133" s="11">
        <f t="shared" si="4"/>
        <v>3612</v>
      </c>
      <c r="L133" s="12">
        <f>DATE(VALUE(RIGHT(Raw_Orders!E133,4)),VALUE(MID(Raw_Orders!E133,4,2)),VALUE(LEFT(Raw_Orders!E133,2)))</f>
        <v>44961</v>
      </c>
      <c r="M133" s="12">
        <f>DATE(VALUE(RIGHT(Raw_Orders!G133,4)),VALUE(MID(Raw_Orders!G133,4,2)),VALUE(LEFT(Raw_Orders!G133,2)))</f>
        <v>44970</v>
      </c>
      <c r="N133" s="7">
        <f t="shared" si="5"/>
        <v>9</v>
      </c>
      <c r="O133" s="7" t="str">
        <f>Raw_Orders!J133</f>
        <v>Valentine's Day</v>
      </c>
      <c r="P133" s="7" t="str">
        <f>Raw_Orders!I133</f>
        <v>Thoothukudi</v>
      </c>
    </row>
    <row r="134" spans="1:16">
      <c r="A134" s="7" t="str">
        <f>Raw_Orders!A134</f>
        <v>133</v>
      </c>
      <c r="B134" s="7" t="str">
        <f>Raw_Orders!B134</f>
        <v>C018</v>
      </c>
      <c r="C134" s="7" t="str">
        <f>INDEX(Raw_Customers!$B$2:$B$101,MATCH($B134,Raw_Customers!$A$2:$A$101,0))</f>
        <v>Eva Vaidya</v>
      </c>
      <c r="D134" s="7" t="str">
        <f>TRIM(INDEX(Raw_Customers!$C$2:$C$101,MATCH($B134,Raw_Customers!$A$2:$A$101,0)))</f>
        <v>Nizamabad</v>
      </c>
      <c r="E134" s="7" t="str">
        <f>"+91-"&amp;RIGHT("0000000000"&amp;INDEX(Raw_Customers!$D$2:$D$101,MATCH($B134,Raw_Customers!$A$2:$A$101,0)),10)</f>
        <v>+91-9080029661</v>
      </c>
      <c r="F134" s="7" t="str">
        <f>Raw_Orders!C134</f>
        <v>43</v>
      </c>
      <c r="G134" s="7" t="str">
        <f>INDEX(Raw_Products!$B$2:$B$71,MATCH($F134,Raw_Products!$A$2:$A$71,0))</f>
        <v>Quisquam Pack</v>
      </c>
      <c r="H134" s="7" t="str">
        <f>INDEX(Raw_Products!$C$2:$C$71,MATCH($F134,Raw_Products!$A$2:$A$71,0))</f>
        <v>Raksha Bandhan</v>
      </c>
      <c r="I134" s="7">
        <f>VALUE(Raw_Orders!D134)</f>
        <v>5</v>
      </c>
      <c r="J134" s="11" t="str">
        <f>INDEX(Raw_Products!$D$2:$D$71,MATCH($F134,Raw_Products!$A$2:$A$71,0))</f>
        <v>750</v>
      </c>
      <c r="K134" s="11">
        <f t="shared" si="4"/>
        <v>3750</v>
      </c>
      <c r="L134" s="12">
        <f>DATE(VALUE(RIGHT(Raw_Orders!E134,4)),VALUE(MID(Raw_Orders!E134,4,2)),VALUE(LEFT(Raw_Orders!E134,2)))</f>
        <v>45240</v>
      </c>
      <c r="M134" s="12">
        <f>DATE(VALUE(RIGHT(Raw_Orders!G134,4)),VALUE(MID(Raw_Orders!G134,4,2)),VALUE(LEFT(Raw_Orders!G134,2)))</f>
        <v>45246</v>
      </c>
      <c r="N134" s="7">
        <f t="shared" si="5"/>
        <v>6</v>
      </c>
      <c r="O134" s="7" t="str">
        <f>Raw_Orders!J134</f>
        <v>Diwali</v>
      </c>
      <c r="P134" s="7" t="str">
        <f>Raw_Orders!I134</f>
        <v>Tiruppur</v>
      </c>
    </row>
    <row r="135" spans="1:16">
      <c r="A135" s="7" t="str">
        <f>Raw_Orders!A135</f>
        <v>134</v>
      </c>
      <c r="B135" s="7" t="str">
        <f>Raw_Orders!B135</f>
        <v>C036</v>
      </c>
      <c r="C135" s="7" t="str">
        <f>INDEX(Raw_Customers!$B$2:$B$101,MATCH($B135,Raw_Customers!$A$2:$A$101,0))</f>
        <v>Biju Bajwa</v>
      </c>
      <c r="D135" s="7" t="str">
        <f>TRIM(INDEX(Raw_Customers!$C$2:$C$101,MATCH($B135,Raw_Customers!$A$2:$A$101,0)))</f>
        <v>Dibrugarh</v>
      </c>
      <c r="E135" s="7" t="str">
        <f>"+91-"&amp;RIGHT("0000000000"&amp;INDEX(Raw_Customers!$D$2:$D$101,MATCH($B135,Raw_Customers!$A$2:$A$101,0)),10)</f>
        <v>+91-8721850071</v>
      </c>
      <c r="F135" s="7" t="str">
        <f>Raw_Orders!C135</f>
        <v>69</v>
      </c>
      <c r="G135" s="7" t="str">
        <f>INDEX(Raw_Products!$B$2:$B$71,MATCH($F135,Raw_Products!$A$2:$A$71,0))</f>
        <v>Id Box</v>
      </c>
      <c r="H135" s="7" t="str">
        <f>INDEX(Raw_Products!$C$2:$C$71,MATCH($F135,Raw_Products!$A$2:$A$71,0))</f>
        <v>Cake</v>
      </c>
      <c r="I135" s="7">
        <f>VALUE(Raw_Orders!D135)</f>
        <v>5</v>
      </c>
      <c r="J135" s="11" t="str">
        <f>INDEX(Raw_Products!$D$2:$D$71,MATCH($F135,Raw_Products!$A$2:$A$71,0))</f>
        <v>998</v>
      </c>
      <c r="K135" s="11">
        <f t="shared" si="4"/>
        <v>4990</v>
      </c>
      <c r="L135" s="12">
        <f>DATE(VALUE(RIGHT(Raw_Orders!E135,4)),VALUE(MID(Raw_Orders!E135,4,2)),VALUE(LEFT(Raw_Orders!E135,2)))</f>
        <v>44990</v>
      </c>
      <c r="M135" s="12">
        <f>DATE(VALUE(RIGHT(Raw_Orders!G135,4)),VALUE(MID(Raw_Orders!G135,4,2)),VALUE(LEFT(Raw_Orders!G135,2)))</f>
        <v>44999</v>
      </c>
      <c r="N135" s="7">
        <f t="shared" si="5"/>
        <v>9</v>
      </c>
      <c r="O135" s="7" t="str">
        <f>Raw_Orders!J135</f>
        <v>Holi</v>
      </c>
      <c r="P135" s="7" t="str">
        <f>Raw_Orders!I135</f>
        <v>Malda</v>
      </c>
    </row>
    <row r="136" spans="1:16">
      <c r="A136" s="7" t="str">
        <f>Raw_Orders!A136</f>
        <v>135</v>
      </c>
      <c r="B136" s="7" t="str">
        <f>Raw_Orders!B136</f>
        <v>C087</v>
      </c>
      <c r="C136" s="7" t="str">
        <f>INDEX(Raw_Customers!$B$2:$B$101,MATCH($B136,Raw_Customers!$A$2:$A$101,0))</f>
        <v>Rania Bhatt</v>
      </c>
      <c r="D136" s="7" t="str">
        <f>TRIM(INDEX(Raw_Customers!$C$2:$C$101,MATCH($B136,Raw_Customers!$A$2:$A$101,0)))</f>
        <v>North Dumdum</v>
      </c>
      <c r="E136" s="7" t="str">
        <f>"+91-"&amp;RIGHT("0000000000"&amp;INDEX(Raw_Customers!$D$2:$D$101,MATCH($B136,Raw_Customers!$A$2:$A$101,0)),10)</f>
        <v>+91-2112404207</v>
      </c>
      <c r="F136" s="7" t="str">
        <f>Raw_Orders!C136</f>
        <v>30</v>
      </c>
      <c r="G136" s="7" t="str">
        <f>INDEX(Raw_Products!$B$2:$B$71,MATCH($F136,Raw_Products!$A$2:$A$71,0))</f>
        <v>Recusandae Pack</v>
      </c>
      <c r="H136" s="7" t="str">
        <f>INDEX(Raw_Products!$C$2:$C$71,MATCH($F136,Raw_Products!$A$2:$A$71,0))</f>
        <v>Colors</v>
      </c>
      <c r="I136" s="7">
        <f>VALUE(Raw_Orders!D136)</f>
        <v>2</v>
      </c>
      <c r="J136" s="11" t="str">
        <f>INDEX(Raw_Products!$D$2:$D$71,MATCH($F136,Raw_Products!$A$2:$A$71,0))</f>
        <v>751</v>
      </c>
      <c r="K136" s="11">
        <f t="shared" si="4"/>
        <v>1502</v>
      </c>
      <c r="L136" s="12">
        <f>DATE(VALUE(RIGHT(Raw_Orders!E136,4)),VALUE(MID(Raw_Orders!E136,4,2)),VALUE(LEFT(Raw_Orders!E136,2)))</f>
        <v>45273</v>
      </c>
      <c r="M136" s="12">
        <f>DATE(VALUE(RIGHT(Raw_Orders!G136,4)),VALUE(MID(Raw_Orders!G136,4,2)),VALUE(LEFT(Raw_Orders!G136,2)))</f>
        <v>45274</v>
      </c>
      <c r="N136" s="7">
        <f t="shared" si="5"/>
        <v>1</v>
      </c>
      <c r="O136" s="7" t="str">
        <f>Raw_Orders!J136</f>
        <v>Anniversary</v>
      </c>
      <c r="P136" s="7" t="str">
        <f>Raw_Orders!I136</f>
        <v>Bokaro</v>
      </c>
    </row>
    <row r="137" spans="1:16">
      <c r="A137" s="7" t="str">
        <f>Raw_Orders!A137</f>
        <v>136</v>
      </c>
      <c r="B137" s="7" t="str">
        <f>Raw_Orders!B137</f>
        <v>C036</v>
      </c>
      <c r="C137" s="7" t="str">
        <f>INDEX(Raw_Customers!$B$2:$B$101,MATCH($B137,Raw_Customers!$A$2:$A$101,0))</f>
        <v>Biju Bajwa</v>
      </c>
      <c r="D137" s="7" t="str">
        <f>TRIM(INDEX(Raw_Customers!$C$2:$C$101,MATCH($B137,Raw_Customers!$A$2:$A$101,0)))</f>
        <v>Dibrugarh</v>
      </c>
      <c r="E137" s="7" t="str">
        <f>"+91-"&amp;RIGHT("0000000000"&amp;INDEX(Raw_Customers!$D$2:$D$101,MATCH($B137,Raw_Customers!$A$2:$A$101,0)),10)</f>
        <v>+91-8721850071</v>
      </c>
      <c r="F137" s="7" t="str">
        <f>Raw_Orders!C137</f>
        <v>56</v>
      </c>
      <c r="G137" s="7" t="str">
        <f>INDEX(Raw_Products!$B$2:$B$71,MATCH($F137,Raw_Products!$A$2:$A$71,0))</f>
        <v>Quia Gift</v>
      </c>
      <c r="H137" s="7" t="str">
        <f>INDEX(Raw_Products!$C$2:$C$71,MATCH($F137,Raw_Products!$A$2:$A$71,0))</f>
        <v>Raksha Bandhan</v>
      </c>
      <c r="I137" s="7">
        <f>VALUE(Raw_Orders!D137)</f>
        <v>1</v>
      </c>
      <c r="J137" s="11" t="str">
        <f>INDEX(Raw_Products!$D$2:$D$71,MATCH($F137,Raw_Products!$A$2:$A$71,0))</f>
        <v>1272</v>
      </c>
      <c r="K137" s="11">
        <f t="shared" si="4"/>
        <v>1272</v>
      </c>
      <c r="L137" s="12">
        <f>DATE(VALUE(RIGHT(Raw_Orders!E137,4)),VALUE(MID(Raw_Orders!E137,4,2)),VALUE(LEFT(Raw_Orders!E137,2)))</f>
        <v>45174</v>
      </c>
      <c r="M137" s="12">
        <f>DATE(VALUE(RIGHT(Raw_Orders!G137,4)),VALUE(MID(Raw_Orders!G137,4,2)),VALUE(LEFT(Raw_Orders!G137,2)))</f>
        <v>45178</v>
      </c>
      <c r="N137" s="7">
        <f t="shared" si="5"/>
        <v>4</v>
      </c>
      <c r="O137" s="7" t="str">
        <f>Raw_Orders!J137</f>
        <v>Anniversary</v>
      </c>
      <c r="P137" s="7" t="str">
        <f>Raw_Orders!I137</f>
        <v>Guna</v>
      </c>
    </row>
    <row r="138" spans="1:16">
      <c r="A138" s="7" t="str">
        <f>Raw_Orders!A138</f>
        <v>137</v>
      </c>
      <c r="B138" s="7" t="str">
        <f>Raw_Orders!B138</f>
        <v>C070</v>
      </c>
      <c r="C138" s="7" t="str">
        <f>INDEX(Raw_Customers!$B$2:$B$101,MATCH($B138,Raw_Customers!$A$2:$A$101,0))</f>
        <v>Emir Gokhale</v>
      </c>
      <c r="D138" s="7" t="str">
        <f>TRIM(INDEX(Raw_Customers!$C$2:$C$101,MATCH($B138,Raw_Customers!$A$2:$A$101,0)))</f>
        <v>Bhatpara</v>
      </c>
      <c r="E138" s="7" t="str">
        <f>"+91-"&amp;RIGHT("0000000000"&amp;INDEX(Raw_Customers!$D$2:$D$101,MATCH($B138,Raw_Customers!$A$2:$A$101,0)),10)</f>
        <v>+91-3859920805</v>
      </c>
      <c r="F138" s="7" t="str">
        <f>Raw_Orders!C138</f>
        <v>47</v>
      </c>
      <c r="G138" s="7" t="str">
        <f>INDEX(Raw_Products!$B$2:$B$71,MATCH($F138,Raw_Products!$A$2:$A$71,0))</f>
        <v>Harum Pack</v>
      </c>
      <c r="H138" s="7" t="str">
        <f>INDEX(Raw_Products!$C$2:$C$71,MATCH($F138,Raw_Products!$A$2:$A$71,0))</f>
        <v>Colors</v>
      </c>
      <c r="I138" s="7">
        <f>VALUE(Raw_Orders!D138)</f>
        <v>2</v>
      </c>
      <c r="J138" s="11" t="str">
        <f>INDEX(Raw_Products!$D$2:$D$71,MATCH($F138,Raw_Products!$A$2:$A$71,0))</f>
        <v>1638</v>
      </c>
      <c r="K138" s="11">
        <f t="shared" si="4"/>
        <v>3276</v>
      </c>
      <c r="L138" s="12">
        <f>DATE(VALUE(RIGHT(Raw_Orders!E138,4)),VALUE(MID(Raw_Orders!E138,4,2)),VALUE(LEFT(Raw_Orders!E138,2)))</f>
        <v>44990</v>
      </c>
      <c r="M138" s="12">
        <f>DATE(VALUE(RIGHT(Raw_Orders!G138,4)),VALUE(MID(Raw_Orders!G138,4,2)),VALUE(LEFT(Raw_Orders!G138,2)))</f>
        <v>44996</v>
      </c>
      <c r="N138" s="7">
        <f t="shared" si="5"/>
        <v>6</v>
      </c>
      <c r="O138" s="7" t="str">
        <f>Raw_Orders!J138</f>
        <v>Holi</v>
      </c>
      <c r="P138" s="7" t="str">
        <f>Raw_Orders!I138</f>
        <v>Warangal</v>
      </c>
    </row>
    <row r="139" spans="1:16">
      <c r="A139" s="7" t="str">
        <f>Raw_Orders!A139</f>
        <v>138</v>
      </c>
      <c r="B139" s="7" t="str">
        <f>Raw_Orders!B139</f>
        <v>C022</v>
      </c>
      <c r="C139" s="7" t="str">
        <f>INDEX(Raw_Customers!$B$2:$B$101,MATCH($B139,Raw_Customers!$A$2:$A$101,0))</f>
        <v>Ivana Rout</v>
      </c>
      <c r="D139" s="7" t="str">
        <f>TRIM(INDEX(Raw_Customers!$C$2:$C$101,MATCH($B139,Raw_Customers!$A$2:$A$101,0)))</f>
        <v>Khandwa</v>
      </c>
      <c r="E139" s="7" t="str">
        <f>"+91-"&amp;RIGHT("0000000000"&amp;INDEX(Raw_Customers!$D$2:$D$101,MATCH($B139,Raw_Customers!$A$2:$A$101,0)),10)</f>
        <v>+91-3111711777</v>
      </c>
      <c r="F139" s="7" t="str">
        <f>Raw_Orders!C139</f>
        <v>57</v>
      </c>
      <c r="G139" s="7" t="str">
        <f>INDEX(Raw_Products!$B$2:$B$71,MATCH($F139,Raw_Products!$A$2:$A$71,0))</f>
        <v>Voluptatem Box</v>
      </c>
      <c r="H139" s="7" t="str">
        <f>INDEX(Raw_Products!$C$2:$C$71,MATCH($F139,Raw_Products!$A$2:$A$71,0))</f>
        <v>Colors</v>
      </c>
      <c r="I139" s="7">
        <f>VALUE(Raw_Orders!D139)</f>
        <v>4</v>
      </c>
      <c r="J139" s="11" t="str">
        <f>INDEX(Raw_Products!$D$2:$D$71,MATCH($F139,Raw_Products!$A$2:$A$71,0))</f>
        <v>1582</v>
      </c>
      <c r="K139" s="11">
        <f t="shared" si="4"/>
        <v>6328</v>
      </c>
      <c r="L139" s="12">
        <f>DATE(VALUE(RIGHT(Raw_Orders!E139,4)),VALUE(MID(Raw_Orders!E139,4,2)),VALUE(LEFT(Raw_Orders!E139,2)))</f>
        <v>44996</v>
      </c>
      <c r="M139" s="12">
        <f>DATE(VALUE(RIGHT(Raw_Orders!G139,4)),VALUE(MID(Raw_Orders!G139,4,2)),VALUE(LEFT(Raw_Orders!G139,2)))</f>
        <v>45003</v>
      </c>
      <c r="N139" s="7">
        <f t="shared" si="5"/>
        <v>7</v>
      </c>
      <c r="O139" s="7" t="str">
        <f>Raw_Orders!J139</f>
        <v>Birthday</v>
      </c>
      <c r="P139" s="7" t="str">
        <f>Raw_Orders!I139</f>
        <v>Siliguri</v>
      </c>
    </row>
    <row r="140" spans="1:16">
      <c r="A140" s="7" t="str">
        <f>Raw_Orders!A140</f>
        <v>139</v>
      </c>
      <c r="B140" s="7" t="str">
        <f>Raw_Orders!B140</f>
        <v>C055</v>
      </c>
      <c r="C140" s="7" t="str">
        <f>INDEX(Raw_Customers!$B$2:$B$101,MATCH($B140,Raw_Customers!$A$2:$A$101,0))</f>
        <v>Umang Luthra</v>
      </c>
      <c r="D140" s="7" t="str">
        <f>TRIM(INDEX(Raw_Customers!$C$2:$C$101,MATCH($B140,Raw_Customers!$A$2:$A$101,0)))</f>
        <v>Imphal</v>
      </c>
      <c r="E140" s="7" t="str">
        <f>"+91-"&amp;RIGHT("0000000000"&amp;INDEX(Raw_Customers!$D$2:$D$101,MATCH($B140,Raw_Customers!$A$2:$A$101,0)),10)</f>
        <v>+91-2007986762</v>
      </c>
      <c r="F140" s="7" t="str">
        <f>Raw_Orders!C140</f>
        <v>54</v>
      </c>
      <c r="G140" s="7" t="str">
        <f>INDEX(Raw_Products!$B$2:$B$71,MATCH($F140,Raw_Products!$A$2:$A$71,0))</f>
        <v>Occaecati Gift</v>
      </c>
      <c r="H140" s="7" t="str">
        <f>INDEX(Raw_Products!$C$2:$C$71,MATCH($F140,Raw_Products!$A$2:$A$71,0))</f>
        <v>Cake</v>
      </c>
      <c r="I140" s="7">
        <f>VALUE(Raw_Orders!D140)</f>
        <v>4</v>
      </c>
      <c r="J140" s="11" t="str">
        <f>INDEX(Raw_Products!$D$2:$D$71,MATCH($F140,Raw_Products!$A$2:$A$71,0))</f>
        <v>1236</v>
      </c>
      <c r="K140" s="11">
        <f t="shared" si="4"/>
        <v>4944</v>
      </c>
      <c r="L140" s="12">
        <f>DATE(VALUE(RIGHT(Raw_Orders!E140,4)),VALUE(MID(Raw_Orders!E140,4,2)),VALUE(LEFT(Raw_Orders!E140,2)))</f>
        <v>45057</v>
      </c>
      <c r="M140" s="12">
        <f>DATE(VALUE(RIGHT(Raw_Orders!G140,4)),VALUE(MID(Raw_Orders!G140,4,2)),VALUE(LEFT(Raw_Orders!G140,2)))</f>
        <v>45062</v>
      </c>
      <c r="N140" s="7">
        <f t="shared" si="5"/>
        <v>5</v>
      </c>
      <c r="O140" s="7" t="str">
        <f>Raw_Orders!J140</f>
        <v>Anniversary</v>
      </c>
      <c r="P140" s="7" t="str">
        <f>Raw_Orders!I140</f>
        <v>Amritsar</v>
      </c>
    </row>
    <row r="141" spans="1:16">
      <c r="A141" s="7" t="str">
        <f>Raw_Orders!A141</f>
        <v>140</v>
      </c>
      <c r="B141" s="7" t="str">
        <f>Raw_Orders!B141</f>
        <v>C015</v>
      </c>
      <c r="C141" s="7" t="str">
        <f>INDEX(Raw_Customers!$B$2:$B$101,MATCH($B141,Raw_Customers!$A$2:$A$101,0))</f>
        <v>Romil Bajwa</v>
      </c>
      <c r="D141" s="7" t="str">
        <f>TRIM(INDEX(Raw_Customers!$C$2:$C$101,MATCH($B141,Raw_Customers!$A$2:$A$101,0)))</f>
        <v>Kolkata</v>
      </c>
      <c r="E141" s="7" t="str">
        <f>"+91-"&amp;RIGHT("0000000000"&amp;INDEX(Raw_Customers!$D$2:$D$101,MATCH($B141,Raw_Customers!$A$2:$A$101,0)),10)</f>
        <v>+91-8664164910</v>
      </c>
      <c r="F141" s="7" t="str">
        <f>Raw_Orders!C141</f>
        <v>47</v>
      </c>
      <c r="G141" s="7" t="str">
        <f>INDEX(Raw_Products!$B$2:$B$71,MATCH($F141,Raw_Products!$A$2:$A$71,0))</f>
        <v>Harum Pack</v>
      </c>
      <c r="H141" s="7" t="str">
        <f>INDEX(Raw_Products!$C$2:$C$71,MATCH($F141,Raw_Products!$A$2:$A$71,0))</f>
        <v>Colors</v>
      </c>
      <c r="I141" s="7">
        <f>VALUE(Raw_Orders!D141)</f>
        <v>1</v>
      </c>
      <c r="J141" s="11" t="str">
        <f>INDEX(Raw_Products!$D$2:$D$71,MATCH($F141,Raw_Products!$A$2:$A$71,0))</f>
        <v>1638</v>
      </c>
      <c r="K141" s="11">
        <f t="shared" si="4"/>
        <v>1638</v>
      </c>
      <c r="L141" s="12">
        <f>DATE(VALUE(RIGHT(Raw_Orders!E141,4)),VALUE(MID(Raw_Orders!E141,4,2)),VALUE(LEFT(Raw_Orders!E141,2)))</f>
        <v>44989</v>
      </c>
      <c r="M141" s="12">
        <f>DATE(VALUE(RIGHT(Raw_Orders!G141,4)),VALUE(MID(Raw_Orders!G141,4,2)),VALUE(LEFT(Raw_Orders!G141,2)))</f>
        <v>44998</v>
      </c>
      <c r="N141" s="7">
        <f t="shared" si="5"/>
        <v>9</v>
      </c>
      <c r="O141" s="7" t="str">
        <f>Raw_Orders!J141</f>
        <v>Holi</v>
      </c>
      <c r="P141" s="7" t="str">
        <f>Raw_Orders!I141</f>
        <v>Bharatpur</v>
      </c>
    </row>
    <row r="142" spans="1:16">
      <c r="A142" s="7" t="str">
        <f>Raw_Orders!A142</f>
        <v>141</v>
      </c>
      <c r="B142" s="7" t="str">
        <f>Raw_Orders!B142</f>
        <v>C062</v>
      </c>
      <c r="C142" s="7" t="str">
        <f>INDEX(Raw_Customers!$B$2:$B$101,MATCH($B142,Raw_Customers!$A$2:$A$101,0))</f>
        <v>Inaaya  Sarraf</v>
      </c>
      <c r="D142" s="7" t="str">
        <f>TRIM(INDEX(Raw_Customers!$C$2:$C$101,MATCH($B142,Raw_Customers!$A$2:$A$101,0)))</f>
        <v>Nagpur</v>
      </c>
      <c r="E142" s="7" t="str">
        <f>"+91-"&amp;RIGHT("0000000000"&amp;INDEX(Raw_Customers!$D$2:$D$101,MATCH($B142,Raw_Customers!$A$2:$A$101,0)),10)</f>
        <v>+91-5915082470</v>
      </c>
      <c r="F142" s="7" t="str">
        <f>Raw_Orders!C142</f>
        <v>35</v>
      </c>
      <c r="G142" s="7" t="str">
        <f>INDEX(Raw_Products!$B$2:$B$71,MATCH($F142,Raw_Products!$A$2:$A$71,0))</f>
        <v>Nam Gift</v>
      </c>
      <c r="H142" s="7" t="str">
        <f>INDEX(Raw_Products!$C$2:$C$71,MATCH($F142,Raw_Products!$A$2:$A$71,0))</f>
        <v>Colors</v>
      </c>
      <c r="I142" s="7">
        <f>VALUE(Raw_Orders!D142)</f>
        <v>4</v>
      </c>
      <c r="J142" s="11" t="str">
        <f>INDEX(Raw_Products!$D$2:$D$71,MATCH($F142,Raw_Products!$A$2:$A$71,0))</f>
        <v>1865</v>
      </c>
      <c r="K142" s="11">
        <f t="shared" si="4"/>
        <v>7460</v>
      </c>
      <c r="L142" s="12">
        <f>DATE(VALUE(RIGHT(Raw_Orders!E142,4)),VALUE(MID(Raw_Orders!E142,4,2)),VALUE(LEFT(Raw_Orders!E142,2)))</f>
        <v>44985</v>
      </c>
      <c r="M142" s="12">
        <f>DATE(VALUE(RIGHT(Raw_Orders!G142,4)),VALUE(MID(Raw_Orders!G142,4,2)),VALUE(LEFT(Raw_Orders!G142,2)))</f>
        <v>44995</v>
      </c>
      <c r="N142" s="7">
        <f t="shared" si="5"/>
        <v>10</v>
      </c>
      <c r="O142" s="7" t="str">
        <f>Raw_Orders!J142</f>
        <v>Holi</v>
      </c>
      <c r="P142" s="7" t="str">
        <f>Raw_Orders!I142</f>
        <v>Allahabad</v>
      </c>
    </row>
    <row r="143" spans="1:16">
      <c r="A143" s="7" t="str">
        <f>Raw_Orders!A143</f>
        <v>142</v>
      </c>
      <c r="B143" s="7" t="str">
        <f>Raw_Orders!B143</f>
        <v>C029</v>
      </c>
      <c r="C143" s="7" t="str">
        <f>INDEX(Raw_Customers!$B$2:$B$101,MATCH($B143,Raw_Customers!$A$2:$A$101,0))</f>
        <v>Badal Sathe</v>
      </c>
      <c r="D143" s="7" t="str">
        <f>TRIM(INDEX(Raw_Customers!$C$2:$C$101,MATCH($B143,Raw_Customers!$A$2:$A$101,0)))</f>
        <v>Haridwar</v>
      </c>
      <c r="E143" s="7" t="str">
        <f>"+91-"&amp;RIGHT("0000000000"&amp;INDEX(Raw_Customers!$D$2:$D$101,MATCH($B143,Raw_Customers!$A$2:$A$101,0)),10)</f>
        <v>+91-2454360885</v>
      </c>
      <c r="F143" s="7" t="str">
        <f>Raw_Orders!C143</f>
        <v>23</v>
      </c>
      <c r="G143" s="7" t="str">
        <f>INDEX(Raw_Products!$B$2:$B$71,MATCH($F143,Raw_Products!$A$2:$A$71,0))</f>
        <v>Dignissimos Pack</v>
      </c>
      <c r="H143" s="7" t="str">
        <f>INDEX(Raw_Products!$C$2:$C$71,MATCH($F143,Raw_Products!$A$2:$A$71,0))</f>
        <v>Sweets</v>
      </c>
      <c r="I143" s="7">
        <f>VALUE(Raw_Orders!D143)</f>
        <v>2</v>
      </c>
      <c r="J143" s="11" t="str">
        <f>INDEX(Raw_Products!$D$2:$D$71,MATCH($F143,Raw_Products!$A$2:$A$71,0))</f>
        <v>1098</v>
      </c>
      <c r="K143" s="11">
        <f t="shared" si="4"/>
        <v>2196</v>
      </c>
      <c r="L143" s="12">
        <f>DATE(VALUE(RIGHT(Raw_Orders!E143,4)),VALUE(MID(Raw_Orders!E143,4,2)),VALUE(LEFT(Raw_Orders!E143,2)))</f>
        <v>45222</v>
      </c>
      <c r="M143" s="12">
        <f>DATE(VALUE(RIGHT(Raw_Orders!G143,4)),VALUE(MID(Raw_Orders!G143,4,2)),VALUE(LEFT(Raw_Orders!G143,2)))</f>
        <v>45226</v>
      </c>
      <c r="N143" s="7">
        <f t="shared" si="5"/>
        <v>4</v>
      </c>
      <c r="O143" s="7" t="str">
        <f>Raw_Orders!J143</f>
        <v>Anniversary</v>
      </c>
      <c r="P143" s="7" t="str">
        <f>Raw_Orders!I143</f>
        <v>Bharatpur</v>
      </c>
    </row>
    <row r="144" spans="1:16">
      <c r="A144" s="7" t="str">
        <f>Raw_Orders!A144</f>
        <v>143</v>
      </c>
      <c r="B144" s="7" t="str">
        <f>Raw_Orders!B144</f>
        <v>C087</v>
      </c>
      <c r="C144" s="7" t="str">
        <f>INDEX(Raw_Customers!$B$2:$B$101,MATCH($B144,Raw_Customers!$A$2:$A$101,0))</f>
        <v>Rania Bhatt</v>
      </c>
      <c r="D144" s="7" t="str">
        <f>TRIM(INDEX(Raw_Customers!$C$2:$C$101,MATCH($B144,Raw_Customers!$A$2:$A$101,0)))</f>
        <v>North Dumdum</v>
      </c>
      <c r="E144" s="7" t="str">
        <f>"+91-"&amp;RIGHT("0000000000"&amp;INDEX(Raw_Customers!$D$2:$D$101,MATCH($B144,Raw_Customers!$A$2:$A$101,0)),10)</f>
        <v>+91-2112404207</v>
      </c>
      <c r="F144" s="7" t="str">
        <f>Raw_Orders!C144</f>
        <v>66</v>
      </c>
      <c r="G144" s="7" t="str">
        <f>INDEX(Raw_Products!$B$2:$B$71,MATCH($F144,Raw_Products!$A$2:$A$71,0))</f>
        <v>Quas Box</v>
      </c>
      <c r="H144" s="7" t="str">
        <f>INDEX(Raw_Products!$C$2:$C$71,MATCH($F144,Raw_Products!$A$2:$A$71,0))</f>
        <v>Colors</v>
      </c>
      <c r="I144" s="7">
        <f>VALUE(Raw_Orders!D144)</f>
        <v>2</v>
      </c>
      <c r="J144" s="11" t="str">
        <f>INDEX(Raw_Products!$D$2:$D$71,MATCH($F144,Raw_Products!$A$2:$A$71,0))</f>
        <v>610</v>
      </c>
      <c r="K144" s="11">
        <f t="shared" si="4"/>
        <v>1220</v>
      </c>
      <c r="L144" s="12">
        <f>DATE(VALUE(RIGHT(Raw_Orders!E144,4)),VALUE(MID(Raw_Orders!E144,4,2)),VALUE(LEFT(Raw_Orders!E144,2)))</f>
        <v>44985</v>
      </c>
      <c r="M144" s="12">
        <f>DATE(VALUE(RIGHT(Raw_Orders!G144,4)),VALUE(MID(Raw_Orders!G144,4,2)),VALUE(LEFT(Raw_Orders!G144,2)))</f>
        <v>44995</v>
      </c>
      <c r="N144" s="7">
        <f t="shared" si="5"/>
        <v>10</v>
      </c>
      <c r="O144" s="7" t="str">
        <f>Raw_Orders!J144</f>
        <v>Holi</v>
      </c>
      <c r="P144" s="7" t="str">
        <f>Raw_Orders!I144</f>
        <v>Ramagundam</v>
      </c>
    </row>
    <row r="145" spans="1:16">
      <c r="A145" s="7" t="str">
        <f>Raw_Orders!A145</f>
        <v>144</v>
      </c>
      <c r="B145" s="7" t="str">
        <f>Raw_Orders!B145</f>
        <v>C090</v>
      </c>
      <c r="C145" s="7" t="str">
        <f>INDEX(Raw_Customers!$B$2:$B$101,MATCH($B145,Raw_Customers!$A$2:$A$101,0))</f>
        <v>Drishya De</v>
      </c>
      <c r="D145" s="7" t="str">
        <f>TRIM(INDEX(Raw_Customers!$C$2:$C$101,MATCH($B145,Raw_Customers!$A$2:$A$101,0)))</f>
        <v>Anantapuram</v>
      </c>
      <c r="E145" s="7" t="str">
        <f>"+91-"&amp;RIGHT("0000000000"&amp;INDEX(Raw_Customers!$D$2:$D$101,MATCH($B145,Raw_Customers!$A$2:$A$101,0)),10)</f>
        <v>+91-3327374841</v>
      </c>
      <c r="F145" s="7" t="str">
        <f>Raw_Orders!C145</f>
        <v>51</v>
      </c>
      <c r="G145" s="7" t="str">
        <f>INDEX(Raw_Products!$B$2:$B$71,MATCH($F145,Raw_Products!$A$2:$A$71,0))</f>
        <v>Fugit Set</v>
      </c>
      <c r="H145" s="7" t="str">
        <f>INDEX(Raw_Products!$C$2:$C$71,MATCH($F145,Raw_Products!$A$2:$A$71,0))</f>
        <v>Soft Toys</v>
      </c>
      <c r="I145" s="7">
        <f>VALUE(Raw_Orders!D145)</f>
        <v>5</v>
      </c>
      <c r="J145" s="11" t="str">
        <f>INDEX(Raw_Products!$D$2:$D$71,MATCH($F145,Raw_Products!$A$2:$A$71,0))</f>
        <v>1084</v>
      </c>
      <c r="K145" s="11">
        <f t="shared" si="4"/>
        <v>5420</v>
      </c>
      <c r="L145" s="12">
        <f>DATE(VALUE(RIGHT(Raw_Orders!E145,4)),VALUE(MID(Raw_Orders!E145,4,2)),VALUE(LEFT(Raw_Orders!E145,2)))</f>
        <v>44944</v>
      </c>
      <c r="M145" s="12">
        <f>DATE(VALUE(RIGHT(Raw_Orders!G145,4)),VALUE(MID(Raw_Orders!G145,4,2)),VALUE(LEFT(Raw_Orders!G145,2)))</f>
        <v>44949</v>
      </c>
      <c r="N145" s="7">
        <f t="shared" si="5"/>
        <v>5</v>
      </c>
      <c r="O145" s="7" t="str">
        <f>Raw_Orders!J145</f>
        <v>All Occasions</v>
      </c>
      <c r="P145" s="7" t="str">
        <f>Raw_Orders!I145</f>
        <v>Srinagar</v>
      </c>
    </row>
    <row r="146" spans="1:16">
      <c r="A146" s="7" t="str">
        <f>Raw_Orders!A146</f>
        <v>145</v>
      </c>
      <c r="B146" s="7" t="str">
        <f>Raw_Orders!B146</f>
        <v>C055</v>
      </c>
      <c r="C146" s="7" t="str">
        <f>INDEX(Raw_Customers!$B$2:$B$101,MATCH($B146,Raw_Customers!$A$2:$A$101,0))</f>
        <v>Umang Luthra</v>
      </c>
      <c r="D146" s="7" t="str">
        <f>TRIM(INDEX(Raw_Customers!$C$2:$C$101,MATCH($B146,Raw_Customers!$A$2:$A$101,0)))</f>
        <v>Imphal</v>
      </c>
      <c r="E146" s="7" t="str">
        <f>"+91-"&amp;RIGHT("0000000000"&amp;INDEX(Raw_Customers!$D$2:$D$101,MATCH($B146,Raw_Customers!$A$2:$A$101,0)),10)</f>
        <v>+91-2007986762</v>
      </c>
      <c r="F146" s="7" t="str">
        <f>Raw_Orders!C146</f>
        <v>59</v>
      </c>
      <c r="G146" s="7" t="str">
        <f>INDEX(Raw_Products!$B$2:$B$71,MATCH($F146,Raw_Products!$A$2:$A$71,0))</f>
        <v>Pariatur Box</v>
      </c>
      <c r="H146" s="7" t="str">
        <f>INDEX(Raw_Products!$C$2:$C$71,MATCH($F146,Raw_Products!$A$2:$A$71,0))</f>
        <v>Cake</v>
      </c>
      <c r="I146" s="7">
        <f>VALUE(Raw_Orders!D146)</f>
        <v>5</v>
      </c>
      <c r="J146" s="11" t="str">
        <f>INDEX(Raw_Products!$D$2:$D$71,MATCH($F146,Raw_Products!$A$2:$A$71,0))</f>
        <v>811</v>
      </c>
      <c r="K146" s="11">
        <f t="shared" si="4"/>
        <v>4055</v>
      </c>
      <c r="L146" s="12">
        <f>DATE(VALUE(RIGHT(Raw_Orders!E146,4)),VALUE(MID(Raw_Orders!E146,4,2)),VALUE(LEFT(Raw_Orders!E146,2)))</f>
        <v>45167</v>
      </c>
      <c r="M146" s="12">
        <f>DATE(VALUE(RIGHT(Raw_Orders!G146,4)),VALUE(MID(Raw_Orders!G146,4,2)),VALUE(LEFT(Raw_Orders!G146,2)))</f>
        <v>45172</v>
      </c>
      <c r="N146" s="7">
        <f t="shared" si="5"/>
        <v>5</v>
      </c>
      <c r="O146" s="7" t="str">
        <f>Raw_Orders!J146</f>
        <v>Raksha Bandhan</v>
      </c>
      <c r="P146" s="7" t="str">
        <f>Raw_Orders!I146</f>
        <v>Kumbakonam</v>
      </c>
    </row>
    <row r="147" spans="1:16">
      <c r="A147" s="7" t="str">
        <f>Raw_Orders!A147</f>
        <v>146</v>
      </c>
      <c r="B147" s="7" t="str">
        <f>Raw_Orders!B147</f>
        <v>C030</v>
      </c>
      <c r="C147" s="7" t="str">
        <f>INDEX(Raw_Customers!$B$2:$B$101,MATCH($B147,Raw_Customers!$A$2:$A$101,0))</f>
        <v>Vardaniya Contractor</v>
      </c>
      <c r="D147" s="7" t="str">
        <f>TRIM(INDEX(Raw_Customers!$C$2:$C$101,MATCH($B147,Raw_Customers!$A$2:$A$101,0)))</f>
        <v>Sambhal</v>
      </c>
      <c r="E147" s="7" t="str">
        <f>"+91-"&amp;RIGHT("0000000000"&amp;INDEX(Raw_Customers!$D$2:$D$101,MATCH($B147,Raw_Customers!$A$2:$A$101,0)),10)</f>
        <v>+91-9972300876</v>
      </c>
      <c r="F147" s="7" t="str">
        <f>Raw_Orders!C147</f>
        <v>52</v>
      </c>
      <c r="G147" s="7" t="str">
        <f>INDEX(Raw_Products!$B$2:$B$71,MATCH($F147,Raw_Products!$A$2:$A$71,0))</f>
        <v>Dolorum Box</v>
      </c>
      <c r="H147" s="7" t="str">
        <f>INDEX(Raw_Products!$C$2:$C$71,MATCH($F147,Raw_Products!$A$2:$A$71,0))</f>
        <v>Raksha Bandhan</v>
      </c>
      <c r="I147" s="7">
        <f>VALUE(Raw_Orders!D147)</f>
        <v>5</v>
      </c>
      <c r="J147" s="11" t="str">
        <f>INDEX(Raw_Products!$D$2:$D$71,MATCH($F147,Raw_Products!$A$2:$A$71,0))</f>
        <v>236</v>
      </c>
      <c r="K147" s="11">
        <f t="shared" si="4"/>
        <v>1180</v>
      </c>
      <c r="L147" s="12">
        <f>DATE(VALUE(RIGHT(Raw_Orders!E147,4)),VALUE(MID(Raw_Orders!E147,4,2)),VALUE(LEFT(Raw_Orders!E147,2)))</f>
        <v>44970</v>
      </c>
      <c r="M147" s="12">
        <f>DATE(VALUE(RIGHT(Raw_Orders!G147,4)),VALUE(MID(Raw_Orders!G147,4,2)),VALUE(LEFT(Raw_Orders!G147,2)))</f>
        <v>44973</v>
      </c>
      <c r="N147" s="7">
        <f t="shared" si="5"/>
        <v>3</v>
      </c>
      <c r="O147" s="7" t="str">
        <f>Raw_Orders!J147</f>
        <v>Valentine's Day</v>
      </c>
      <c r="P147" s="7" t="str">
        <f>Raw_Orders!I147</f>
        <v>Vijayawada</v>
      </c>
    </row>
    <row r="148" spans="1:16">
      <c r="A148" s="7" t="str">
        <f>Raw_Orders!A148</f>
        <v>147</v>
      </c>
      <c r="B148" s="7" t="str">
        <f>Raw_Orders!B148</f>
        <v>C080</v>
      </c>
      <c r="C148" s="7" t="str">
        <f>INDEX(Raw_Customers!$B$2:$B$101,MATCH($B148,Raw_Customers!$A$2:$A$101,0))</f>
        <v>Mohanlal Garde</v>
      </c>
      <c r="D148" s="7" t="str">
        <f>TRIM(INDEX(Raw_Customers!$C$2:$C$101,MATCH($B148,Raw_Customers!$A$2:$A$101,0)))</f>
        <v>Bhopal</v>
      </c>
      <c r="E148" s="7" t="str">
        <f>"+91-"&amp;RIGHT("0000000000"&amp;INDEX(Raw_Customers!$D$2:$D$101,MATCH($B148,Raw_Customers!$A$2:$A$101,0)),10)</f>
        <v>+91-8448890371</v>
      </c>
      <c r="F148" s="7" t="str">
        <f>Raw_Orders!C148</f>
        <v>8</v>
      </c>
      <c r="G148" s="7" t="str">
        <f>INDEX(Raw_Products!$B$2:$B$71,MATCH($F148,Raw_Products!$A$2:$A$71,0))</f>
        <v>Qui Box</v>
      </c>
      <c r="H148" s="7" t="str">
        <f>INDEX(Raw_Products!$C$2:$C$71,MATCH($F148,Raw_Products!$A$2:$A$71,0))</f>
        <v>Sweets</v>
      </c>
      <c r="I148" s="7">
        <f>VALUE(Raw_Orders!D148)</f>
        <v>4</v>
      </c>
      <c r="J148" s="11" t="str">
        <f>INDEX(Raw_Products!$D$2:$D$71,MATCH($F148,Raw_Products!$A$2:$A$71,0))</f>
        <v>252</v>
      </c>
      <c r="K148" s="11">
        <f t="shared" si="4"/>
        <v>1008</v>
      </c>
      <c r="L148" s="12">
        <f>DATE(VALUE(RIGHT(Raw_Orders!E148,4)),VALUE(MID(Raw_Orders!E148,4,2)),VALUE(LEFT(Raw_Orders!E148,2)))</f>
        <v>45002</v>
      </c>
      <c r="M148" s="12">
        <f>DATE(VALUE(RIGHT(Raw_Orders!G148,4)),VALUE(MID(Raw_Orders!G148,4,2)),VALUE(LEFT(Raw_Orders!G148,2)))</f>
        <v>45008</v>
      </c>
      <c r="N148" s="7">
        <f t="shared" si="5"/>
        <v>6</v>
      </c>
      <c r="O148" s="7" t="str">
        <f>Raw_Orders!J148</f>
        <v>Anniversary</v>
      </c>
      <c r="P148" s="7" t="str">
        <f>Raw_Orders!I148</f>
        <v>Jodhpur</v>
      </c>
    </row>
    <row r="149" spans="1:16">
      <c r="A149" s="7" t="str">
        <f>Raw_Orders!A149</f>
        <v>148</v>
      </c>
      <c r="B149" s="7" t="str">
        <f>Raw_Orders!B149</f>
        <v>C046</v>
      </c>
      <c r="C149" s="7" t="str">
        <f>INDEX(Raw_Customers!$B$2:$B$101,MATCH($B149,Raw_Customers!$A$2:$A$101,0))</f>
        <v>Tara Kannan</v>
      </c>
      <c r="D149" s="7" t="str">
        <f>TRIM(INDEX(Raw_Customers!$C$2:$C$101,MATCH($B149,Raw_Customers!$A$2:$A$101,0)))</f>
        <v>Guna</v>
      </c>
      <c r="E149" s="7" t="str">
        <f>"+91-"&amp;RIGHT("0000000000"&amp;INDEX(Raw_Customers!$D$2:$D$101,MATCH($B149,Raw_Customers!$A$2:$A$101,0)),10)</f>
        <v>+91-7543187237</v>
      </c>
      <c r="F149" s="7" t="str">
        <f>Raw_Orders!C149</f>
        <v>24</v>
      </c>
      <c r="G149" s="7" t="str">
        <f>INDEX(Raw_Products!$B$2:$B$71,MATCH($F149,Raw_Products!$A$2:$A$71,0))</f>
        <v>Ad Box</v>
      </c>
      <c r="H149" s="7" t="str">
        <f>INDEX(Raw_Products!$C$2:$C$71,MATCH($F149,Raw_Products!$A$2:$A$71,0))</f>
        <v>Mugs</v>
      </c>
      <c r="I149" s="7">
        <f>VALUE(Raw_Orders!D149)</f>
        <v>3</v>
      </c>
      <c r="J149" s="11" t="str">
        <f>INDEX(Raw_Products!$D$2:$D$71,MATCH($F149,Raw_Products!$A$2:$A$71,0))</f>
        <v>535</v>
      </c>
      <c r="K149" s="11">
        <f t="shared" si="4"/>
        <v>1605</v>
      </c>
      <c r="L149" s="12">
        <f>DATE(VALUE(RIGHT(Raw_Orders!E149,4)),VALUE(MID(Raw_Orders!E149,4,2)),VALUE(LEFT(Raw_Orders!E149,2)))</f>
        <v>45265</v>
      </c>
      <c r="M149" s="12">
        <f>DATE(VALUE(RIGHT(Raw_Orders!G149,4)),VALUE(MID(Raw_Orders!G149,4,2)),VALUE(LEFT(Raw_Orders!G149,2)))</f>
        <v>45267</v>
      </c>
      <c r="N149" s="7">
        <f t="shared" si="5"/>
        <v>2</v>
      </c>
      <c r="O149" s="7" t="str">
        <f>Raw_Orders!J149</f>
        <v>Birthday</v>
      </c>
      <c r="P149" s="7" t="str">
        <f>Raw_Orders!I149</f>
        <v>Gopalpur</v>
      </c>
    </row>
    <row r="150" spans="1:16">
      <c r="A150" s="7" t="str">
        <f>Raw_Orders!A150</f>
        <v>149</v>
      </c>
      <c r="B150" s="7" t="str">
        <f>Raw_Orders!B150</f>
        <v>C008</v>
      </c>
      <c r="C150" s="7" t="str">
        <f>INDEX(Raw_Customers!$B$2:$B$101,MATCH($B150,Raw_Customers!$A$2:$A$101,0))</f>
        <v>Veer Ray</v>
      </c>
      <c r="D150" s="7" t="str">
        <f>TRIM(INDEX(Raw_Customers!$C$2:$C$101,MATCH($B150,Raw_Customers!$A$2:$A$101,0)))</f>
        <v>Chinsurah</v>
      </c>
      <c r="E150" s="7" t="str">
        <f>"+91-"&amp;RIGHT("0000000000"&amp;INDEX(Raw_Customers!$D$2:$D$101,MATCH($B150,Raw_Customers!$A$2:$A$101,0)),10)</f>
        <v>+91-7138085704</v>
      </c>
      <c r="F150" s="7" t="str">
        <f>Raw_Orders!C150</f>
        <v>5</v>
      </c>
      <c r="G150" s="7" t="str">
        <f>INDEX(Raw_Products!$B$2:$B$71,MATCH($F150,Raw_Products!$A$2:$A$71,0))</f>
        <v>Natus Gift</v>
      </c>
      <c r="H150" s="7" t="str">
        <f>INDEX(Raw_Products!$C$2:$C$71,MATCH($F150,Raw_Products!$A$2:$A$71,0))</f>
        <v>Colors</v>
      </c>
      <c r="I150" s="7">
        <f>VALUE(Raw_Orders!D150)</f>
        <v>3</v>
      </c>
      <c r="J150" s="11" t="str">
        <f>INDEX(Raw_Products!$D$2:$D$71,MATCH($F150,Raw_Products!$A$2:$A$71,0))</f>
        <v>1444</v>
      </c>
      <c r="K150" s="11">
        <f t="shared" si="4"/>
        <v>4332</v>
      </c>
      <c r="L150" s="12">
        <f>DATE(VALUE(RIGHT(Raw_Orders!E150,4)),VALUE(MID(Raw_Orders!E150,4,2)),VALUE(LEFT(Raw_Orders!E150,2)))</f>
        <v>45205</v>
      </c>
      <c r="M150" s="12">
        <f>DATE(VALUE(RIGHT(Raw_Orders!G150,4)),VALUE(MID(Raw_Orders!G150,4,2)),VALUE(LEFT(Raw_Orders!G150,2)))</f>
        <v>45208</v>
      </c>
      <c r="N150" s="7">
        <f t="shared" si="5"/>
        <v>3</v>
      </c>
      <c r="O150" s="7" t="str">
        <f>Raw_Orders!J150</f>
        <v>All Occasions</v>
      </c>
      <c r="P150" s="7" t="str">
        <f>Raw_Orders!I150</f>
        <v>Mangalore</v>
      </c>
    </row>
    <row r="151" spans="1:16">
      <c r="A151" s="7" t="str">
        <f>Raw_Orders!A151</f>
        <v>150</v>
      </c>
      <c r="B151" s="7" t="str">
        <f>Raw_Orders!B151</f>
        <v>C092</v>
      </c>
      <c r="C151" s="7" t="str">
        <f>INDEX(Raw_Customers!$B$2:$B$101,MATCH($B151,Raw_Customers!$A$2:$A$101,0))</f>
        <v>Zoya Mani</v>
      </c>
      <c r="D151" s="7" t="str">
        <f>TRIM(INDEX(Raw_Customers!$C$2:$C$101,MATCH($B151,Raw_Customers!$A$2:$A$101,0)))</f>
        <v>Dibrugarh</v>
      </c>
      <c r="E151" s="7" t="str">
        <f>"+91-"&amp;RIGHT("0000000000"&amp;INDEX(Raw_Customers!$D$2:$D$101,MATCH($B151,Raw_Customers!$A$2:$A$101,0)),10)</f>
        <v>+91-8918356963</v>
      </c>
      <c r="F151" s="7" t="str">
        <f>Raw_Orders!C151</f>
        <v>27</v>
      </c>
      <c r="G151" s="7" t="str">
        <f>INDEX(Raw_Products!$B$2:$B$71,MATCH($F151,Raw_Products!$A$2:$A$71,0))</f>
        <v>Architecto Gift</v>
      </c>
      <c r="H151" s="7" t="str">
        <f>INDEX(Raw_Products!$C$2:$C$71,MATCH($F151,Raw_Products!$A$2:$A$71,0))</f>
        <v>Cake</v>
      </c>
      <c r="I151" s="7">
        <f>VALUE(Raw_Orders!D151)</f>
        <v>5</v>
      </c>
      <c r="J151" s="11" t="str">
        <f>INDEX(Raw_Products!$D$2:$D$71,MATCH($F151,Raw_Products!$A$2:$A$71,0))</f>
        <v>548</v>
      </c>
      <c r="K151" s="11">
        <f t="shared" si="4"/>
        <v>2740</v>
      </c>
      <c r="L151" s="12">
        <f>DATE(VALUE(RIGHT(Raw_Orders!E151,4)),VALUE(MID(Raw_Orders!E151,4,2)),VALUE(LEFT(Raw_Orders!E151,2)))</f>
        <v>45164</v>
      </c>
      <c r="M151" s="12">
        <f>DATE(VALUE(RIGHT(Raw_Orders!G151,4)),VALUE(MID(Raw_Orders!G151,4,2)),VALUE(LEFT(Raw_Orders!G151,2)))</f>
        <v>45167</v>
      </c>
      <c r="N151" s="7">
        <f t="shared" si="5"/>
        <v>3</v>
      </c>
      <c r="O151" s="7" t="str">
        <f>Raw_Orders!J151</f>
        <v>Raksha Bandhan</v>
      </c>
      <c r="P151" s="7" t="str">
        <f>Raw_Orders!I151</f>
        <v>Bidar</v>
      </c>
    </row>
    <row r="152" spans="1:16">
      <c r="A152" s="7" t="str">
        <f>Raw_Orders!A152</f>
        <v>151</v>
      </c>
      <c r="B152" s="7" t="str">
        <f>Raw_Orders!B152</f>
        <v>C051</v>
      </c>
      <c r="C152" s="7" t="str">
        <f>INDEX(Raw_Customers!$B$2:$B$101,MATCH($B152,Raw_Customers!$A$2:$A$101,0))</f>
        <v>Aradhya Batta</v>
      </c>
      <c r="D152" s="7" t="str">
        <f>TRIM(INDEX(Raw_Customers!$C$2:$C$101,MATCH($B152,Raw_Customers!$A$2:$A$101,0)))</f>
        <v>Kota</v>
      </c>
      <c r="E152" s="7" t="str">
        <f>"+91-"&amp;RIGHT("0000000000"&amp;INDEX(Raw_Customers!$D$2:$D$101,MATCH($B152,Raw_Customers!$A$2:$A$101,0)),10)</f>
        <v>+91-1200621501</v>
      </c>
      <c r="F152" s="7" t="str">
        <f>Raw_Orders!C152</f>
        <v>43</v>
      </c>
      <c r="G152" s="7" t="str">
        <f>INDEX(Raw_Products!$B$2:$B$71,MATCH($F152,Raw_Products!$A$2:$A$71,0))</f>
        <v>Quisquam Pack</v>
      </c>
      <c r="H152" s="7" t="str">
        <f>INDEX(Raw_Products!$C$2:$C$71,MATCH($F152,Raw_Products!$A$2:$A$71,0))</f>
        <v>Raksha Bandhan</v>
      </c>
      <c r="I152" s="7">
        <f>VALUE(Raw_Orders!D152)</f>
        <v>1</v>
      </c>
      <c r="J152" s="11" t="str">
        <f>INDEX(Raw_Products!$D$2:$D$71,MATCH($F152,Raw_Products!$A$2:$A$71,0))</f>
        <v>750</v>
      </c>
      <c r="K152" s="11">
        <f t="shared" si="4"/>
        <v>750</v>
      </c>
      <c r="L152" s="12">
        <f>DATE(VALUE(RIGHT(Raw_Orders!E152,4)),VALUE(MID(Raw_Orders!E152,4,2)),VALUE(LEFT(Raw_Orders!E152,2)))</f>
        <v>45233</v>
      </c>
      <c r="M152" s="12">
        <f>DATE(VALUE(RIGHT(Raw_Orders!G152,4)),VALUE(MID(Raw_Orders!G152,4,2)),VALUE(LEFT(Raw_Orders!G152,2)))</f>
        <v>45240</v>
      </c>
      <c r="N152" s="7">
        <f t="shared" si="5"/>
        <v>7</v>
      </c>
      <c r="O152" s="7" t="str">
        <f>Raw_Orders!J152</f>
        <v>Diwali</v>
      </c>
      <c r="P152" s="7" t="str">
        <f>Raw_Orders!I152</f>
        <v>Jalna</v>
      </c>
    </row>
    <row r="153" spans="1:16">
      <c r="A153" s="7" t="str">
        <f>Raw_Orders!A153</f>
        <v>152</v>
      </c>
      <c r="B153" s="7" t="str">
        <f>Raw_Orders!B153</f>
        <v>C084</v>
      </c>
      <c r="C153" s="7" t="str">
        <f>INDEX(Raw_Customers!$B$2:$B$101,MATCH($B153,Raw_Customers!$A$2:$A$101,0))</f>
        <v>Anahita Shankar</v>
      </c>
      <c r="D153" s="7" t="str">
        <f>TRIM(INDEX(Raw_Customers!$C$2:$C$101,MATCH($B153,Raw_Customers!$A$2:$A$101,0)))</f>
        <v>Tiruchirappalli</v>
      </c>
      <c r="E153" s="7" t="str">
        <f>"+91-"&amp;RIGHT("0000000000"&amp;INDEX(Raw_Customers!$D$2:$D$101,MATCH($B153,Raw_Customers!$A$2:$A$101,0)),10)</f>
        <v>+91-2205603376</v>
      </c>
      <c r="F153" s="7" t="str">
        <f>Raw_Orders!C153</f>
        <v>51</v>
      </c>
      <c r="G153" s="7" t="str">
        <f>INDEX(Raw_Products!$B$2:$B$71,MATCH($F153,Raw_Products!$A$2:$A$71,0))</f>
        <v>Fugit Set</v>
      </c>
      <c r="H153" s="7" t="str">
        <f>INDEX(Raw_Products!$C$2:$C$71,MATCH($F153,Raw_Products!$A$2:$A$71,0))</f>
        <v>Soft Toys</v>
      </c>
      <c r="I153" s="7">
        <f>VALUE(Raw_Orders!D153)</f>
        <v>2</v>
      </c>
      <c r="J153" s="11" t="str">
        <f>INDEX(Raw_Products!$D$2:$D$71,MATCH($F153,Raw_Products!$A$2:$A$71,0))</f>
        <v>1084</v>
      </c>
      <c r="K153" s="11">
        <f t="shared" si="4"/>
        <v>2168</v>
      </c>
      <c r="L153" s="12">
        <f>DATE(VALUE(RIGHT(Raw_Orders!E153,4)),VALUE(MID(Raw_Orders!E153,4,2)),VALUE(LEFT(Raw_Orders!E153,2)))</f>
        <v>44984</v>
      </c>
      <c r="M153" s="12">
        <f>DATE(VALUE(RIGHT(Raw_Orders!G153,4)),VALUE(MID(Raw_Orders!G153,4,2)),VALUE(LEFT(Raw_Orders!G153,2)))</f>
        <v>44990</v>
      </c>
      <c r="N153" s="7">
        <f t="shared" si="5"/>
        <v>6</v>
      </c>
      <c r="O153" s="7" t="str">
        <f>Raw_Orders!J153</f>
        <v>All Occasions</v>
      </c>
      <c r="P153" s="7" t="str">
        <f>Raw_Orders!I153</f>
        <v>Tiruppur</v>
      </c>
    </row>
    <row r="154" spans="1:16">
      <c r="A154" s="7" t="str">
        <f>Raw_Orders!A154</f>
        <v>153</v>
      </c>
      <c r="B154" s="7" t="str">
        <f>Raw_Orders!B154</f>
        <v>C094</v>
      </c>
      <c r="C154" s="7" t="str">
        <f>INDEX(Raw_Customers!$B$2:$B$101,MATCH($B154,Raw_Customers!$A$2:$A$101,0))</f>
        <v>Raghav Babu</v>
      </c>
      <c r="D154" s="7" t="str">
        <f>TRIM(INDEX(Raw_Customers!$C$2:$C$101,MATCH($B154,Raw_Customers!$A$2:$A$101,0)))</f>
        <v>Deoghar</v>
      </c>
      <c r="E154" s="7" t="str">
        <f>"+91-"&amp;RIGHT("0000000000"&amp;INDEX(Raw_Customers!$D$2:$D$101,MATCH($B154,Raw_Customers!$A$2:$A$101,0)),10)</f>
        <v>+91-4638480067</v>
      </c>
      <c r="F154" s="7" t="str">
        <f>Raw_Orders!C154</f>
        <v>16</v>
      </c>
      <c r="G154" s="7" t="str">
        <f>INDEX(Raw_Products!$B$2:$B$71,MATCH($F154,Raw_Products!$A$2:$A$71,0))</f>
        <v>Ut Pack</v>
      </c>
      <c r="H154" s="7" t="str">
        <f>INDEX(Raw_Products!$C$2:$C$71,MATCH($F154,Raw_Products!$A$2:$A$71,0))</f>
        <v>Sweets</v>
      </c>
      <c r="I154" s="7">
        <f>VALUE(Raw_Orders!D154)</f>
        <v>4</v>
      </c>
      <c r="J154" s="11" t="str">
        <f>INDEX(Raw_Products!$D$2:$D$71,MATCH($F154,Raw_Products!$A$2:$A$71,0))</f>
        <v>1721</v>
      </c>
      <c r="K154" s="11">
        <f t="shared" si="4"/>
        <v>6884</v>
      </c>
      <c r="L154" s="12">
        <f>DATE(VALUE(RIGHT(Raw_Orders!E154,4)),VALUE(MID(Raw_Orders!E154,4,2)),VALUE(LEFT(Raw_Orders!E154,2)))</f>
        <v>44989</v>
      </c>
      <c r="M154" s="12">
        <f>DATE(VALUE(RIGHT(Raw_Orders!G154,4)),VALUE(MID(Raw_Orders!G154,4,2)),VALUE(LEFT(Raw_Orders!G154,2)))</f>
        <v>44995</v>
      </c>
      <c r="N154" s="7">
        <f t="shared" si="5"/>
        <v>6</v>
      </c>
      <c r="O154" s="7" t="str">
        <f>Raw_Orders!J154</f>
        <v>Holi</v>
      </c>
      <c r="P154" s="7" t="str">
        <f>Raw_Orders!I154</f>
        <v>Rewa</v>
      </c>
    </row>
    <row r="155" spans="1:16">
      <c r="A155" s="7" t="str">
        <f>Raw_Orders!A155</f>
        <v>154</v>
      </c>
      <c r="B155" s="7" t="str">
        <f>Raw_Orders!B155</f>
        <v>C049</v>
      </c>
      <c r="C155" s="7" t="str">
        <f>INDEX(Raw_Customers!$B$2:$B$101,MATCH($B155,Raw_Customers!$A$2:$A$101,0))</f>
        <v>Aarush Balasubramanian</v>
      </c>
      <c r="D155" s="7" t="str">
        <f>TRIM(INDEX(Raw_Customers!$C$2:$C$101,MATCH($B155,Raw_Customers!$A$2:$A$101,0)))</f>
        <v>Imphal</v>
      </c>
      <c r="E155" s="7" t="str">
        <f>"+91-"&amp;RIGHT("0000000000"&amp;INDEX(Raw_Customers!$D$2:$D$101,MATCH($B155,Raw_Customers!$A$2:$A$101,0)),10)</f>
        <v>+91-1436426958</v>
      </c>
      <c r="F155" s="7" t="str">
        <f>Raw_Orders!C155</f>
        <v>45</v>
      </c>
      <c r="G155" s="7" t="str">
        <f>INDEX(Raw_Products!$B$2:$B$71,MATCH($F155,Raw_Products!$A$2:$A$71,0))</f>
        <v>Iusto Set</v>
      </c>
      <c r="H155" s="7" t="str">
        <f>INDEX(Raw_Products!$C$2:$C$71,MATCH($F155,Raw_Products!$A$2:$A$71,0))</f>
        <v>Raksha Bandhan</v>
      </c>
      <c r="I155" s="7">
        <f>VALUE(Raw_Orders!D155)</f>
        <v>5</v>
      </c>
      <c r="J155" s="11" t="str">
        <f>INDEX(Raw_Products!$D$2:$D$71,MATCH($F155,Raw_Products!$A$2:$A$71,0))</f>
        <v>722</v>
      </c>
      <c r="K155" s="11">
        <f t="shared" si="4"/>
        <v>3610</v>
      </c>
      <c r="L155" s="12">
        <f>DATE(VALUE(RIGHT(Raw_Orders!E155,4)),VALUE(MID(Raw_Orders!E155,4,2)),VALUE(LEFT(Raw_Orders!E155,2)))</f>
        <v>45251</v>
      </c>
      <c r="M155" s="12">
        <f>DATE(VALUE(RIGHT(Raw_Orders!G155,4)),VALUE(MID(Raw_Orders!G155,4,2)),VALUE(LEFT(Raw_Orders!G155,2)))</f>
        <v>45255</v>
      </c>
      <c r="N155" s="7">
        <f t="shared" si="5"/>
        <v>4</v>
      </c>
      <c r="O155" s="7" t="str">
        <f>Raw_Orders!J155</f>
        <v>Birthday</v>
      </c>
      <c r="P155" s="7" t="str">
        <f>Raw_Orders!I155</f>
        <v>Indore</v>
      </c>
    </row>
    <row r="156" spans="1:16">
      <c r="A156" s="7" t="str">
        <f>Raw_Orders!A156</f>
        <v>155</v>
      </c>
      <c r="B156" s="7" t="str">
        <f>Raw_Orders!B156</f>
        <v>C023</v>
      </c>
      <c r="C156" s="7" t="str">
        <f>INDEX(Raw_Customers!$B$2:$B$101,MATCH($B156,Raw_Customers!$A$2:$A$101,0))</f>
        <v>Abram Sandhu</v>
      </c>
      <c r="D156" s="7" t="str">
        <f>TRIM(INDEX(Raw_Customers!$C$2:$C$101,MATCH($B156,Raw_Customers!$A$2:$A$101,0)))</f>
        <v>Bidhannagar</v>
      </c>
      <c r="E156" s="7" t="str">
        <f>"+91-"&amp;RIGHT("0000000000"&amp;INDEX(Raw_Customers!$D$2:$D$101,MATCH($B156,Raw_Customers!$A$2:$A$101,0)),10)</f>
        <v>+91-7196287267</v>
      </c>
      <c r="F156" s="7" t="str">
        <f>Raw_Orders!C156</f>
        <v>23</v>
      </c>
      <c r="G156" s="7" t="str">
        <f>INDEX(Raw_Products!$B$2:$B$71,MATCH($F156,Raw_Products!$A$2:$A$71,0))</f>
        <v>Dignissimos Pack</v>
      </c>
      <c r="H156" s="7" t="str">
        <f>INDEX(Raw_Products!$C$2:$C$71,MATCH($F156,Raw_Products!$A$2:$A$71,0))</f>
        <v>Sweets</v>
      </c>
      <c r="I156" s="7">
        <f>VALUE(Raw_Orders!D156)</f>
        <v>3</v>
      </c>
      <c r="J156" s="11" t="str">
        <f>INDEX(Raw_Products!$D$2:$D$71,MATCH($F156,Raw_Products!$A$2:$A$71,0))</f>
        <v>1098</v>
      </c>
      <c r="K156" s="11">
        <f t="shared" si="4"/>
        <v>3294</v>
      </c>
      <c r="L156" s="12">
        <f>DATE(VALUE(RIGHT(Raw_Orders!E156,4)),VALUE(MID(Raw_Orders!E156,4,2)),VALUE(LEFT(Raw_Orders!E156,2)))</f>
        <v>45047</v>
      </c>
      <c r="M156" s="12">
        <f>DATE(VALUE(RIGHT(Raw_Orders!G156,4)),VALUE(MID(Raw_Orders!G156,4,2)),VALUE(LEFT(Raw_Orders!G156,2)))</f>
        <v>45052</v>
      </c>
      <c r="N156" s="7">
        <f t="shared" si="5"/>
        <v>5</v>
      </c>
      <c r="O156" s="7" t="str">
        <f>Raw_Orders!J156</f>
        <v>Anniversary</v>
      </c>
      <c r="P156" s="7" t="str">
        <f>Raw_Orders!I156</f>
        <v>Sambhal</v>
      </c>
    </row>
    <row r="157" spans="1:16">
      <c r="A157" s="7" t="str">
        <f>Raw_Orders!A157</f>
        <v>156</v>
      </c>
      <c r="B157" s="7" t="str">
        <f>Raw_Orders!B157</f>
        <v>C030</v>
      </c>
      <c r="C157" s="7" t="str">
        <f>INDEX(Raw_Customers!$B$2:$B$101,MATCH($B157,Raw_Customers!$A$2:$A$101,0))</f>
        <v>Vardaniya Contractor</v>
      </c>
      <c r="D157" s="7" t="str">
        <f>TRIM(INDEX(Raw_Customers!$C$2:$C$101,MATCH($B157,Raw_Customers!$A$2:$A$101,0)))</f>
        <v>Sambhal</v>
      </c>
      <c r="E157" s="7" t="str">
        <f>"+91-"&amp;RIGHT("0000000000"&amp;INDEX(Raw_Customers!$D$2:$D$101,MATCH($B157,Raw_Customers!$A$2:$A$101,0)),10)</f>
        <v>+91-9972300876</v>
      </c>
      <c r="F157" s="7" t="str">
        <f>Raw_Orders!C157</f>
        <v>61</v>
      </c>
      <c r="G157" s="7" t="str">
        <f>INDEX(Raw_Products!$B$2:$B$71,MATCH($F157,Raw_Products!$A$2:$A$71,0))</f>
        <v>Iusto Box</v>
      </c>
      <c r="H157" s="7" t="str">
        <f>INDEX(Raw_Products!$C$2:$C$71,MATCH($F157,Raw_Products!$A$2:$A$71,0))</f>
        <v>Plants</v>
      </c>
      <c r="I157" s="7">
        <f>VALUE(Raw_Orders!D157)</f>
        <v>2</v>
      </c>
      <c r="J157" s="11" t="str">
        <f>INDEX(Raw_Products!$D$2:$D$71,MATCH($F157,Raw_Products!$A$2:$A$71,0))</f>
        <v>810</v>
      </c>
      <c r="K157" s="11">
        <f t="shared" si="4"/>
        <v>1620</v>
      </c>
      <c r="L157" s="12">
        <f>DATE(VALUE(RIGHT(Raw_Orders!E157,4)),VALUE(MID(Raw_Orders!E157,4,2)),VALUE(LEFT(Raw_Orders!E157,2)))</f>
        <v>44966</v>
      </c>
      <c r="M157" s="12">
        <f>DATE(VALUE(RIGHT(Raw_Orders!G157,4)),VALUE(MID(Raw_Orders!G157,4,2)),VALUE(LEFT(Raw_Orders!G157,2)))</f>
        <v>44969</v>
      </c>
      <c r="N157" s="7">
        <f t="shared" si="5"/>
        <v>3</v>
      </c>
      <c r="O157" s="7" t="str">
        <f>Raw_Orders!J157</f>
        <v>Anniversary</v>
      </c>
      <c r="P157" s="7" t="str">
        <f>Raw_Orders!I157</f>
        <v>Ozhukarai</v>
      </c>
    </row>
    <row r="158" spans="1:16">
      <c r="A158" s="7" t="str">
        <f>Raw_Orders!A158</f>
        <v>157</v>
      </c>
      <c r="B158" s="7" t="str">
        <f>Raw_Orders!B158</f>
        <v>C019</v>
      </c>
      <c r="C158" s="7" t="str">
        <f>INDEX(Raw_Customers!$B$2:$B$101,MATCH($B158,Raw_Customers!$A$2:$A$101,0))</f>
        <v>Amira Sengupta</v>
      </c>
      <c r="D158" s="7" t="str">
        <f>TRIM(INDEX(Raw_Customers!$C$2:$C$101,MATCH($B158,Raw_Customers!$A$2:$A$101,0)))</f>
        <v>Danapur</v>
      </c>
      <c r="E158" s="7" t="str">
        <f>"+91-"&amp;RIGHT("0000000000"&amp;INDEX(Raw_Customers!$D$2:$D$101,MATCH($B158,Raw_Customers!$A$2:$A$101,0)),10)</f>
        <v>+91-4513393592</v>
      </c>
      <c r="F158" s="7" t="str">
        <f>Raw_Orders!C158</f>
        <v>35</v>
      </c>
      <c r="G158" s="7" t="str">
        <f>INDEX(Raw_Products!$B$2:$B$71,MATCH($F158,Raw_Products!$A$2:$A$71,0))</f>
        <v>Nam Gift</v>
      </c>
      <c r="H158" s="7" t="str">
        <f>INDEX(Raw_Products!$C$2:$C$71,MATCH($F158,Raw_Products!$A$2:$A$71,0))</f>
        <v>Colors</v>
      </c>
      <c r="I158" s="7">
        <f>VALUE(Raw_Orders!D158)</f>
        <v>3</v>
      </c>
      <c r="J158" s="11" t="str">
        <f>INDEX(Raw_Products!$D$2:$D$71,MATCH($F158,Raw_Products!$A$2:$A$71,0))</f>
        <v>1865</v>
      </c>
      <c r="K158" s="11">
        <f t="shared" si="4"/>
        <v>5595</v>
      </c>
      <c r="L158" s="12">
        <f>DATE(VALUE(RIGHT(Raw_Orders!E158,4)),VALUE(MID(Raw_Orders!E158,4,2)),VALUE(LEFT(Raw_Orders!E158,2)))</f>
        <v>44983</v>
      </c>
      <c r="M158" s="12">
        <f>DATE(VALUE(RIGHT(Raw_Orders!G158,4)),VALUE(MID(Raw_Orders!G158,4,2)),VALUE(LEFT(Raw_Orders!G158,2)))</f>
        <v>44991</v>
      </c>
      <c r="N158" s="7">
        <f t="shared" si="5"/>
        <v>8</v>
      </c>
      <c r="O158" s="7" t="str">
        <f>Raw_Orders!J158</f>
        <v>Holi</v>
      </c>
      <c r="P158" s="7" t="str">
        <f>Raw_Orders!I158</f>
        <v>Thiruvananthapuram</v>
      </c>
    </row>
    <row r="159" spans="1:16">
      <c r="A159" s="7" t="str">
        <f>Raw_Orders!A159</f>
        <v>158</v>
      </c>
      <c r="B159" s="7" t="str">
        <f>Raw_Orders!B159</f>
        <v>C007</v>
      </c>
      <c r="C159" s="7" t="str">
        <f>INDEX(Raw_Customers!$B$2:$B$101,MATCH($B159,Raw_Customers!$A$2:$A$101,0))</f>
        <v>Jayant Kamdar</v>
      </c>
      <c r="D159" s="7" t="str">
        <f>TRIM(INDEX(Raw_Customers!$C$2:$C$101,MATCH($B159,Raw_Customers!$A$2:$A$101,0)))</f>
        <v>Berhampore</v>
      </c>
      <c r="E159" s="7" t="str">
        <f>"+91-"&amp;RIGHT("0000000000"&amp;INDEX(Raw_Customers!$D$2:$D$101,MATCH($B159,Raw_Customers!$A$2:$A$101,0)),10)</f>
        <v>+91-8576675504</v>
      </c>
      <c r="F159" s="7" t="str">
        <f>Raw_Orders!C159</f>
        <v>35</v>
      </c>
      <c r="G159" s="7" t="str">
        <f>INDEX(Raw_Products!$B$2:$B$71,MATCH($F159,Raw_Products!$A$2:$A$71,0))</f>
        <v>Nam Gift</v>
      </c>
      <c r="H159" s="7" t="str">
        <f>INDEX(Raw_Products!$C$2:$C$71,MATCH($F159,Raw_Products!$A$2:$A$71,0))</f>
        <v>Colors</v>
      </c>
      <c r="I159" s="7">
        <f>VALUE(Raw_Orders!D159)</f>
        <v>2</v>
      </c>
      <c r="J159" s="11" t="str">
        <f>INDEX(Raw_Products!$D$2:$D$71,MATCH($F159,Raw_Products!$A$2:$A$71,0))</f>
        <v>1865</v>
      </c>
      <c r="K159" s="11">
        <f t="shared" si="4"/>
        <v>3730</v>
      </c>
      <c r="L159" s="12">
        <f>DATE(VALUE(RIGHT(Raw_Orders!E159,4)),VALUE(MID(Raw_Orders!E159,4,2)),VALUE(LEFT(Raw_Orders!E159,2)))</f>
        <v>44988</v>
      </c>
      <c r="M159" s="12">
        <f>DATE(VALUE(RIGHT(Raw_Orders!G159,4)),VALUE(MID(Raw_Orders!G159,4,2)),VALUE(LEFT(Raw_Orders!G159,2)))</f>
        <v>44993</v>
      </c>
      <c r="N159" s="7">
        <f t="shared" si="5"/>
        <v>5</v>
      </c>
      <c r="O159" s="7" t="str">
        <f>Raw_Orders!J159</f>
        <v>Holi</v>
      </c>
      <c r="P159" s="7" t="str">
        <f>Raw_Orders!I159</f>
        <v>Medininagar</v>
      </c>
    </row>
    <row r="160" spans="1:16">
      <c r="A160" s="7" t="str">
        <f>Raw_Orders!A160</f>
        <v>159</v>
      </c>
      <c r="B160" s="7" t="str">
        <f>Raw_Orders!B160</f>
        <v>C095</v>
      </c>
      <c r="C160" s="7" t="str">
        <f>INDEX(Raw_Customers!$B$2:$B$101,MATCH($B160,Raw_Customers!$A$2:$A$101,0))</f>
        <v>Mahika Cherian</v>
      </c>
      <c r="D160" s="7" t="str">
        <f>TRIM(INDEX(Raw_Customers!$C$2:$C$101,MATCH($B160,Raw_Customers!$A$2:$A$101,0)))</f>
        <v>Warangal</v>
      </c>
      <c r="E160" s="7" t="str">
        <f>"+91-"&amp;RIGHT("0000000000"&amp;INDEX(Raw_Customers!$D$2:$D$101,MATCH($B160,Raw_Customers!$A$2:$A$101,0)),10)</f>
        <v>+91-2769457161</v>
      </c>
      <c r="F160" s="7" t="str">
        <f>Raw_Orders!C160</f>
        <v>43</v>
      </c>
      <c r="G160" s="7" t="str">
        <f>INDEX(Raw_Products!$B$2:$B$71,MATCH($F160,Raw_Products!$A$2:$A$71,0))</f>
        <v>Quisquam Pack</v>
      </c>
      <c r="H160" s="7" t="str">
        <f>INDEX(Raw_Products!$C$2:$C$71,MATCH($F160,Raw_Products!$A$2:$A$71,0))</f>
        <v>Raksha Bandhan</v>
      </c>
      <c r="I160" s="7">
        <f>VALUE(Raw_Orders!D160)</f>
        <v>3</v>
      </c>
      <c r="J160" s="11" t="str">
        <f>INDEX(Raw_Products!$D$2:$D$71,MATCH($F160,Raw_Products!$A$2:$A$71,0))</f>
        <v>750</v>
      </c>
      <c r="K160" s="11">
        <f t="shared" si="4"/>
        <v>2250</v>
      </c>
      <c r="L160" s="12">
        <f>DATE(VALUE(RIGHT(Raw_Orders!E160,4)),VALUE(MID(Raw_Orders!E160,4,2)),VALUE(LEFT(Raw_Orders!E160,2)))</f>
        <v>45239</v>
      </c>
      <c r="M160" s="12">
        <f>DATE(VALUE(RIGHT(Raw_Orders!G160,4)),VALUE(MID(Raw_Orders!G160,4,2)),VALUE(LEFT(Raw_Orders!G160,2)))</f>
        <v>45241</v>
      </c>
      <c r="N160" s="7">
        <f t="shared" si="5"/>
        <v>2</v>
      </c>
      <c r="O160" s="7" t="str">
        <f>Raw_Orders!J160</f>
        <v>Diwali</v>
      </c>
      <c r="P160" s="7" t="str">
        <f>Raw_Orders!I160</f>
        <v>Davanagere</v>
      </c>
    </row>
    <row r="161" spans="1:16">
      <c r="A161" s="7" t="str">
        <f>Raw_Orders!A161</f>
        <v>160</v>
      </c>
      <c r="B161" s="7" t="str">
        <f>Raw_Orders!B161</f>
        <v>C037</v>
      </c>
      <c r="C161" s="7" t="str">
        <f>INDEX(Raw_Customers!$B$2:$B$101,MATCH($B161,Raw_Customers!$A$2:$A$101,0))</f>
        <v>Aradhya Kumar</v>
      </c>
      <c r="D161" s="7" t="str">
        <f>TRIM(INDEX(Raw_Customers!$C$2:$C$101,MATCH($B161,Raw_Customers!$A$2:$A$101,0)))</f>
        <v>Davanagere</v>
      </c>
      <c r="E161" s="7" t="str">
        <f>"+91-"&amp;RIGHT("0000000000"&amp;INDEX(Raw_Customers!$D$2:$D$101,MATCH($B161,Raw_Customers!$A$2:$A$101,0)),10)</f>
        <v>+91-1972392634</v>
      </c>
      <c r="F161" s="7" t="str">
        <f>Raw_Orders!C161</f>
        <v>36</v>
      </c>
      <c r="G161" s="7" t="str">
        <f>INDEX(Raw_Products!$B$2:$B$71,MATCH($F161,Raw_Products!$A$2:$A$71,0))</f>
        <v>Cum Gift</v>
      </c>
      <c r="H161" s="7" t="str">
        <f>INDEX(Raw_Products!$C$2:$C$71,MATCH($F161,Raw_Products!$A$2:$A$71,0))</f>
        <v>Plants</v>
      </c>
      <c r="I161" s="7">
        <f>VALUE(Raw_Orders!D161)</f>
        <v>3</v>
      </c>
      <c r="J161" s="11" t="str">
        <f>INDEX(Raw_Products!$D$2:$D$71,MATCH($F161,Raw_Products!$A$2:$A$71,0))</f>
        <v>203</v>
      </c>
      <c r="K161" s="11">
        <f t="shared" si="4"/>
        <v>609</v>
      </c>
      <c r="L161" s="12">
        <f>DATE(VALUE(RIGHT(Raw_Orders!E161,4)),VALUE(MID(Raw_Orders!E161,4,2)),VALUE(LEFT(Raw_Orders!E161,2)))</f>
        <v>45079</v>
      </c>
      <c r="M161" s="12">
        <f>DATE(VALUE(RIGHT(Raw_Orders!G161,4)),VALUE(MID(Raw_Orders!G161,4,2)),VALUE(LEFT(Raw_Orders!G161,2)))</f>
        <v>45087</v>
      </c>
      <c r="N161" s="7">
        <f t="shared" si="5"/>
        <v>8</v>
      </c>
      <c r="O161" s="7" t="str">
        <f>Raw_Orders!J161</f>
        <v>Birthday</v>
      </c>
      <c r="P161" s="7" t="str">
        <f>Raw_Orders!I161</f>
        <v>Moradabad</v>
      </c>
    </row>
    <row r="162" spans="1:16">
      <c r="A162" s="7" t="str">
        <f>Raw_Orders!A162</f>
        <v>161</v>
      </c>
      <c r="B162" s="7" t="str">
        <f>Raw_Orders!B162</f>
        <v>C054</v>
      </c>
      <c r="C162" s="7" t="str">
        <f>INDEX(Raw_Customers!$B$2:$B$101,MATCH($B162,Raw_Customers!$A$2:$A$101,0))</f>
        <v>Umang Ahuja</v>
      </c>
      <c r="D162" s="7" t="str">
        <f>TRIM(INDEX(Raw_Customers!$C$2:$C$101,MATCH($B162,Raw_Customers!$A$2:$A$101,0)))</f>
        <v>Bidhannagar</v>
      </c>
      <c r="E162" s="7" t="str">
        <f>"+91-"&amp;RIGHT("0000000000"&amp;INDEX(Raw_Customers!$D$2:$D$101,MATCH($B162,Raw_Customers!$A$2:$A$101,0)),10)</f>
        <v>+91-7271590783</v>
      </c>
      <c r="F162" s="7" t="str">
        <f>Raw_Orders!C162</f>
        <v>58</v>
      </c>
      <c r="G162" s="7" t="str">
        <f>INDEX(Raw_Products!$B$2:$B$71,MATCH($F162,Raw_Products!$A$2:$A$71,0))</f>
        <v>Sed Pack</v>
      </c>
      <c r="H162" s="7" t="str">
        <f>INDEX(Raw_Products!$C$2:$C$71,MATCH($F162,Raw_Products!$A$2:$A$71,0))</f>
        <v>Cake</v>
      </c>
      <c r="I162" s="7">
        <f>VALUE(Raw_Orders!D162)</f>
        <v>3</v>
      </c>
      <c r="J162" s="11" t="str">
        <f>INDEX(Raw_Products!$D$2:$D$71,MATCH($F162,Raw_Products!$A$2:$A$71,0))</f>
        <v>1492</v>
      </c>
      <c r="K162" s="11">
        <f t="shared" si="4"/>
        <v>4476</v>
      </c>
      <c r="L162" s="12">
        <f>DATE(VALUE(RIGHT(Raw_Orders!E162,4)),VALUE(MID(Raw_Orders!E162,4,2)),VALUE(LEFT(Raw_Orders!E162,2)))</f>
        <v>44970</v>
      </c>
      <c r="M162" s="12">
        <f>DATE(VALUE(RIGHT(Raw_Orders!G162,4)),VALUE(MID(Raw_Orders!G162,4,2)),VALUE(LEFT(Raw_Orders!G162,2)))</f>
        <v>44971</v>
      </c>
      <c r="N162" s="7">
        <f t="shared" si="5"/>
        <v>1</v>
      </c>
      <c r="O162" s="7" t="str">
        <f>Raw_Orders!J162</f>
        <v>Valentine's Day</v>
      </c>
      <c r="P162" s="7" t="str">
        <f>Raw_Orders!I162</f>
        <v>Karaikudi</v>
      </c>
    </row>
    <row r="163" spans="1:16">
      <c r="A163" s="7" t="str">
        <f>Raw_Orders!A163</f>
        <v>162</v>
      </c>
      <c r="B163" s="7" t="str">
        <f>Raw_Orders!B163</f>
        <v>C050</v>
      </c>
      <c r="C163" s="7" t="str">
        <f>INDEX(Raw_Customers!$B$2:$B$101,MATCH($B163,Raw_Customers!$A$2:$A$101,0))</f>
        <v>Chirag Srinivas</v>
      </c>
      <c r="D163" s="7" t="str">
        <f>TRIM(INDEX(Raw_Customers!$C$2:$C$101,MATCH($B163,Raw_Customers!$A$2:$A$101,0)))</f>
        <v>Imphal</v>
      </c>
      <c r="E163" s="7" t="str">
        <f>"+91-"&amp;RIGHT("0000000000"&amp;INDEX(Raw_Customers!$D$2:$D$101,MATCH($B163,Raw_Customers!$A$2:$A$101,0)),10)</f>
        <v>+91-1157961919</v>
      </c>
      <c r="F163" s="7" t="str">
        <f>Raw_Orders!C163</f>
        <v>55</v>
      </c>
      <c r="G163" s="7" t="str">
        <f>INDEX(Raw_Products!$B$2:$B$71,MATCH($F163,Raw_Products!$A$2:$A$71,0))</f>
        <v>Dolores Gift</v>
      </c>
      <c r="H163" s="7" t="str">
        <f>INDEX(Raw_Products!$C$2:$C$71,MATCH($F163,Raw_Products!$A$2:$A$71,0))</f>
        <v>Soft Toys</v>
      </c>
      <c r="I163" s="7">
        <f>VALUE(Raw_Orders!D163)</f>
        <v>3</v>
      </c>
      <c r="J163" s="11" t="str">
        <f>INDEX(Raw_Products!$D$2:$D$71,MATCH($F163,Raw_Products!$A$2:$A$71,0))</f>
        <v>1904</v>
      </c>
      <c r="K163" s="11">
        <f t="shared" si="4"/>
        <v>5712</v>
      </c>
      <c r="L163" s="12">
        <f>DATE(VALUE(RIGHT(Raw_Orders!E163,4)),VALUE(MID(Raw_Orders!E163,4,2)),VALUE(LEFT(Raw_Orders!E163,2)))</f>
        <v>45165</v>
      </c>
      <c r="M163" s="12">
        <f>DATE(VALUE(RIGHT(Raw_Orders!G163,4)),VALUE(MID(Raw_Orders!G163,4,2)),VALUE(LEFT(Raw_Orders!G163,2)))</f>
        <v>45174</v>
      </c>
      <c r="N163" s="7">
        <f t="shared" si="5"/>
        <v>9</v>
      </c>
      <c r="O163" s="7" t="str">
        <f>Raw_Orders!J163</f>
        <v>Raksha Bandhan</v>
      </c>
      <c r="P163" s="7" t="str">
        <f>Raw_Orders!I163</f>
        <v>Barasat</v>
      </c>
    </row>
    <row r="164" spans="1:16">
      <c r="A164" s="7" t="str">
        <f>Raw_Orders!A164</f>
        <v>163</v>
      </c>
      <c r="B164" s="7" t="str">
        <f>Raw_Orders!B164</f>
        <v>C083</v>
      </c>
      <c r="C164" s="7" t="str">
        <f>INDEX(Raw_Customers!$B$2:$B$101,MATCH($B164,Raw_Customers!$A$2:$A$101,0))</f>
        <v>Aaryahi Sodhi</v>
      </c>
      <c r="D164" s="7" t="str">
        <f>TRIM(INDEX(Raw_Customers!$C$2:$C$101,MATCH($B164,Raw_Customers!$A$2:$A$101,0)))</f>
        <v>Raurkela Industrial Township</v>
      </c>
      <c r="E164" s="7" t="str">
        <f>"+91-"&amp;RIGHT("0000000000"&amp;INDEX(Raw_Customers!$D$2:$D$101,MATCH($B164,Raw_Customers!$A$2:$A$101,0)),10)</f>
        <v>+91-2690208110</v>
      </c>
      <c r="F164" s="7" t="str">
        <f>Raw_Orders!C164</f>
        <v>54</v>
      </c>
      <c r="G164" s="7" t="str">
        <f>INDEX(Raw_Products!$B$2:$B$71,MATCH($F164,Raw_Products!$A$2:$A$71,0))</f>
        <v>Occaecati Gift</v>
      </c>
      <c r="H164" s="7" t="str">
        <f>INDEX(Raw_Products!$C$2:$C$71,MATCH($F164,Raw_Products!$A$2:$A$71,0))</f>
        <v>Cake</v>
      </c>
      <c r="I164" s="7">
        <f>VALUE(Raw_Orders!D164)</f>
        <v>4</v>
      </c>
      <c r="J164" s="11" t="str">
        <f>INDEX(Raw_Products!$D$2:$D$71,MATCH($F164,Raw_Products!$A$2:$A$71,0))</f>
        <v>1236</v>
      </c>
      <c r="K164" s="11">
        <f t="shared" si="4"/>
        <v>4944</v>
      </c>
      <c r="L164" s="12">
        <f>DATE(VALUE(RIGHT(Raw_Orders!E164,4)),VALUE(MID(Raw_Orders!E164,4,2)),VALUE(LEFT(Raw_Orders!E164,2)))</f>
        <v>44974</v>
      </c>
      <c r="M164" s="12">
        <f>DATE(VALUE(RIGHT(Raw_Orders!G164,4)),VALUE(MID(Raw_Orders!G164,4,2)),VALUE(LEFT(Raw_Orders!G164,2)))</f>
        <v>44982</v>
      </c>
      <c r="N164" s="7">
        <f t="shared" si="5"/>
        <v>8</v>
      </c>
      <c r="O164" s="7" t="str">
        <f>Raw_Orders!J164</f>
        <v>Anniversary</v>
      </c>
      <c r="P164" s="7" t="str">
        <f>Raw_Orders!I164</f>
        <v>Ujjain</v>
      </c>
    </row>
    <row r="165" spans="1:16">
      <c r="A165" s="7" t="str">
        <f>Raw_Orders!A165</f>
        <v>164</v>
      </c>
      <c r="B165" s="7" t="str">
        <f>Raw_Orders!B165</f>
        <v>C063</v>
      </c>
      <c r="C165" s="7" t="str">
        <f>INDEX(Raw_Customers!$B$2:$B$101,MATCH($B165,Raw_Customers!$A$2:$A$101,0))</f>
        <v>Arhaan Ahluwalia</v>
      </c>
      <c r="D165" s="7" t="str">
        <f>TRIM(INDEX(Raw_Customers!$C$2:$C$101,MATCH($B165,Raw_Customers!$A$2:$A$101,0)))</f>
        <v>Jamnagar</v>
      </c>
      <c r="E165" s="7" t="str">
        <f>"+91-"&amp;RIGHT("0000000000"&amp;INDEX(Raw_Customers!$D$2:$D$101,MATCH($B165,Raw_Customers!$A$2:$A$101,0)),10)</f>
        <v>+91-5287021467</v>
      </c>
      <c r="F165" s="7" t="str">
        <f>Raw_Orders!C165</f>
        <v>14</v>
      </c>
      <c r="G165" s="7" t="str">
        <f>INDEX(Raw_Products!$B$2:$B$71,MATCH($F165,Raw_Products!$A$2:$A$71,0))</f>
        <v>Deserunt Box</v>
      </c>
      <c r="H165" s="7" t="str">
        <f>INDEX(Raw_Products!$C$2:$C$71,MATCH($F165,Raw_Products!$A$2:$A$71,0))</f>
        <v>Colors</v>
      </c>
      <c r="I165" s="7">
        <f>VALUE(Raw_Orders!D165)</f>
        <v>5</v>
      </c>
      <c r="J165" s="11" t="str">
        <f>INDEX(Raw_Products!$D$2:$D$71,MATCH($F165,Raw_Products!$A$2:$A$71,0))</f>
        <v>1915</v>
      </c>
      <c r="K165" s="11">
        <f t="shared" si="4"/>
        <v>9575</v>
      </c>
      <c r="L165" s="12">
        <f>DATE(VALUE(RIGHT(Raw_Orders!E165,4)),VALUE(MID(Raw_Orders!E165,4,2)),VALUE(LEFT(Raw_Orders!E165,2)))</f>
        <v>45041</v>
      </c>
      <c r="M165" s="12">
        <f>DATE(VALUE(RIGHT(Raw_Orders!G165,4)),VALUE(MID(Raw_Orders!G165,4,2)),VALUE(LEFT(Raw_Orders!G165,2)))</f>
        <v>45043</v>
      </c>
      <c r="N165" s="7">
        <f t="shared" si="5"/>
        <v>2</v>
      </c>
      <c r="O165" s="7" t="str">
        <f>Raw_Orders!J165</f>
        <v>Birthday</v>
      </c>
      <c r="P165" s="7" t="str">
        <f>Raw_Orders!I165</f>
        <v>Berhampore</v>
      </c>
    </row>
    <row r="166" spans="1:16">
      <c r="A166" s="7" t="str">
        <f>Raw_Orders!A166</f>
        <v>165</v>
      </c>
      <c r="B166" s="7" t="str">
        <f>Raw_Orders!B166</f>
        <v>C058</v>
      </c>
      <c r="C166" s="7" t="str">
        <f>INDEX(Raw_Customers!$B$2:$B$101,MATCH($B166,Raw_Customers!$A$2:$A$101,0))</f>
        <v>Charvi Kanda</v>
      </c>
      <c r="D166" s="7" t="str">
        <f>TRIM(INDEX(Raw_Customers!$C$2:$C$101,MATCH($B166,Raw_Customers!$A$2:$A$101,0)))</f>
        <v>Guntakal</v>
      </c>
      <c r="E166" s="7" t="str">
        <f>"+91-"&amp;RIGHT("0000000000"&amp;INDEX(Raw_Customers!$D$2:$D$101,MATCH($B166,Raw_Customers!$A$2:$A$101,0)),10)</f>
        <v>+91-9771604920</v>
      </c>
      <c r="F166" s="7" t="str">
        <f>Raw_Orders!C166</f>
        <v>40</v>
      </c>
      <c r="G166" s="7" t="str">
        <f>INDEX(Raw_Products!$B$2:$B$71,MATCH($F166,Raw_Products!$A$2:$A$71,0))</f>
        <v>Provident Pack</v>
      </c>
      <c r="H166" s="7" t="str">
        <f>INDEX(Raw_Products!$C$2:$C$71,MATCH($F166,Raw_Products!$A$2:$A$71,0))</f>
        <v>Sweets</v>
      </c>
      <c r="I166" s="7">
        <f>VALUE(Raw_Orders!D166)</f>
        <v>5</v>
      </c>
      <c r="J166" s="11" t="str">
        <f>INDEX(Raw_Products!$D$2:$D$71,MATCH($F166,Raw_Products!$A$2:$A$71,0))</f>
        <v>1923</v>
      </c>
      <c r="K166" s="11">
        <f t="shared" si="4"/>
        <v>9615</v>
      </c>
      <c r="L166" s="12">
        <f>DATE(VALUE(RIGHT(Raw_Orders!E166,4)),VALUE(MID(Raw_Orders!E166,4,2)),VALUE(LEFT(Raw_Orders!E166,2)))</f>
        <v>45144</v>
      </c>
      <c r="M166" s="12">
        <f>DATE(VALUE(RIGHT(Raw_Orders!G166,4)),VALUE(MID(Raw_Orders!G166,4,2)),VALUE(LEFT(Raw_Orders!G166,2)))</f>
        <v>45148</v>
      </c>
      <c r="N166" s="7">
        <f t="shared" si="5"/>
        <v>4</v>
      </c>
      <c r="O166" s="7" t="str">
        <f>Raw_Orders!J166</f>
        <v>Anniversary</v>
      </c>
      <c r="P166" s="7" t="str">
        <f>Raw_Orders!I166</f>
        <v>Lucknow</v>
      </c>
    </row>
    <row r="167" spans="1:16">
      <c r="A167" s="7" t="str">
        <f>Raw_Orders!A167</f>
        <v>166</v>
      </c>
      <c r="B167" s="7" t="str">
        <f>Raw_Orders!B167</f>
        <v>C035</v>
      </c>
      <c r="C167" s="7" t="str">
        <f>INDEX(Raw_Customers!$B$2:$B$101,MATCH($B167,Raw_Customers!$A$2:$A$101,0))</f>
        <v>Ira Sarna</v>
      </c>
      <c r="D167" s="7" t="str">
        <f>TRIM(INDEX(Raw_Customers!$C$2:$C$101,MATCH($B167,Raw_Customers!$A$2:$A$101,0)))</f>
        <v>Vellore</v>
      </c>
      <c r="E167" s="7" t="str">
        <f>"+91-"&amp;RIGHT("0000000000"&amp;INDEX(Raw_Customers!$D$2:$D$101,MATCH($B167,Raw_Customers!$A$2:$A$101,0)),10)</f>
        <v>+91-6899648374</v>
      </c>
      <c r="F167" s="7" t="str">
        <f>Raw_Orders!C167</f>
        <v>4</v>
      </c>
      <c r="G167" s="7" t="str">
        <f>INDEX(Raw_Products!$B$2:$B$71,MATCH($F167,Raw_Products!$A$2:$A$71,0))</f>
        <v>Accusantium Set</v>
      </c>
      <c r="H167" s="7" t="str">
        <f>INDEX(Raw_Products!$C$2:$C$71,MATCH($F167,Raw_Products!$A$2:$A$71,0))</f>
        <v>Sweets</v>
      </c>
      <c r="I167" s="7">
        <f>VALUE(Raw_Orders!D167)</f>
        <v>3</v>
      </c>
      <c r="J167" s="11" t="str">
        <f>INDEX(Raw_Products!$D$2:$D$71,MATCH($F167,Raw_Products!$A$2:$A$71,0))</f>
        <v>1199</v>
      </c>
      <c r="K167" s="11">
        <f t="shared" si="4"/>
        <v>3597</v>
      </c>
      <c r="L167" s="12">
        <f>DATE(VALUE(RIGHT(Raw_Orders!E167,4)),VALUE(MID(Raw_Orders!E167,4,2)),VALUE(LEFT(Raw_Orders!E167,2)))</f>
        <v>45237</v>
      </c>
      <c r="M167" s="12">
        <f>DATE(VALUE(RIGHT(Raw_Orders!G167,4)),VALUE(MID(Raw_Orders!G167,4,2)),VALUE(LEFT(Raw_Orders!G167,2)))</f>
        <v>45240</v>
      </c>
      <c r="N167" s="7">
        <f t="shared" si="5"/>
        <v>3</v>
      </c>
      <c r="O167" s="7" t="str">
        <f>Raw_Orders!J167</f>
        <v>Diwali</v>
      </c>
      <c r="P167" s="7" t="str">
        <f>Raw_Orders!I167</f>
        <v>Madanapalle</v>
      </c>
    </row>
    <row r="168" spans="1:16">
      <c r="A168" s="7" t="str">
        <f>Raw_Orders!A168</f>
        <v>167</v>
      </c>
      <c r="B168" s="7" t="str">
        <f>Raw_Orders!B168</f>
        <v>C019</v>
      </c>
      <c r="C168" s="7" t="str">
        <f>INDEX(Raw_Customers!$B$2:$B$101,MATCH($B168,Raw_Customers!$A$2:$A$101,0))</f>
        <v>Amira Sengupta</v>
      </c>
      <c r="D168" s="7" t="str">
        <f>TRIM(INDEX(Raw_Customers!$C$2:$C$101,MATCH($B168,Raw_Customers!$A$2:$A$101,0)))</f>
        <v>Danapur</v>
      </c>
      <c r="E168" s="7" t="str">
        <f>"+91-"&amp;RIGHT("0000000000"&amp;INDEX(Raw_Customers!$D$2:$D$101,MATCH($B168,Raw_Customers!$A$2:$A$101,0)),10)</f>
        <v>+91-4513393592</v>
      </c>
      <c r="F168" s="7" t="str">
        <f>Raw_Orders!C168</f>
        <v>37</v>
      </c>
      <c r="G168" s="7" t="str">
        <f>INDEX(Raw_Products!$B$2:$B$71,MATCH($F168,Raw_Products!$A$2:$A$71,0))</f>
        <v>Officiis Pack</v>
      </c>
      <c r="H168" s="7" t="str">
        <f>INDEX(Raw_Products!$C$2:$C$71,MATCH($F168,Raw_Products!$A$2:$A$71,0))</f>
        <v>Colors</v>
      </c>
      <c r="I168" s="7">
        <f>VALUE(Raw_Orders!D168)</f>
        <v>4</v>
      </c>
      <c r="J168" s="11" t="str">
        <f>INDEX(Raw_Products!$D$2:$D$71,MATCH($F168,Raw_Products!$A$2:$A$71,0))</f>
        <v>1428</v>
      </c>
      <c r="K168" s="11">
        <f t="shared" si="4"/>
        <v>5712</v>
      </c>
      <c r="L168" s="12">
        <f>DATE(VALUE(RIGHT(Raw_Orders!E168,4)),VALUE(MID(Raw_Orders!E168,4,2)),VALUE(LEFT(Raw_Orders!E168,2)))</f>
        <v>45234</v>
      </c>
      <c r="M168" s="12">
        <f>DATE(VALUE(RIGHT(Raw_Orders!G168,4)),VALUE(MID(Raw_Orders!G168,4,2)),VALUE(LEFT(Raw_Orders!G168,2)))</f>
        <v>45237</v>
      </c>
      <c r="N168" s="7">
        <f t="shared" si="5"/>
        <v>3</v>
      </c>
      <c r="O168" s="7" t="str">
        <f>Raw_Orders!J168</f>
        <v>Diwali</v>
      </c>
      <c r="P168" s="7" t="str">
        <f>Raw_Orders!I168</f>
        <v>Nangloi Jat</v>
      </c>
    </row>
    <row r="169" spans="1:16">
      <c r="A169" s="7" t="str">
        <f>Raw_Orders!A169</f>
        <v>168</v>
      </c>
      <c r="B169" s="7" t="str">
        <f>Raw_Orders!B169</f>
        <v>C092</v>
      </c>
      <c r="C169" s="7" t="str">
        <f>INDEX(Raw_Customers!$B$2:$B$101,MATCH($B169,Raw_Customers!$A$2:$A$101,0))</f>
        <v>Zoya Mani</v>
      </c>
      <c r="D169" s="7" t="str">
        <f>TRIM(INDEX(Raw_Customers!$C$2:$C$101,MATCH($B169,Raw_Customers!$A$2:$A$101,0)))</f>
        <v>Dibrugarh</v>
      </c>
      <c r="E169" s="7" t="str">
        <f>"+91-"&amp;RIGHT("0000000000"&amp;INDEX(Raw_Customers!$D$2:$D$101,MATCH($B169,Raw_Customers!$A$2:$A$101,0)),10)</f>
        <v>+91-8918356963</v>
      </c>
      <c r="F169" s="7" t="str">
        <f>Raw_Orders!C169</f>
        <v>35</v>
      </c>
      <c r="G169" s="7" t="str">
        <f>INDEX(Raw_Products!$B$2:$B$71,MATCH($F169,Raw_Products!$A$2:$A$71,0))</f>
        <v>Nam Gift</v>
      </c>
      <c r="H169" s="7" t="str">
        <f>INDEX(Raw_Products!$C$2:$C$71,MATCH($F169,Raw_Products!$A$2:$A$71,0))</f>
        <v>Colors</v>
      </c>
      <c r="I169" s="7">
        <f>VALUE(Raw_Orders!D169)</f>
        <v>2</v>
      </c>
      <c r="J169" s="11" t="str">
        <f>INDEX(Raw_Products!$D$2:$D$71,MATCH($F169,Raw_Products!$A$2:$A$71,0))</f>
        <v>1865</v>
      </c>
      <c r="K169" s="11">
        <f t="shared" si="4"/>
        <v>3730</v>
      </c>
      <c r="L169" s="12">
        <f>DATE(VALUE(RIGHT(Raw_Orders!E169,4)),VALUE(MID(Raw_Orders!E169,4,2)),VALUE(LEFT(Raw_Orders!E169,2)))</f>
        <v>44989</v>
      </c>
      <c r="M169" s="12">
        <f>DATE(VALUE(RIGHT(Raw_Orders!G169,4)),VALUE(MID(Raw_Orders!G169,4,2)),VALUE(LEFT(Raw_Orders!G169,2)))</f>
        <v>44992</v>
      </c>
      <c r="N169" s="7">
        <f t="shared" si="5"/>
        <v>3</v>
      </c>
      <c r="O169" s="7" t="str">
        <f>Raw_Orders!J169</f>
        <v>Holi</v>
      </c>
      <c r="P169" s="7" t="str">
        <f>Raw_Orders!I169</f>
        <v>Bidar</v>
      </c>
    </row>
    <row r="170" spans="1:16">
      <c r="A170" s="7" t="str">
        <f>Raw_Orders!A170</f>
        <v>169</v>
      </c>
      <c r="B170" s="7" t="str">
        <f>Raw_Orders!B170</f>
        <v>C051</v>
      </c>
      <c r="C170" s="7" t="str">
        <f>INDEX(Raw_Customers!$B$2:$B$101,MATCH($B170,Raw_Customers!$A$2:$A$101,0))</f>
        <v>Aradhya Batta</v>
      </c>
      <c r="D170" s="7" t="str">
        <f>TRIM(INDEX(Raw_Customers!$C$2:$C$101,MATCH($B170,Raw_Customers!$A$2:$A$101,0)))</f>
        <v>Kota</v>
      </c>
      <c r="E170" s="7" t="str">
        <f>"+91-"&amp;RIGHT("0000000000"&amp;INDEX(Raw_Customers!$D$2:$D$101,MATCH($B170,Raw_Customers!$A$2:$A$101,0)),10)</f>
        <v>+91-1200621501</v>
      </c>
      <c r="F170" s="7" t="str">
        <f>Raw_Orders!C170</f>
        <v>3</v>
      </c>
      <c r="G170" s="7" t="str">
        <f>INDEX(Raw_Products!$B$2:$B$71,MATCH($F170,Raw_Products!$A$2:$A$71,0))</f>
        <v>Eius Gift</v>
      </c>
      <c r="H170" s="7" t="str">
        <f>INDEX(Raw_Products!$C$2:$C$71,MATCH($F170,Raw_Products!$A$2:$A$71,0))</f>
        <v>Colors</v>
      </c>
      <c r="I170" s="7">
        <f>VALUE(Raw_Orders!D170)</f>
        <v>2</v>
      </c>
      <c r="J170" s="11" t="str">
        <f>INDEX(Raw_Products!$D$2:$D$71,MATCH($F170,Raw_Products!$A$2:$A$71,0))</f>
        <v>1534</v>
      </c>
      <c r="K170" s="11">
        <f t="shared" si="4"/>
        <v>3068</v>
      </c>
      <c r="L170" s="12">
        <f>DATE(VALUE(RIGHT(Raw_Orders!E170,4)),VALUE(MID(Raw_Orders!E170,4,2)),VALUE(LEFT(Raw_Orders!E170,2)))</f>
        <v>44963</v>
      </c>
      <c r="M170" s="12">
        <f>DATE(VALUE(RIGHT(Raw_Orders!G170,4)),VALUE(MID(Raw_Orders!G170,4,2)),VALUE(LEFT(Raw_Orders!G170,2)))</f>
        <v>44973</v>
      </c>
      <c r="N170" s="7">
        <f t="shared" si="5"/>
        <v>10</v>
      </c>
      <c r="O170" s="7" t="str">
        <f>Raw_Orders!J170</f>
        <v>Valentine's Day</v>
      </c>
      <c r="P170" s="7" t="str">
        <f>Raw_Orders!I170</f>
        <v>Shivpuri</v>
      </c>
    </row>
    <row r="171" spans="1:16">
      <c r="A171" s="7" t="str">
        <f>Raw_Orders!A171</f>
        <v>170</v>
      </c>
      <c r="B171" s="7" t="str">
        <f>Raw_Orders!B171</f>
        <v>C040</v>
      </c>
      <c r="C171" s="7" t="str">
        <f>INDEX(Raw_Customers!$B$2:$B$101,MATCH($B171,Raw_Customers!$A$2:$A$101,0))</f>
        <v>Hazel Mangat</v>
      </c>
      <c r="D171" s="7" t="str">
        <f>TRIM(INDEX(Raw_Customers!$C$2:$C$101,MATCH($B171,Raw_Customers!$A$2:$A$101,0)))</f>
        <v>Pallavaram</v>
      </c>
      <c r="E171" s="7" t="str">
        <f>"+91-"&amp;RIGHT("0000000000"&amp;INDEX(Raw_Customers!$D$2:$D$101,MATCH($B171,Raw_Customers!$A$2:$A$101,0)),10)</f>
        <v>+91-8810621361</v>
      </c>
      <c r="F171" s="7" t="str">
        <f>Raw_Orders!C171</f>
        <v>32</v>
      </c>
      <c r="G171" s="7" t="str">
        <f>INDEX(Raw_Products!$B$2:$B$71,MATCH($F171,Raw_Products!$A$2:$A$71,0))</f>
        <v>Fuga Set</v>
      </c>
      <c r="H171" s="7" t="str">
        <f>INDEX(Raw_Products!$C$2:$C$71,MATCH($F171,Raw_Products!$A$2:$A$71,0))</f>
        <v>Soft Toys</v>
      </c>
      <c r="I171" s="7">
        <f>VALUE(Raw_Orders!D171)</f>
        <v>2</v>
      </c>
      <c r="J171" s="11" t="str">
        <f>INDEX(Raw_Products!$D$2:$D$71,MATCH($F171,Raw_Products!$A$2:$A$71,0))</f>
        <v>1792</v>
      </c>
      <c r="K171" s="11">
        <f t="shared" si="4"/>
        <v>3584</v>
      </c>
      <c r="L171" s="12">
        <f>DATE(VALUE(RIGHT(Raw_Orders!E171,4)),VALUE(MID(Raw_Orders!E171,4,2)),VALUE(LEFT(Raw_Orders!E171,2)))</f>
        <v>45006</v>
      </c>
      <c r="M171" s="12">
        <f>DATE(VALUE(RIGHT(Raw_Orders!G171,4)),VALUE(MID(Raw_Orders!G171,4,2)),VALUE(LEFT(Raw_Orders!G171,2)))</f>
        <v>45012</v>
      </c>
      <c r="N171" s="7">
        <f t="shared" si="5"/>
        <v>6</v>
      </c>
      <c r="O171" s="7" t="str">
        <f>Raw_Orders!J171</f>
        <v>Birthday</v>
      </c>
      <c r="P171" s="7" t="str">
        <f>Raw_Orders!I171</f>
        <v>Kamarhati</v>
      </c>
    </row>
    <row r="172" spans="1:16">
      <c r="A172" s="7" t="str">
        <f>Raw_Orders!A172</f>
        <v>171</v>
      </c>
      <c r="B172" s="7" t="str">
        <f>Raw_Orders!B172</f>
        <v>C071</v>
      </c>
      <c r="C172" s="7" t="str">
        <f>INDEX(Raw_Customers!$B$2:$B$101,MATCH($B172,Raw_Customers!$A$2:$A$101,0))</f>
        <v>Purab Sheth</v>
      </c>
      <c r="D172" s="7" t="str">
        <f>TRIM(INDEX(Raw_Customers!$C$2:$C$101,MATCH($B172,Raw_Customers!$A$2:$A$101,0)))</f>
        <v>Tiruppur</v>
      </c>
      <c r="E172" s="7" t="str">
        <f>"+91-"&amp;RIGHT("0000000000"&amp;INDEX(Raw_Customers!$D$2:$D$101,MATCH($B172,Raw_Customers!$A$2:$A$101,0)),10)</f>
        <v>+91-8410472405</v>
      </c>
      <c r="F172" s="7" t="str">
        <f>Raw_Orders!C172</f>
        <v>54</v>
      </c>
      <c r="G172" s="7" t="str">
        <f>INDEX(Raw_Products!$B$2:$B$71,MATCH($F172,Raw_Products!$A$2:$A$71,0))</f>
        <v>Occaecati Gift</v>
      </c>
      <c r="H172" s="7" t="str">
        <f>INDEX(Raw_Products!$C$2:$C$71,MATCH($F172,Raw_Products!$A$2:$A$71,0))</f>
        <v>Cake</v>
      </c>
      <c r="I172" s="7">
        <f>VALUE(Raw_Orders!D172)</f>
        <v>3</v>
      </c>
      <c r="J172" s="11" t="str">
        <f>INDEX(Raw_Products!$D$2:$D$71,MATCH($F172,Raw_Products!$A$2:$A$71,0))</f>
        <v>1236</v>
      </c>
      <c r="K172" s="11">
        <f t="shared" si="4"/>
        <v>3708</v>
      </c>
      <c r="L172" s="12">
        <f>DATE(VALUE(RIGHT(Raw_Orders!E172,4)),VALUE(MID(Raw_Orders!E172,4,2)),VALUE(LEFT(Raw_Orders!E172,2)))</f>
        <v>45107</v>
      </c>
      <c r="M172" s="12">
        <f>DATE(VALUE(RIGHT(Raw_Orders!G172,4)),VALUE(MID(Raw_Orders!G172,4,2)),VALUE(LEFT(Raw_Orders!G172,2)))</f>
        <v>45115</v>
      </c>
      <c r="N172" s="7">
        <f t="shared" si="5"/>
        <v>8</v>
      </c>
      <c r="O172" s="7" t="str">
        <f>Raw_Orders!J172</f>
        <v>Anniversary</v>
      </c>
      <c r="P172" s="7" t="str">
        <f>Raw_Orders!I172</f>
        <v>Tiruvottiyur</v>
      </c>
    </row>
    <row r="173" spans="1:16">
      <c r="A173" s="7" t="str">
        <f>Raw_Orders!A173</f>
        <v>172</v>
      </c>
      <c r="B173" s="7" t="str">
        <f>Raw_Orders!B173</f>
        <v>C070</v>
      </c>
      <c r="C173" s="7" t="str">
        <f>INDEX(Raw_Customers!$B$2:$B$101,MATCH($B173,Raw_Customers!$A$2:$A$101,0))</f>
        <v>Emir Gokhale</v>
      </c>
      <c r="D173" s="7" t="str">
        <f>TRIM(INDEX(Raw_Customers!$C$2:$C$101,MATCH($B173,Raw_Customers!$A$2:$A$101,0)))</f>
        <v>Bhatpara</v>
      </c>
      <c r="E173" s="7" t="str">
        <f>"+91-"&amp;RIGHT("0000000000"&amp;INDEX(Raw_Customers!$D$2:$D$101,MATCH($B173,Raw_Customers!$A$2:$A$101,0)),10)</f>
        <v>+91-3859920805</v>
      </c>
      <c r="F173" s="7" t="str">
        <f>Raw_Orders!C173</f>
        <v>62</v>
      </c>
      <c r="G173" s="7" t="str">
        <f>INDEX(Raw_Products!$B$2:$B$71,MATCH($F173,Raw_Products!$A$2:$A$71,0))</f>
        <v>Sed Set</v>
      </c>
      <c r="H173" s="7" t="str">
        <f>INDEX(Raw_Products!$C$2:$C$71,MATCH($F173,Raw_Products!$A$2:$A$71,0))</f>
        <v>Colors</v>
      </c>
      <c r="I173" s="7">
        <f>VALUE(Raw_Orders!D173)</f>
        <v>4</v>
      </c>
      <c r="J173" s="11" t="str">
        <f>INDEX(Raw_Products!$D$2:$D$71,MATCH($F173,Raw_Products!$A$2:$A$71,0))</f>
        <v>1356</v>
      </c>
      <c r="K173" s="11">
        <f t="shared" si="4"/>
        <v>5424</v>
      </c>
      <c r="L173" s="12">
        <f>DATE(VALUE(RIGHT(Raw_Orders!E173,4)),VALUE(MID(Raw_Orders!E173,4,2)),VALUE(LEFT(Raw_Orders!E173,2)))</f>
        <v>44988</v>
      </c>
      <c r="M173" s="12">
        <f>DATE(VALUE(RIGHT(Raw_Orders!G173,4)),VALUE(MID(Raw_Orders!G173,4,2)),VALUE(LEFT(Raw_Orders!G173,2)))</f>
        <v>44993</v>
      </c>
      <c r="N173" s="7">
        <f t="shared" si="5"/>
        <v>5</v>
      </c>
      <c r="O173" s="7" t="str">
        <f>Raw_Orders!J173</f>
        <v>Holi</v>
      </c>
      <c r="P173" s="7" t="str">
        <f>Raw_Orders!I173</f>
        <v>Patiala</v>
      </c>
    </row>
    <row r="174" spans="1:16">
      <c r="A174" s="7" t="str">
        <f>Raw_Orders!A174</f>
        <v>173</v>
      </c>
      <c r="B174" s="7" t="str">
        <f>Raw_Orders!B174</f>
        <v>C072</v>
      </c>
      <c r="C174" s="7" t="str">
        <f>INDEX(Raw_Customers!$B$2:$B$101,MATCH($B174,Raw_Customers!$A$2:$A$101,0))</f>
        <v>Charvi Karnik</v>
      </c>
      <c r="D174" s="7" t="str">
        <f>TRIM(INDEX(Raw_Customers!$C$2:$C$101,MATCH($B174,Raw_Customers!$A$2:$A$101,0)))</f>
        <v>Hyderabad</v>
      </c>
      <c r="E174" s="7" t="str">
        <f>"+91-"&amp;RIGHT("0000000000"&amp;INDEX(Raw_Customers!$D$2:$D$101,MATCH($B174,Raw_Customers!$A$2:$A$101,0)),10)</f>
        <v>+91-7573085232</v>
      </c>
      <c r="F174" s="7" t="str">
        <f>Raw_Orders!C174</f>
        <v>58</v>
      </c>
      <c r="G174" s="7" t="str">
        <f>INDEX(Raw_Products!$B$2:$B$71,MATCH($F174,Raw_Products!$A$2:$A$71,0))</f>
        <v>Sed Pack</v>
      </c>
      <c r="H174" s="7" t="str">
        <f>INDEX(Raw_Products!$C$2:$C$71,MATCH($F174,Raw_Products!$A$2:$A$71,0))</f>
        <v>Cake</v>
      </c>
      <c r="I174" s="7">
        <f>VALUE(Raw_Orders!D174)</f>
        <v>2</v>
      </c>
      <c r="J174" s="11" t="str">
        <f>INDEX(Raw_Products!$D$2:$D$71,MATCH($F174,Raw_Products!$A$2:$A$71,0))</f>
        <v>1492</v>
      </c>
      <c r="K174" s="11">
        <f t="shared" si="4"/>
        <v>2984</v>
      </c>
      <c r="L174" s="12">
        <f>DATE(VALUE(RIGHT(Raw_Orders!E174,4)),VALUE(MID(Raw_Orders!E174,4,2)),VALUE(LEFT(Raw_Orders!E174,2)))</f>
        <v>44964</v>
      </c>
      <c r="M174" s="12">
        <f>DATE(VALUE(RIGHT(Raw_Orders!G174,4)),VALUE(MID(Raw_Orders!G174,4,2)),VALUE(LEFT(Raw_Orders!G174,2)))</f>
        <v>44970</v>
      </c>
      <c r="N174" s="7">
        <f t="shared" si="5"/>
        <v>6</v>
      </c>
      <c r="O174" s="7" t="str">
        <f>Raw_Orders!J174</f>
        <v>Valentine's Day</v>
      </c>
      <c r="P174" s="7" t="str">
        <f>Raw_Orders!I174</f>
        <v>Deoghar</v>
      </c>
    </row>
    <row r="175" spans="1:16">
      <c r="A175" s="7" t="str">
        <f>Raw_Orders!A175</f>
        <v>174</v>
      </c>
      <c r="B175" s="7" t="str">
        <f>Raw_Orders!B175</f>
        <v>C048</v>
      </c>
      <c r="C175" s="7" t="str">
        <f>INDEX(Raw_Customers!$B$2:$B$101,MATCH($B175,Raw_Customers!$A$2:$A$101,0))</f>
        <v>Aradhya Kale</v>
      </c>
      <c r="D175" s="7" t="str">
        <f>TRIM(INDEX(Raw_Customers!$C$2:$C$101,MATCH($B175,Raw_Customers!$A$2:$A$101,0)))</f>
        <v>Guntakal</v>
      </c>
      <c r="E175" s="7" t="str">
        <f>"+91-"&amp;RIGHT("0000000000"&amp;INDEX(Raw_Customers!$D$2:$D$101,MATCH($B175,Raw_Customers!$A$2:$A$101,0)),10)</f>
        <v>+91-7979926231</v>
      </c>
      <c r="F175" s="7" t="str">
        <f>Raw_Orders!C175</f>
        <v>4</v>
      </c>
      <c r="G175" s="7" t="str">
        <f>INDEX(Raw_Products!$B$2:$B$71,MATCH($F175,Raw_Products!$A$2:$A$71,0))</f>
        <v>Accusantium Set</v>
      </c>
      <c r="H175" s="7" t="str">
        <f>INDEX(Raw_Products!$C$2:$C$71,MATCH($F175,Raw_Products!$A$2:$A$71,0))</f>
        <v>Sweets</v>
      </c>
      <c r="I175" s="7">
        <f>VALUE(Raw_Orders!D175)</f>
        <v>3</v>
      </c>
      <c r="J175" s="11" t="str">
        <f>INDEX(Raw_Products!$D$2:$D$71,MATCH($F175,Raw_Products!$A$2:$A$71,0))</f>
        <v>1199</v>
      </c>
      <c r="K175" s="11">
        <f t="shared" si="4"/>
        <v>3597</v>
      </c>
      <c r="L175" s="12">
        <f>DATE(VALUE(RIGHT(Raw_Orders!E175,4)),VALUE(MID(Raw_Orders!E175,4,2)),VALUE(LEFT(Raw_Orders!E175,2)))</f>
        <v>45233</v>
      </c>
      <c r="M175" s="12">
        <f>DATE(VALUE(RIGHT(Raw_Orders!G175,4)),VALUE(MID(Raw_Orders!G175,4,2)),VALUE(LEFT(Raw_Orders!G175,2)))</f>
        <v>45243</v>
      </c>
      <c r="N175" s="7">
        <f t="shared" si="5"/>
        <v>10</v>
      </c>
      <c r="O175" s="7" t="str">
        <f>Raw_Orders!J175</f>
        <v>Diwali</v>
      </c>
      <c r="P175" s="7" t="str">
        <f>Raw_Orders!I175</f>
        <v>Malda</v>
      </c>
    </row>
    <row r="176" spans="1:16">
      <c r="A176" s="7" t="str">
        <f>Raw_Orders!A176</f>
        <v>175</v>
      </c>
      <c r="B176" s="7" t="str">
        <f>Raw_Orders!B176</f>
        <v>C042</v>
      </c>
      <c r="C176" s="7" t="str">
        <f>INDEX(Raw_Customers!$B$2:$B$101,MATCH($B176,Raw_Customers!$A$2:$A$101,0))</f>
        <v>Eshani Sharma</v>
      </c>
      <c r="D176" s="7" t="str">
        <f>TRIM(INDEX(Raw_Customers!$C$2:$C$101,MATCH($B176,Raw_Customers!$A$2:$A$101,0)))</f>
        <v>Ajmer</v>
      </c>
      <c r="E176" s="7" t="str">
        <f>"+91-"&amp;RIGHT("0000000000"&amp;INDEX(Raw_Customers!$D$2:$D$101,MATCH($B176,Raw_Customers!$A$2:$A$101,0)),10)</f>
        <v>+91-6843169694</v>
      </c>
      <c r="F176" s="7" t="str">
        <f>Raw_Orders!C176</f>
        <v>31</v>
      </c>
      <c r="G176" s="7" t="str">
        <f>INDEX(Raw_Products!$B$2:$B$71,MATCH($F176,Raw_Products!$A$2:$A$71,0))</f>
        <v>Nihil Box</v>
      </c>
      <c r="H176" s="7" t="str">
        <f>INDEX(Raw_Products!$C$2:$C$71,MATCH($F176,Raw_Products!$A$2:$A$71,0))</f>
        <v>Colors</v>
      </c>
      <c r="I176" s="7">
        <f>VALUE(Raw_Orders!D176)</f>
        <v>1</v>
      </c>
      <c r="J176" s="11" t="str">
        <f>INDEX(Raw_Products!$D$2:$D$71,MATCH($F176,Raw_Products!$A$2:$A$71,0))</f>
        <v>1804</v>
      </c>
      <c r="K176" s="11">
        <f t="shared" si="4"/>
        <v>1804</v>
      </c>
      <c r="L176" s="12">
        <f>DATE(VALUE(RIGHT(Raw_Orders!E176,4)),VALUE(MID(Raw_Orders!E176,4,2)),VALUE(LEFT(Raw_Orders!E176,2)))</f>
        <v>45212</v>
      </c>
      <c r="M176" s="12">
        <f>DATE(VALUE(RIGHT(Raw_Orders!G176,4)),VALUE(MID(Raw_Orders!G176,4,2)),VALUE(LEFT(Raw_Orders!G176,2)))</f>
        <v>45219</v>
      </c>
      <c r="N176" s="7">
        <f t="shared" si="5"/>
        <v>7</v>
      </c>
      <c r="O176" s="7" t="str">
        <f>Raw_Orders!J176</f>
        <v>All Occasions</v>
      </c>
      <c r="P176" s="7" t="str">
        <f>Raw_Orders!I176</f>
        <v>Navi Mumbai</v>
      </c>
    </row>
    <row r="177" spans="1:16">
      <c r="A177" s="7" t="str">
        <f>Raw_Orders!A177</f>
        <v>176</v>
      </c>
      <c r="B177" s="7" t="str">
        <f>Raw_Orders!B177</f>
        <v>C039</v>
      </c>
      <c r="C177" s="7" t="str">
        <f>INDEX(Raw_Customers!$B$2:$B$101,MATCH($B177,Raw_Customers!$A$2:$A$101,0))</f>
        <v>Kaira Bahl</v>
      </c>
      <c r="D177" s="7" t="str">
        <f>TRIM(INDEX(Raw_Customers!$C$2:$C$101,MATCH($B177,Raw_Customers!$A$2:$A$101,0)))</f>
        <v>Kamarhati</v>
      </c>
      <c r="E177" s="7" t="str">
        <f>"+91-"&amp;RIGHT("0000000000"&amp;INDEX(Raw_Customers!$D$2:$D$101,MATCH($B177,Raw_Customers!$A$2:$A$101,0)),10)</f>
        <v>+91-8804850295</v>
      </c>
      <c r="F177" s="7" t="str">
        <f>Raw_Orders!C177</f>
        <v>17</v>
      </c>
      <c r="G177" s="7" t="str">
        <f>INDEX(Raw_Products!$B$2:$B$71,MATCH($F177,Raw_Products!$A$2:$A$71,0))</f>
        <v>Delectus Gift</v>
      </c>
      <c r="H177" s="7" t="str">
        <f>INDEX(Raw_Products!$C$2:$C$71,MATCH($F177,Raw_Products!$A$2:$A$71,0))</f>
        <v>Soft Toys</v>
      </c>
      <c r="I177" s="7">
        <f>VALUE(Raw_Orders!D177)</f>
        <v>2</v>
      </c>
      <c r="J177" s="11" t="str">
        <f>INDEX(Raw_Products!$D$2:$D$71,MATCH($F177,Raw_Products!$A$2:$A$71,0))</f>
        <v>1899</v>
      </c>
      <c r="K177" s="11">
        <f t="shared" si="4"/>
        <v>3798</v>
      </c>
      <c r="L177" s="12">
        <f>DATE(VALUE(RIGHT(Raw_Orders!E177,4)),VALUE(MID(Raw_Orders!E177,4,2)),VALUE(LEFT(Raw_Orders!E177,2)))</f>
        <v>44995</v>
      </c>
      <c r="M177" s="12">
        <f>DATE(VALUE(RIGHT(Raw_Orders!G177,4)),VALUE(MID(Raw_Orders!G177,4,2)),VALUE(LEFT(Raw_Orders!G177,2)))</f>
        <v>45001</v>
      </c>
      <c r="N177" s="7">
        <f t="shared" si="5"/>
        <v>6</v>
      </c>
      <c r="O177" s="7" t="str">
        <f>Raw_Orders!J177</f>
        <v>Anniversary</v>
      </c>
      <c r="P177" s="7" t="str">
        <f>Raw_Orders!I177</f>
        <v>Moradabad</v>
      </c>
    </row>
    <row r="178" spans="1:16">
      <c r="A178" s="7" t="str">
        <f>Raw_Orders!A178</f>
        <v>177</v>
      </c>
      <c r="B178" s="7" t="str">
        <f>Raw_Orders!B178</f>
        <v>C085</v>
      </c>
      <c r="C178" s="7" t="str">
        <f>INDEX(Raw_Customers!$B$2:$B$101,MATCH($B178,Raw_Customers!$A$2:$A$101,0))</f>
        <v>Bhamini Johal</v>
      </c>
      <c r="D178" s="7" t="str">
        <f>TRIM(INDEX(Raw_Customers!$C$2:$C$101,MATCH($B178,Raw_Customers!$A$2:$A$101,0)))</f>
        <v>Raipur</v>
      </c>
      <c r="E178" s="7" t="str">
        <f>"+91-"&amp;RIGHT("0000000000"&amp;INDEX(Raw_Customers!$D$2:$D$101,MATCH($B178,Raw_Customers!$A$2:$A$101,0)),10)</f>
        <v>+91-3129106402</v>
      </c>
      <c r="F178" s="7" t="str">
        <f>Raw_Orders!C178</f>
        <v>62</v>
      </c>
      <c r="G178" s="7" t="str">
        <f>INDEX(Raw_Products!$B$2:$B$71,MATCH($F178,Raw_Products!$A$2:$A$71,0))</f>
        <v>Sed Set</v>
      </c>
      <c r="H178" s="7" t="str">
        <f>INDEX(Raw_Products!$C$2:$C$71,MATCH($F178,Raw_Products!$A$2:$A$71,0))</f>
        <v>Colors</v>
      </c>
      <c r="I178" s="7">
        <f>VALUE(Raw_Orders!D178)</f>
        <v>4</v>
      </c>
      <c r="J178" s="11" t="str">
        <f>INDEX(Raw_Products!$D$2:$D$71,MATCH($F178,Raw_Products!$A$2:$A$71,0))</f>
        <v>1356</v>
      </c>
      <c r="K178" s="11">
        <f t="shared" si="4"/>
        <v>5424</v>
      </c>
      <c r="L178" s="12">
        <f>DATE(VALUE(RIGHT(Raw_Orders!E178,4)),VALUE(MID(Raw_Orders!E178,4,2)),VALUE(LEFT(Raw_Orders!E178,2)))</f>
        <v>44990</v>
      </c>
      <c r="M178" s="12">
        <f>DATE(VALUE(RIGHT(Raw_Orders!G178,4)),VALUE(MID(Raw_Orders!G178,4,2)),VALUE(LEFT(Raw_Orders!G178,2)))</f>
        <v>44992</v>
      </c>
      <c r="N178" s="7">
        <f t="shared" si="5"/>
        <v>2</v>
      </c>
      <c r="O178" s="7" t="str">
        <f>Raw_Orders!J178</f>
        <v>Holi</v>
      </c>
      <c r="P178" s="7" t="str">
        <f>Raw_Orders!I178</f>
        <v>Satara</v>
      </c>
    </row>
    <row r="179" spans="1:16">
      <c r="A179" s="7" t="str">
        <f>Raw_Orders!A179</f>
        <v>178</v>
      </c>
      <c r="B179" s="7" t="str">
        <f>Raw_Orders!B179</f>
        <v>C097</v>
      </c>
      <c r="C179" s="7" t="str">
        <f>INDEX(Raw_Customers!$B$2:$B$101,MATCH($B179,Raw_Customers!$A$2:$A$101,0))</f>
        <v>Nakul Randhawa</v>
      </c>
      <c r="D179" s="7" t="str">
        <f>TRIM(INDEX(Raw_Customers!$C$2:$C$101,MATCH($B179,Raw_Customers!$A$2:$A$101,0)))</f>
        <v>Sri Ganganagar</v>
      </c>
      <c r="E179" s="7" t="str">
        <f>"+91-"&amp;RIGHT("0000000000"&amp;INDEX(Raw_Customers!$D$2:$D$101,MATCH($B179,Raw_Customers!$A$2:$A$101,0)),10)</f>
        <v>+91-0456900126</v>
      </c>
      <c r="F179" s="7" t="str">
        <f>Raw_Orders!C179</f>
        <v>61</v>
      </c>
      <c r="G179" s="7" t="str">
        <f>INDEX(Raw_Products!$B$2:$B$71,MATCH($F179,Raw_Products!$A$2:$A$71,0))</f>
        <v>Iusto Box</v>
      </c>
      <c r="H179" s="7" t="str">
        <f>INDEX(Raw_Products!$C$2:$C$71,MATCH($F179,Raw_Products!$A$2:$A$71,0))</f>
        <v>Plants</v>
      </c>
      <c r="I179" s="7">
        <f>VALUE(Raw_Orders!D179)</f>
        <v>1</v>
      </c>
      <c r="J179" s="11" t="str">
        <f>INDEX(Raw_Products!$D$2:$D$71,MATCH($F179,Raw_Products!$A$2:$A$71,0))</f>
        <v>810</v>
      </c>
      <c r="K179" s="11">
        <f t="shared" si="4"/>
        <v>810</v>
      </c>
      <c r="L179" s="12">
        <f>DATE(VALUE(RIGHT(Raw_Orders!E179,4)),VALUE(MID(Raw_Orders!E179,4,2)),VALUE(LEFT(Raw_Orders!E179,2)))</f>
        <v>45244</v>
      </c>
      <c r="M179" s="12">
        <f>DATE(VALUE(RIGHT(Raw_Orders!G179,4)),VALUE(MID(Raw_Orders!G179,4,2)),VALUE(LEFT(Raw_Orders!G179,2)))</f>
        <v>45246</v>
      </c>
      <c r="N179" s="7">
        <f t="shared" si="5"/>
        <v>2</v>
      </c>
      <c r="O179" s="7" t="str">
        <f>Raw_Orders!J179</f>
        <v>Anniversary</v>
      </c>
      <c r="P179" s="7" t="str">
        <f>Raw_Orders!I179</f>
        <v>Bhilai</v>
      </c>
    </row>
    <row r="180" spans="1:16">
      <c r="A180" s="7" t="str">
        <f>Raw_Orders!A180</f>
        <v>179</v>
      </c>
      <c r="B180" s="7" t="str">
        <f>Raw_Orders!B180</f>
        <v>C078</v>
      </c>
      <c r="C180" s="7" t="str">
        <f>INDEX(Raw_Customers!$B$2:$B$101,MATCH($B180,Raw_Customers!$A$2:$A$101,0))</f>
        <v>Jivika Rajan</v>
      </c>
      <c r="D180" s="7" t="str">
        <f>TRIM(INDEX(Raw_Customers!$C$2:$C$101,MATCH($B180,Raw_Customers!$A$2:$A$101,0)))</f>
        <v>Bhubaneswar</v>
      </c>
      <c r="E180" s="7" t="str">
        <f>"+91-"&amp;RIGHT("0000000000"&amp;INDEX(Raw_Customers!$D$2:$D$101,MATCH($B180,Raw_Customers!$A$2:$A$101,0)),10)</f>
        <v>+91-3005266310</v>
      </c>
      <c r="F180" s="7" t="str">
        <f>Raw_Orders!C180</f>
        <v>47</v>
      </c>
      <c r="G180" s="7" t="str">
        <f>INDEX(Raw_Products!$B$2:$B$71,MATCH($F180,Raw_Products!$A$2:$A$71,0))</f>
        <v>Harum Pack</v>
      </c>
      <c r="H180" s="7" t="str">
        <f>INDEX(Raw_Products!$C$2:$C$71,MATCH($F180,Raw_Products!$A$2:$A$71,0))</f>
        <v>Colors</v>
      </c>
      <c r="I180" s="7">
        <f>VALUE(Raw_Orders!D180)</f>
        <v>3</v>
      </c>
      <c r="J180" s="11" t="str">
        <f>INDEX(Raw_Products!$D$2:$D$71,MATCH($F180,Raw_Products!$A$2:$A$71,0))</f>
        <v>1638</v>
      </c>
      <c r="K180" s="11">
        <f t="shared" si="4"/>
        <v>4914</v>
      </c>
      <c r="L180" s="12">
        <f>DATE(VALUE(RIGHT(Raw_Orders!E180,4)),VALUE(MID(Raw_Orders!E180,4,2)),VALUE(LEFT(Raw_Orders!E180,2)))</f>
        <v>44985</v>
      </c>
      <c r="M180" s="12">
        <f>DATE(VALUE(RIGHT(Raw_Orders!G180,4)),VALUE(MID(Raw_Orders!G180,4,2)),VALUE(LEFT(Raw_Orders!G180,2)))</f>
        <v>44995</v>
      </c>
      <c r="N180" s="7">
        <f t="shared" si="5"/>
        <v>10</v>
      </c>
      <c r="O180" s="7" t="str">
        <f>Raw_Orders!J180</f>
        <v>Holi</v>
      </c>
      <c r="P180" s="7" t="str">
        <f>Raw_Orders!I180</f>
        <v>Vijayanagaram</v>
      </c>
    </row>
    <row r="181" spans="1:16">
      <c r="A181" s="7" t="str">
        <f>Raw_Orders!A181</f>
        <v>180</v>
      </c>
      <c r="B181" s="7" t="str">
        <f>Raw_Orders!B181</f>
        <v>C058</v>
      </c>
      <c r="C181" s="7" t="str">
        <f>INDEX(Raw_Customers!$B$2:$B$101,MATCH($B181,Raw_Customers!$A$2:$A$101,0))</f>
        <v>Charvi Kanda</v>
      </c>
      <c r="D181" s="7" t="str">
        <f>TRIM(INDEX(Raw_Customers!$C$2:$C$101,MATCH($B181,Raw_Customers!$A$2:$A$101,0)))</f>
        <v>Guntakal</v>
      </c>
      <c r="E181" s="7" t="str">
        <f>"+91-"&amp;RIGHT("0000000000"&amp;INDEX(Raw_Customers!$D$2:$D$101,MATCH($B181,Raw_Customers!$A$2:$A$101,0)),10)</f>
        <v>+91-9771604920</v>
      </c>
      <c r="F181" s="7" t="str">
        <f>Raw_Orders!C181</f>
        <v>55</v>
      </c>
      <c r="G181" s="7" t="str">
        <f>INDEX(Raw_Products!$B$2:$B$71,MATCH($F181,Raw_Products!$A$2:$A$71,0))</f>
        <v>Dolores Gift</v>
      </c>
      <c r="H181" s="7" t="str">
        <f>INDEX(Raw_Products!$C$2:$C$71,MATCH($F181,Raw_Products!$A$2:$A$71,0))</f>
        <v>Soft Toys</v>
      </c>
      <c r="I181" s="7">
        <f>VALUE(Raw_Orders!D181)</f>
        <v>2</v>
      </c>
      <c r="J181" s="11" t="str">
        <f>INDEX(Raw_Products!$D$2:$D$71,MATCH($F181,Raw_Products!$A$2:$A$71,0))</f>
        <v>1904</v>
      </c>
      <c r="K181" s="11">
        <f t="shared" si="4"/>
        <v>3808</v>
      </c>
      <c r="L181" s="12">
        <f>DATE(VALUE(RIGHT(Raw_Orders!E181,4)),VALUE(MID(Raw_Orders!E181,4,2)),VALUE(LEFT(Raw_Orders!E181,2)))</f>
        <v>45162</v>
      </c>
      <c r="M181" s="12">
        <f>DATE(VALUE(RIGHT(Raw_Orders!G181,4)),VALUE(MID(Raw_Orders!G181,4,2)),VALUE(LEFT(Raw_Orders!G181,2)))</f>
        <v>45165</v>
      </c>
      <c r="N181" s="7">
        <f t="shared" si="5"/>
        <v>3</v>
      </c>
      <c r="O181" s="7" t="str">
        <f>Raw_Orders!J181</f>
        <v>Raksha Bandhan</v>
      </c>
      <c r="P181" s="7" t="str">
        <f>Raw_Orders!I181</f>
        <v>Nellore</v>
      </c>
    </row>
    <row r="182" spans="1:16">
      <c r="A182" s="7" t="str">
        <f>Raw_Orders!A182</f>
        <v>181</v>
      </c>
      <c r="B182" s="7" t="str">
        <f>Raw_Orders!B182</f>
        <v>C064</v>
      </c>
      <c r="C182" s="7" t="str">
        <f>INDEX(Raw_Customers!$B$2:$B$101,MATCH($B182,Raw_Customers!$A$2:$A$101,0))</f>
        <v>Indrajit Kale</v>
      </c>
      <c r="D182" s="7" t="str">
        <f>TRIM(INDEX(Raw_Customers!$C$2:$C$101,MATCH($B182,Raw_Customers!$A$2:$A$101,0)))</f>
        <v>Srikakulam</v>
      </c>
      <c r="E182" s="7" t="str">
        <f>"+91-"&amp;RIGHT("0000000000"&amp;INDEX(Raw_Customers!$D$2:$D$101,MATCH($B182,Raw_Customers!$A$2:$A$101,0)),10)</f>
        <v>+91-6181058210</v>
      </c>
      <c r="F182" s="7" t="str">
        <f>Raw_Orders!C182</f>
        <v>10</v>
      </c>
      <c r="G182" s="7" t="str">
        <f>INDEX(Raw_Products!$B$2:$B$71,MATCH($F182,Raw_Products!$A$2:$A$71,0))</f>
        <v>Accusantium Gift</v>
      </c>
      <c r="H182" s="7" t="str">
        <f>INDEX(Raw_Products!$C$2:$C$71,MATCH($F182,Raw_Products!$A$2:$A$71,0))</f>
        <v>Cake</v>
      </c>
      <c r="I182" s="7">
        <f>VALUE(Raw_Orders!D182)</f>
        <v>4</v>
      </c>
      <c r="J182" s="11" t="str">
        <f>INDEX(Raw_Products!$D$2:$D$71,MATCH($F182,Raw_Products!$A$2:$A$71,0))</f>
        <v>259</v>
      </c>
      <c r="K182" s="11">
        <f t="shared" si="4"/>
        <v>1036</v>
      </c>
      <c r="L182" s="12">
        <f>DATE(VALUE(RIGHT(Raw_Orders!E182,4)),VALUE(MID(Raw_Orders!E182,4,2)),VALUE(LEFT(Raw_Orders!E182,2)))</f>
        <v>45166</v>
      </c>
      <c r="M182" s="12">
        <f>DATE(VALUE(RIGHT(Raw_Orders!G182,4)),VALUE(MID(Raw_Orders!G182,4,2)),VALUE(LEFT(Raw_Orders!G182,2)))</f>
        <v>45175</v>
      </c>
      <c r="N182" s="7">
        <f t="shared" si="5"/>
        <v>9</v>
      </c>
      <c r="O182" s="7" t="str">
        <f>Raw_Orders!J182</f>
        <v>Birthday</v>
      </c>
      <c r="P182" s="7" t="str">
        <f>Raw_Orders!I182</f>
        <v>Howrah</v>
      </c>
    </row>
    <row r="183" spans="1:16">
      <c r="A183" s="7" t="str">
        <f>Raw_Orders!A183</f>
        <v>182</v>
      </c>
      <c r="B183" s="7" t="str">
        <f>Raw_Orders!B183</f>
        <v>C070</v>
      </c>
      <c r="C183" s="7" t="str">
        <f>INDEX(Raw_Customers!$B$2:$B$101,MATCH($B183,Raw_Customers!$A$2:$A$101,0))</f>
        <v>Emir Gokhale</v>
      </c>
      <c r="D183" s="7" t="str">
        <f>TRIM(INDEX(Raw_Customers!$C$2:$C$101,MATCH($B183,Raw_Customers!$A$2:$A$101,0)))</f>
        <v>Bhatpara</v>
      </c>
      <c r="E183" s="7" t="str">
        <f>"+91-"&amp;RIGHT("0000000000"&amp;INDEX(Raw_Customers!$D$2:$D$101,MATCH($B183,Raw_Customers!$A$2:$A$101,0)),10)</f>
        <v>+91-3859920805</v>
      </c>
      <c r="F183" s="7" t="str">
        <f>Raw_Orders!C183</f>
        <v>2</v>
      </c>
      <c r="G183" s="7" t="str">
        <f>INDEX(Raw_Products!$B$2:$B$71,MATCH($F183,Raw_Products!$A$2:$A$71,0))</f>
        <v>Voluptas Box</v>
      </c>
      <c r="H183" s="7" t="str">
        <f>INDEX(Raw_Products!$C$2:$C$71,MATCH($F183,Raw_Products!$A$2:$A$71,0))</f>
        <v>Plants</v>
      </c>
      <c r="I183" s="7">
        <f>VALUE(Raw_Orders!D183)</f>
        <v>1</v>
      </c>
      <c r="J183" s="11" t="str">
        <f>INDEX(Raw_Products!$D$2:$D$71,MATCH($F183,Raw_Products!$A$2:$A$71,0))</f>
        <v>441</v>
      </c>
      <c r="K183" s="11">
        <f t="shared" si="4"/>
        <v>441</v>
      </c>
      <c r="L183" s="12">
        <f>DATE(VALUE(RIGHT(Raw_Orders!E183,4)),VALUE(MID(Raw_Orders!E183,4,2)),VALUE(LEFT(Raw_Orders!E183,2)))</f>
        <v>44965</v>
      </c>
      <c r="M183" s="12">
        <f>DATE(VALUE(RIGHT(Raw_Orders!G183,4)),VALUE(MID(Raw_Orders!G183,4,2)),VALUE(LEFT(Raw_Orders!G183,2)))</f>
        <v>44972</v>
      </c>
      <c r="N183" s="7">
        <f t="shared" si="5"/>
        <v>7</v>
      </c>
      <c r="O183" s="7" t="str">
        <f>Raw_Orders!J183</f>
        <v>Valentine's Day</v>
      </c>
      <c r="P183" s="7" t="str">
        <f>Raw_Orders!I183</f>
        <v>Chennai</v>
      </c>
    </row>
    <row r="184" spans="1:16">
      <c r="A184" s="7" t="str">
        <f>Raw_Orders!A184</f>
        <v>183</v>
      </c>
      <c r="B184" s="7" t="str">
        <f>Raw_Orders!B184</f>
        <v>C082</v>
      </c>
      <c r="C184" s="7" t="str">
        <f>INDEX(Raw_Customers!$B$2:$B$101,MATCH($B184,Raw_Customers!$A$2:$A$101,0))</f>
        <v>Anya Chaudhari</v>
      </c>
      <c r="D184" s="7" t="str">
        <f>TRIM(INDEX(Raw_Customers!$C$2:$C$101,MATCH($B184,Raw_Customers!$A$2:$A$101,0)))</f>
        <v>Ahmednagar</v>
      </c>
      <c r="E184" s="7" t="str">
        <f>"+91-"&amp;RIGHT("0000000000"&amp;INDEX(Raw_Customers!$D$2:$D$101,MATCH($B184,Raw_Customers!$A$2:$A$101,0)),10)</f>
        <v>+91-0813770782</v>
      </c>
      <c r="F184" s="7" t="str">
        <f>Raw_Orders!C184</f>
        <v>48</v>
      </c>
      <c r="G184" s="7" t="str">
        <f>INDEX(Raw_Products!$B$2:$B$71,MATCH($F184,Raw_Products!$A$2:$A$71,0))</f>
        <v>Maiores Gift</v>
      </c>
      <c r="H184" s="7" t="str">
        <f>INDEX(Raw_Products!$C$2:$C$71,MATCH($F184,Raw_Products!$A$2:$A$71,0))</f>
        <v>Colors</v>
      </c>
      <c r="I184" s="7">
        <f>VALUE(Raw_Orders!D184)</f>
        <v>3</v>
      </c>
      <c r="J184" s="11" t="str">
        <f>INDEX(Raw_Products!$D$2:$D$71,MATCH($F184,Raw_Products!$A$2:$A$71,0))</f>
        <v>433</v>
      </c>
      <c r="K184" s="11">
        <f t="shared" si="4"/>
        <v>1299</v>
      </c>
      <c r="L184" s="12">
        <f>DATE(VALUE(RIGHT(Raw_Orders!E184,4)),VALUE(MID(Raw_Orders!E184,4,2)),VALUE(LEFT(Raw_Orders!E184,2)))</f>
        <v>45239</v>
      </c>
      <c r="M184" s="12">
        <f>DATE(VALUE(RIGHT(Raw_Orders!G184,4)),VALUE(MID(Raw_Orders!G184,4,2)),VALUE(LEFT(Raw_Orders!G184,2)))</f>
        <v>45241</v>
      </c>
      <c r="N184" s="7">
        <f t="shared" si="5"/>
        <v>2</v>
      </c>
      <c r="O184" s="7" t="str">
        <f>Raw_Orders!J184</f>
        <v>Diwali</v>
      </c>
      <c r="P184" s="7" t="str">
        <f>Raw_Orders!I184</f>
        <v>Bahraich</v>
      </c>
    </row>
    <row r="185" spans="1:16">
      <c r="A185" s="7" t="str">
        <f>Raw_Orders!A185</f>
        <v>184</v>
      </c>
      <c r="B185" s="7" t="str">
        <f>Raw_Orders!B185</f>
        <v>C027</v>
      </c>
      <c r="C185" s="7" t="str">
        <f>INDEX(Raw_Customers!$B$2:$B$101,MATCH($B185,Raw_Customers!$A$2:$A$101,0))</f>
        <v>Kashvi Sur</v>
      </c>
      <c r="D185" s="7" t="str">
        <f>TRIM(INDEX(Raw_Customers!$C$2:$C$101,MATCH($B185,Raw_Customers!$A$2:$A$101,0)))</f>
        <v>Serampore</v>
      </c>
      <c r="E185" s="7" t="str">
        <f>"+91-"&amp;RIGHT("0000000000"&amp;INDEX(Raw_Customers!$D$2:$D$101,MATCH($B185,Raw_Customers!$A$2:$A$101,0)),10)</f>
        <v>+91-3431035116</v>
      </c>
      <c r="F185" s="7" t="str">
        <f>Raw_Orders!C185</f>
        <v>52</v>
      </c>
      <c r="G185" s="7" t="str">
        <f>INDEX(Raw_Products!$B$2:$B$71,MATCH($F185,Raw_Products!$A$2:$A$71,0))</f>
        <v>Dolorum Box</v>
      </c>
      <c r="H185" s="7" t="str">
        <f>INDEX(Raw_Products!$C$2:$C$71,MATCH($F185,Raw_Products!$A$2:$A$71,0))</f>
        <v>Raksha Bandhan</v>
      </c>
      <c r="I185" s="7">
        <f>VALUE(Raw_Orders!D185)</f>
        <v>3</v>
      </c>
      <c r="J185" s="11" t="str">
        <f>INDEX(Raw_Products!$D$2:$D$71,MATCH($F185,Raw_Products!$A$2:$A$71,0))</f>
        <v>236</v>
      </c>
      <c r="K185" s="11">
        <f t="shared" si="4"/>
        <v>708</v>
      </c>
      <c r="L185" s="12">
        <f>DATE(VALUE(RIGHT(Raw_Orders!E185,4)),VALUE(MID(Raw_Orders!E185,4,2)),VALUE(LEFT(Raw_Orders!E185,2)))</f>
        <v>44968</v>
      </c>
      <c r="M185" s="12">
        <f>DATE(VALUE(RIGHT(Raw_Orders!G185,4)),VALUE(MID(Raw_Orders!G185,4,2)),VALUE(LEFT(Raw_Orders!G185,2)))</f>
        <v>44977</v>
      </c>
      <c r="N185" s="7">
        <f t="shared" si="5"/>
        <v>9</v>
      </c>
      <c r="O185" s="7" t="str">
        <f>Raw_Orders!J185</f>
        <v>Valentine's Day</v>
      </c>
      <c r="P185" s="7" t="str">
        <f>Raw_Orders!I185</f>
        <v>Dharmavaram</v>
      </c>
    </row>
    <row r="186" spans="1:16">
      <c r="A186" s="7" t="str">
        <f>Raw_Orders!A186</f>
        <v>185</v>
      </c>
      <c r="B186" s="7" t="str">
        <f>Raw_Orders!B186</f>
        <v>C068</v>
      </c>
      <c r="C186" s="7" t="str">
        <f>INDEX(Raw_Customers!$B$2:$B$101,MATCH($B186,Raw_Customers!$A$2:$A$101,0))</f>
        <v>Ritvik Garde</v>
      </c>
      <c r="D186" s="7" t="str">
        <f>TRIM(INDEX(Raw_Customers!$C$2:$C$101,MATCH($B186,Raw_Customers!$A$2:$A$101,0)))</f>
        <v>Kalyan-Dombivli</v>
      </c>
      <c r="E186" s="7" t="str">
        <f>"+91-"&amp;RIGHT("0000000000"&amp;INDEX(Raw_Customers!$D$2:$D$101,MATCH($B186,Raw_Customers!$A$2:$A$101,0)),10)</f>
        <v>+91-3719858588</v>
      </c>
      <c r="F186" s="7" t="str">
        <f>Raw_Orders!C186</f>
        <v>18</v>
      </c>
      <c r="G186" s="7" t="str">
        <f>INDEX(Raw_Products!$B$2:$B$71,MATCH($F186,Raw_Products!$A$2:$A$71,0))</f>
        <v>Nemo Set</v>
      </c>
      <c r="H186" s="7" t="str">
        <f>INDEX(Raw_Products!$C$2:$C$71,MATCH($F186,Raw_Products!$A$2:$A$71,0))</f>
        <v>Plants</v>
      </c>
      <c r="I186" s="7">
        <f>VALUE(Raw_Orders!D186)</f>
        <v>1</v>
      </c>
      <c r="J186" s="11" t="str">
        <f>INDEX(Raw_Products!$D$2:$D$71,MATCH($F186,Raw_Products!$A$2:$A$71,0))</f>
        <v>781</v>
      </c>
      <c r="K186" s="11">
        <f t="shared" si="4"/>
        <v>781</v>
      </c>
      <c r="L186" s="12">
        <f>DATE(VALUE(RIGHT(Raw_Orders!E186,4)),VALUE(MID(Raw_Orders!E186,4,2)),VALUE(LEFT(Raw_Orders!E186,2)))</f>
        <v>45053</v>
      </c>
      <c r="M186" s="12">
        <f>DATE(VALUE(RIGHT(Raw_Orders!G186,4)),VALUE(MID(Raw_Orders!G186,4,2)),VALUE(LEFT(Raw_Orders!G186,2)))</f>
        <v>45063</v>
      </c>
      <c r="N186" s="7">
        <f t="shared" si="5"/>
        <v>10</v>
      </c>
      <c r="O186" s="7" t="str">
        <f>Raw_Orders!J186</f>
        <v>Birthday</v>
      </c>
      <c r="P186" s="7" t="str">
        <f>Raw_Orders!I186</f>
        <v>Raurkela Industrial Township</v>
      </c>
    </row>
    <row r="187" spans="1:16">
      <c r="A187" s="7" t="str">
        <f>Raw_Orders!A187</f>
        <v>186</v>
      </c>
      <c r="B187" s="7" t="str">
        <f>Raw_Orders!B187</f>
        <v>C048</v>
      </c>
      <c r="C187" s="7" t="str">
        <f>INDEX(Raw_Customers!$B$2:$B$101,MATCH($B187,Raw_Customers!$A$2:$A$101,0))</f>
        <v>Aradhya Kale</v>
      </c>
      <c r="D187" s="7" t="str">
        <f>TRIM(INDEX(Raw_Customers!$C$2:$C$101,MATCH($B187,Raw_Customers!$A$2:$A$101,0)))</f>
        <v>Guntakal</v>
      </c>
      <c r="E187" s="7" t="str">
        <f>"+91-"&amp;RIGHT("0000000000"&amp;INDEX(Raw_Customers!$D$2:$D$101,MATCH($B187,Raw_Customers!$A$2:$A$101,0)),10)</f>
        <v>+91-7979926231</v>
      </c>
      <c r="F187" s="7" t="str">
        <f>Raw_Orders!C187</f>
        <v>61</v>
      </c>
      <c r="G187" s="7" t="str">
        <f>INDEX(Raw_Products!$B$2:$B$71,MATCH($F187,Raw_Products!$A$2:$A$71,0))</f>
        <v>Iusto Box</v>
      </c>
      <c r="H187" s="7" t="str">
        <f>INDEX(Raw_Products!$C$2:$C$71,MATCH($F187,Raw_Products!$A$2:$A$71,0))</f>
        <v>Plants</v>
      </c>
      <c r="I187" s="7">
        <f>VALUE(Raw_Orders!D187)</f>
        <v>1</v>
      </c>
      <c r="J187" s="11" t="str">
        <f>INDEX(Raw_Products!$D$2:$D$71,MATCH($F187,Raw_Products!$A$2:$A$71,0))</f>
        <v>810</v>
      </c>
      <c r="K187" s="11">
        <f t="shared" si="4"/>
        <v>810</v>
      </c>
      <c r="L187" s="12">
        <f>DATE(VALUE(RIGHT(Raw_Orders!E187,4)),VALUE(MID(Raw_Orders!E187,4,2)),VALUE(LEFT(Raw_Orders!E187,2)))</f>
        <v>45055</v>
      </c>
      <c r="M187" s="12">
        <f>DATE(VALUE(RIGHT(Raw_Orders!G187,4)),VALUE(MID(Raw_Orders!G187,4,2)),VALUE(LEFT(Raw_Orders!G187,2)))</f>
        <v>45057</v>
      </c>
      <c r="N187" s="7">
        <f t="shared" si="5"/>
        <v>2</v>
      </c>
      <c r="O187" s="7" t="str">
        <f>Raw_Orders!J187</f>
        <v>Anniversary</v>
      </c>
      <c r="P187" s="7" t="str">
        <f>Raw_Orders!I187</f>
        <v>Kollam</v>
      </c>
    </row>
    <row r="188" spans="1:16">
      <c r="A188" s="7" t="str">
        <f>Raw_Orders!A188</f>
        <v>187</v>
      </c>
      <c r="B188" s="7" t="str">
        <f>Raw_Orders!B188</f>
        <v>C008</v>
      </c>
      <c r="C188" s="7" t="str">
        <f>INDEX(Raw_Customers!$B$2:$B$101,MATCH($B188,Raw_Customers!$A$2:$A$101,0))</f>
        <v>Veer Ray</v>
      </c>
      <c r="D188" s="7" t="str">
        <f>TRIM(INDEX(Raw_Customers!$C$2:$C$101,MATCH($B188,Raw_Customers!$A$2:$A$101,0)))</f>
        <v>Chinsurah</v>
      </c>
      <c r="E188" s="7" t="str">
        <f>"+91-"&amp;RIGHT("0000000000"&amp;INDEX(Raw_Customers!$D$2:$D$101,MATCH($B188,Raw_Customers!$A$2:$A$101,0)),10)</f>
        <v>+91-7138085704</v>
      </c>
      <c r="F188" s="7" t="str">
        <f>Raw_Orders!C188</f>
        <v>49</v>
      </c>
      <c r="G188" s="7" t="str">
        <f>INDEX(Raw_Products!$B$2:$B$71,MATCH($F188,Raw_Products!$A$2:$A$71,0))</f>
        <v>Voluptate Pack</v>
      </c>
      <c r="H188" s="7" t="str">
        <f>INDEX(Raw_Products!$C$2:$C$71,MATCH($F188,Raw_Products!$A$2:$A$71,0))</f>
        <v>Colors</v>
      </c>
      <c r="I188" s="7">
        <f>VALUE(Raw_Orders!D188)</f>
        <v>5</v>
      </c>
      <c r="J188" s="11" t="str">
        <f>INDEX(Raw_Products!$D$2:$D$71,MATCH($F188,Raw_Products!$A$2:$A$71,0))</f>
        <v>903</v>
      </c>
      <c r="K188" s="11">
        <f t="shared" si="4"/>
        <v>4515</v>
      </c>
      <c r="L188" s="12">
        <f>DATE(VALUE(RIGHT(Raw_Orders!E188,4)),VALUE(MID(Raw_Orders!E188,4,2)),VALUE(LEFT(Raw_Orders!E188,2)))</f>
        <v>44968</v>
      </c>
      <c r="M188" s="12">
        <f>DATE(VALUE(RIGHT(Raw_Orders!G188,4)),VALUE(MID(Raw_Orders!G188,4,2)),VALUE(LEFT(Raw_Orders!G188,2)))</f>
        <v>44973</v>
      </c>
      <c r="N188" s="7">
        <f t="shared" si="5"/>
        <v>5</v>
      </c>
      <c r="O188" s="7" t="str">
        <f>Raw_Orders!J188</f>
        <v>Valentine's Day</v>
      </c>
      <c r="P188" s="7" t="str">
        <f>Raw_Orders!I188</f>
        <v>Anantapur</v>
      </c>
    </row>
    <row r="189" spans="1:16">
      <c r="A189" s="7" t="str">
        <f>Raw_Orders!A189</f>
        <v>188</v>
      </c>
      <c r="B189" s="7" t="str">
        <f>Raw_Orders!B189</f>
        <v>C067</v>
      </c>
      <c r="C189" s="7" t="str">
        <f>INDEX(Raw_Customers!$B$2:$B$101,MATCH($B189,Raw_Customers!$A$2:$A$101,0))</f>
        <v>Eva Sankaran</v>
      </c>
      <c r="D189" s="7" t="str">
        <f>TRIM(INDEX(Raw_Customers!$C$2:$C$101,MATCH($B189,Raw_Customers!$A$2:$A$101,0)))</f>
        <v>Anand</v>
      </c>
      <c r="E189" s="7" t="str">
        <f>"+91-"&amp;RIGHT("0000000000"&amp;INDEX(Raw_Customers!$D$2:$D$101,MATCH($B189,Raw_Customers!$A$2:$A$101,0)),10)</f>
        <v>+91-0407409251</v>
      </c>
      <c r="F189" s="7" t="str">
        <f>Raw_Orders!C189</f>
        <v>22</v>
      </c>
      <c r="G189" s="7" t="str">
        <f>INDEX(Raw_Products!$B$2:$B$71,MATCH($F189,Raw_Products!$A$2:$A$71,0))</f>
        <v>Exercitationem Pack</v>
      </c>
      <c r="H189" s="7" t="str">
        <f>INDEX(Raw_Products!$C$2:$C$71,MATCH($F189,Raw_Products!$A$2:$A$71,0))</f>
        <v>Soft Toys</v>
      </c>
      <c r="I189" s="7">
        <f>VALUE(Raw_Orders!D189)</f>
        <v>5</v>
      </c>
      <c r="J189" s="11" t="str">
        <f>INDEX(Raw_Products!$D$2:$D$71,MATCH($F189,Raw_Products!$A$2:$A$71,0))</f>
        <v>1639</v>
      </c>
      <c r="K189" s="11">
        <f t="shared" si="4"/>
        <v>8195</v>
      </c>
      <c r="L189" s="12">
        <f>DATE(VALUE(RIGHT(Raw_Orders!E189,4)),VALUE(MID(Raw_Orders!E189,4,2)),VALUE(LEFT(Raw_Orders!E189,2)))</f>
        <v>45187</v>
      </c>
      <c r="M189" s="12">
        <f>DATE(VALUE(RIGHT(Raw_Orders!G189,4)),VALUE(MID(Raw_Orders!G189,4,2)),VALUE(LEFT(Raw_Orders!G189,2)))</f>
        <v>45194</v>
      </c>
      <c r="N189" s="7">
        <f t="shared" si="5"/>
        <v>7</v>
      </c>
      <c r="O189" s="7" t="str">
        <f>Raw_Orders!J189</f>
        <v>All Occasions</v>
      </c>
      <c r="P189" s="7" t="str">
        <f>Raw_Orders!I189</f>
        <v>Serampore</v>
      </c>
    </row>
    <row r="190" spans="1:16">
      <c r="A190" s="7" t="str">
        <f>Raw_Orders!A190</f>
        <v>189</v>
      </c>
      <c r="B190" s="7" t="str">
        <f>Raw_Orders!B190</f>
        <v>C016</v>
      </c>
      <c r="C190" s="7" t="str">
        <f>INDEX(Raw_Customers!$B$2:$B$101,MATCH($B190,Raw_Customers!$A$2:$A$101,0))</f>
        <v>Amani Ganesh</v>
      </c>
      <c r="D190" s="7" t="str">
        <f>TRIM(INDEX(Raw_Customers!$C$2:$C$101,MATCH($B190,Raw_Customers!$A$2:$A$101,0)))</f>
        <v>Tenali</v>
      </c>
      <c r="E190" s="7" t="str">
        <f>"+91-"&amp;RIGHT("0000000000"&amp;INDEX(Raw_Customers!$D$2:$D$101,MATCH($B190,Raw_Customers!$A$2:$A$101,0)),10)</f>
        <v>+91-8482992702</v>
      </c>
      <c r="F190" s="7" t="str">
        <f>Raw_Orders!C190</f>
        <v>57</v>
      </c>
      <c r="G190" s="7" t="str">
        <f>INDEX(Raw_Products!$B$2:$B$71,MATCH($F190,Raw_Products!$A$2:$A$71,0))</f>
        <v>Voluptatem Box</v>
      </c>
      <c r="H190" s="7" t="str">
        <f>INDEX(Raw_Products!$C$2:$C$71,MATCH($F190,Raw_Products!$A$2:$A$71,0))</f>
        <v>Colors</v>
      </c>
      <c r="I190" s="7">
        <f>VALUE(Raw_Orders!D190)</f>
        <v>1</v>
      </c>
      <c r="J190" s="11" t="str">
        <f>INDEX(Raw_Products!$D$2:$D$71,MATCH($F190,Raw_Products!$A$2:$A$71,0))</f>
        <v>1582</v>
      </c>
      <c r="K190" s="11">
        <f t="shared" si="4"/>
        <v>1582</v>
      </c>
      <c r="L190" s="12">
        <f>DATE(VALUE(RIGHT(Raw_Orders!E190,4)),VALUE(MID(Raw_Orders!E190,4,2)),VALUE(LEFT(Raw_Orders!E190,2)))</f>
        <v>45249</v>
      </c>
      <c r="M190" s="12">
        <f>DATE(VALUE(RIGHT(Raw_Orders!G190,4)),VALUE(MID(Raw_Orders!G190,4,2)),VALUE(LEFT(Raw_Orders!G190,2)))</f>
        <v>45252</v>
      </c>
      <c r="N190" s="7">
        <f t="shared" si="5"/>
        <v>3</v>
      </c>
      <c r="O190" s="7" t="str">
        <f>Raw_Orders!J190</f>
        <v>Birthday</v>
      </c>
      <c r="P190" s="7" t="str">
        <f>Raw_Orders!I190</f>
        <v>Srikakulam</v>
      </c>
    </row>
    <row r="191" spans="1:16">
      <c r="A191" s="7" t="str">
        <f>Raw_Orders!A191</f>
        <v>190</v>
      </c>
      <c r="B191" s="7" t="str">
        <f>Raw_Orders!B191</f>
        <v>C096</v>
      </c>
      <c r="C191" s="7" t="str">
        <f>INDEX(Raw_Customers!$B$2:$B$101,MATCH($B191,Raw_Customers!$A$2:$A$101,0))</f>
        <v>Kavya Reddy</v>
      </c>
      <c r="D191" s="7" t="str">
        <f>TRIM(INDEX(Raw_Customers!$C$2:$C$101,MATCH($B191,Raw_Customers!$A$2:$A$101,0)))</f>
        <v>Medininagar</v>
      </c>
      <c r="E191" s="7" t="str">
        <f>"+91-"&amp;RIGHT("0000000000"&amp;INDEX(Raw_Customers!$D$2:$D$101,MATCH($B191,Raw_Customers!$A$2:$A$101,0)),10)</f>
        <v>+91-8680724565</v>
      </c>
      <c r="F191" s="7" t="str">
        <f>Raw_Orders!C191</f>
        <v>60</v>
      </c>
      <c r="G191" s="7" t="str">
        <f>INDEX(Raw_Products!$B$2:$B$71,MATCH($F191,Raw_Products!$A$2:$A$71,0))</f>
        <v>Ea Set</v>
      </c>
      <c r="H191" s="7" t="str">
        <f>INDEX(Raw_Products!$C$2:$C$71,MATCH($F191,Raw_Products!$A$2:$A$71,0))</f>
        <v>Sweets</v>
      </c>
      <c r="I191" s="7">
        <f>VALUE(Raw_Orders!D191)</f>
        <v>5</v>
      </c>
      <c r="J191" s="11" t="str">
        <f>INDEX(Raw_Products!$D$2:$D$71,MATCH($F191,Raw_Products!$A$2:$A$71,0))</f>
        <v>827</v>
      </c>
      <c r="K191" s="11">
        <f t="shared" si="4"/>
        <v>4135</v>
      </c>
      <c r="L191" s="12">
        <f>DATE(VALUE(RIGHT(Raw_Orders!E191,4)),VALUE(MID(Raw_Orders!E191,4,2)),VALUE(LEFT(Raw_Orders!E191,2)))</f>
        <v>45239</v>
      </c>
      <c r="M191" s="12">
        <f>DATE(VALUE(RIGHT(Raw_Orders!G191,4)),VALUE(MID(Raw_Orders!G191,4,2)),VALUE(LEFT(Raw_Orders!G191,2)))</f>
        <v>45243</v>
      </c>
      <c r="N191" s="7">
        <f t="shared" si="5"/>
        <v>4</v>
      </c>
      <c r="O191" s="7" t="str">
        <f>Raw_Orders!J191</f>
        <v>Diwali</v>
      </c>
      <c r="P191" s="7" t="str">
        <f>Raw_Orders!I191</f>
        <v>Darbhanga</v>
      </c>
    </row>
    <row r="192" spans="1:16">
      <c r="A192" s="7" t="str">
        <f>Raw_Orders!A192</f>
        <v>191</v>
      </c>
      <c r="B192" s="7" t="str">
        <f>Raw_Orders!B192</f>
        <v>C012</v>
      </c>
      <c r="C192" s="7" t="str">
        <f>INDEX(Raw_Customers!$B$2:$B$101,MATCH($B192,Raw_Customers!$A$2:$A$101,0))</f>
        <v>Onkar Mangat</v>
      </c>
      <c r="D192" s="7" t="str">
        <f>TRIM(INDEX(Raw_Customers!$C$2:$C$101,MATCH($B192,Raw_Customers!$A$2:$A$101,0)))</f>
        <v>Bilaspur</v>
      </c>
      <c r="E192" s="7" t="str">
        <f>"+91-"&amp;RIGHT("0000000000"&amp;INDEX(Raw_Customers!$D$2:$D$101,MATCH($B192,Raw_Customers!$A$2:$A$101,0)),10)</f>
        <v>+91-9921125624</v>
      </c>
      <c r="F192" s="7" t="str">
        <f>Raw_Orders!C192</f>
        <v>24</v>
      </c>
      <c r="G192" s="7" t="str">
        <f>INDEX(Raw_Products!$B$2:$B$71,MATCH($F192,Raw_Products!$A$2:$A$71,0))</f>
        <v>Ad Box</v>
      </c>
      <c r="H192" s="7" t="str">
        <f>INDEX(Raw_Products!$C$2:$C$71,MATCH($F192,Raw_Products!$A$2:$A$71,0))</f>
        <v>Mugs</v>
      </c>
      <c r="I192" s="7">
        <f>VALUE(Raw_Orders!D192)</f>
        <v>3</v>
      </c>
      <c r="J192" s="11" t="str">
        <f>INDEX(Raw_Products!$D$2:$D$71,MATCH($F192,Raw_Products!$A$2:$A$71,0))</f>
        <v>535</v>
      </c>
      <c r="K192" s="11">
        <f t="shared" si="4"/>
        <v>1605</v>
      </c>
      <c r="L192" s="12">
        <f>DATE(VALUE(RIGHT(Raw_Orders!E192,4)),VALUE(MID(Raw_Orders!E192,4,2)),VALUE(LEFT(Raw_Orders!E192,2)))</f>
        <v>45211</v>
      </c>
      <c r="M192" s="12">
        <f>DATE(VALUE(RIGHT(Raw_Orders!G192,4)),VALUE(MID(Raw_Orders!G192,4,2)),VALUE(LEFT(Raw_Orders!G192,2)))</f>
        <v>45216</v>
      </c>
      <c r="N192" s="7">
        <f t="shared" si="5"/>
        <v>5</v>
      </c>
      <c r="O192" s="7" t="str">
        <f>Raw_Orders!J192</f>
        <v>Birthday</v>
      </c>
      <c r="P192" s="7" t="str">
        <f>Raw_Orders!I192</f>
        <v>Etawah</v>
      </c>
    </row>
    <row r="193" spans="1:16">
      <c r="A193" s="7" t="str">
        <f>Raw_Orders!A193</f>
        <v>192</v>
      </c>
      <c r="B193" s="7" t="str">
        <f>Raw_Orders!B193</f>
        <v>C060</v>
      </c>
      <c r="C193" s="7" t="str">
        <f>INDEX(Raw_Customers!$B$2:$B$101,MATCH($B193,Raw_Customers!$A$2:$A$101,0))</f>
        <v>Riya Wagle</v>
      </c>
      <c r="D193" s="7" t="str">
        <f>TRIM(INDEX(Raw_Customers!$C$2:$C$101,MATCH($B193,Raw_Customers!$A$2:$A$101,0)))</f>
        <v>Satara</v>
      </c>
      <c r="E193" s="7" t="str">
        <f>"+91-"&amp;RIGHT("0000000000"&amp;INDEX(Raw_Customers!$D$2:$D$101,MATCH($B193,Raw_Customers!$A$2:$A$101,0)),10)</f>
        <v>+91-0214103009</v>
      </c>
      <c r="F193" s="7" t="str">
        <f>Raw_Orders!C193</f>
        <v>64</v>
      </c>
      <c r="G193" s="7" t="str">
        <f>INDEX(Raw_Products!$B$2:$B$71,MATCH($F193,Raw_Products!$A$2:$A$71,0))</f>
        <v>Nostrum Box</v>
      </c>
      <c r="H193" s="7" t="str">
        <f>INDEX(Raw_Products!$C$2:$C$71,MATCH($F193,Raw_Products!$A$2:$A$71,0))</f>
        <v>Soft Toys</v>
      </c>
      <c r="I193" s="7">
        <f>VALUE(Raw_Orders!D193)</f>
        <v>5</v>
      </c>
      <c r="J193" s="11" t="str">
        <f>INDEX(Raw_Products!$D$2:$D$71,MATCH($F193,Raw_Products!$A$2:$A$71,0))</f>
        <v>1878</v>
      </c>
      <c r="K193" s="11">
        <f t="shared" si="4"/>
        <v>9390</v>
      </c>
      <c r="L193" s="12">
        <f>DATE(VALUE(RIGHT(Raw_Orders!E193,4)),VALUE(MID(Raw_Orders!E193,4,2)),VALUE(LEFT(Raw_Orders!E193,2)))</f>
        <v>45158</v>
      </c>
      <c r="M193" s="12">
        <f>DATE(VALUE(RIGHT(Raw_Orders!G193,4)),VALUE(MID(Raw_Orders!G193,4,2)),VALUE(LEFT(Raw_Orders!G193,2)))</f>
        <v>45159</v>
      </c>
      <c r="N193" s="7">
        <f t="shared" si="5"/>
        <v>1</v>
      </c>
      <c r="O193" s="7" t="str">
        <f>Raw_Orders!J193</f>
        <v>Raksha Bandhan</v>
      </c>
      <c r="P193" s="7" t="str">
        <f>Raw_Orders!I193</f>
        <v>Vijayanagaram</v>
      </c>
    </row>
    <row r="194" spans="1:16">
      <c r="A194" s="7" t="str">
        <f>Raw_Orders!A194</f>
        <v>193</v>
      </c>
      <c r="B194" s="7" t="str">
        <f>Raw_Orders!B194</f>
        <v>C038</v>
      </c>
      <c r="C194" s="7" t="str">
        <f>INDEX(Raw_Customers!$B$2:$B$101,MATCH($B194,Raw_Customers!$A$2:$A$101,0))</f>
        <v>Yakshit Shah</v>
      </c>
      <c r="D194" s="7" t="str">
        <f>TRIM(INDEX(Raw_Customers!$C$2:$C$101,MATCH($B194,Raw_Customers!$A$2:$A$101,0)))</f>
        <v>Aizawl</v>
      </c>
      <c r="E194" s="7" t="str">
        <f>"+91-"&amp;RIGHT("0000000000"&amp;INDEX(Raw_Customers!$D$2:$D$101,MATCH($B194,Raw_Customers!$A$2:$A$101,0)),10)</f>
        <v>+91-2847411902</v>
      </c>
      <c r="F194" s="7" t="str">
        <f>Raw_Orders!C194</f>
        <v>42</v>
      </c>
      <c r="G194" s="7" t="str">
        <f>INDEX(Raw_Products!$B$2:$B$71,MATCH($F194,Raw_Products!$A$2:$A$71,0))</f>
        <v>Expedita Gift</v>
      </c>
      <c r="H194" s="7" t="str">
        <f>INDEX(Raw_Products!$C$2:$C$71,MATCH($F194,Raw_Products!$A$2:$A$71,0))</f>
        <v>Sweets</v>
      </c>
      <c r="I194" s="7">
        <f>VALUE(Raw_Orders!D194)</f>
        <v>4</v>
      </c>
      <c r="J194" s="11" t="str">
        <f>INDEX(Raw_Products!$D$2:$D$71,MATCH($F194,Raw_Products!$A$2:$A$71,0))</f>
        <v>1744</v>
      </c>
      <c r="K194" s="11">
        <f t="shared" ref="K194:K257" si="6">I194*J194</f>
        <v>6976</v>
      </c>
      <c r="L194" s="12">
        <f>DATE(VALUE(RIGHT(Raw_Orders!E194,4)),VALUE(MID(Raw_Orders!E194,4,2)),VALUE(LEFT(Raw_Orders!E194,2)))</f>
        <v>45154</v>
      </c>
      <c r="M194" s="12">
        <f>DATE(VALUE(RIGHT(Raw_Orders!G194,4)),VALUE(MID(Raw_Orders!G194,4,2)),VALUE(LEFT(Raw_Orders!G194,2)))</f>
        <v>45157</v>
      </c>
      <c r="N194" s="7">
        <f t="shared" ref="N194:N257" si="7">M194-L194</f>
        <v>3</v>
      </c>
      <c r="O194" s="7" t="str">
        <f>Raw_Orders!J194</f>
        <v>All Occasions</v>
      </c>
      <c r="P194" s="7" t="str">
        <f>Raw_Orders!I194</f>
        <v>Nanded</v>
      </c>
    </row>
    <row r="195" spans="1:16">
      <c r="A195" s="7" t="str">
        <f>Raw_Orders!A195</f>
        <v>194</v>
      </c>
      <c r="B195" s="7" t="str">
        <f>Raw_Orders!B195</f>
        <v>C030</v>
      </c>
      <c r="C195" s="7" t="str">
        <f>INDEX(Raw_Customers!$B$2:$B$101,MATCH($B195,Raw_Customers!$A$2:$A$101,0))</f>
        <v>Vardaniya Contractor</v>
      </c>
      <c r="D195" s="7" t="str">
        <f>TRIM(INDEX(Raw_Customers!$C$2:$C$101,MATCH($B195,Raw_Customers!$A$2:$A$101,0)))</f>
        <v>Sambhal</v>
      </c>
      <c r="E195" s="7" t="str">
        <f>"+91-"&amp;RIGHT("0000000000"&amp;INDEX(Raw_Customers!$D$2:$D$101,MATCH($B195,Raw_Customers!$A$2:$A$101,0)),10)</f>
        <v>+91-9972300876</v>
      </c>
      <c r="F195" s="7" t="str">
        <f>Raw_Orders!C195</f>
        <v>58</v>
      </c>
      <c r="G195" s="7" t="str">
        <f>INDEX(Raw_Products!$B$2:$B$71,MATCH($F195,Raw_Products!$A$2:$A$71,0))</f>
        <v>Sed Pack</v>
      </c>
      <c r="H195" s="7" t="str">
        <f>INDEX(Raw_Products!$C$2:$C$71,MATCH($F195,Raw_Products!$A$2:$A$71,0))</f>
        <v>Cake</v>
      </c>
      <c r="I195" s="7">
        <f>VALUE(Raw_Orders!D195)</f>
        <v>4</v>
      </c>
      <c r="J195" s="11" t="str">
        <f>INDEX(Raw_Products!$D$2:$D$71,MATCH($F195,Raw_Products!$A$2:$A$71,0))</f>
        <v>1492</v>
      </c>
      <c r="K195" s="11">
        <f t="shared" si="6"/>
        <v>5968</v>
      </c>
      <c r="L195" s="12">
        <f>DATE(VALUE(RIGHT(Raw_Orders!E195,4)),VALUE(MID(Raw_Orders!E195,4,2)),VALUE(LEFT(Raw_Orders!E195,2)))</f>
        <v>44965</v>
      </c>
      <c r="M195" s="12">
        <f>DATE(VALUE(RIGHT(Raw_Orders!G195,4)),VALUE(MID(Raw_Orders!G195,4,2)),VALUE(LEFT(Raw_Orders!G195,2)))</f>
        <v>44966</v>
      </c>
      <c r="N195" s="7">
        <f t="shared" si="7"/>
        <v>1</v>
      </c>
      <c r="O195" s="7" t="str">
        <f>Raw_Orders!J195</f>
        <v>Valentine's Day</v>
      </c>
      <c r="P195" s="7" t="str">
        <f>Raw_Orders!I195</f>
        <v>Pondicherry</v>
      </c>
    </row>
    <row r="196" spans="1:16">
      <c r="A196" s="7" t="str">
        <f>Raw_Orders!A196</f>
        <v>195</v>
      </c>
      <c r="B196" s="7" t="str">
        <f>Raw_Orders!B196</f>
        <v>C037</v>
      </c>
      <c r="C196" s="7" t="str">
        <f>INDEX(Raw_Customers!$B$2:$B$101,MATCH($B196,Raw_Customers!$A$2:$A$101,0))</f>
        <v>Aradhya Kumar</v>
      </c>
      <c r="D196" s="7" t="str">
        <f>TRIM(INDEX(Raw_Customers!$C$2:$C$101,MATCH($B196,Raw_Customers!$A$2:$A$101,0)))</f>
        <v>Davanagere</v>
      </c>
      <c r="E196" s="7" t="str">
        <f>"+91-"&amp;RIGHT("0000000000"&amp;INDEX(Raw_Customers!$D$2:$D$101,MATCH($B196,Raw_Customers!$A$2:$A$101,0)),10)</f>
        <v>+91-1972392634</v>
      </c>
      <c r="F196" s="7" t="str">
        <f>Raw_Orders!C196</f>
        <v>67</v>
      </c>
      <c r="G196" s="7" t="str">
        <f>INDEX(Raw_Products!$B$2:$B$71,MATCH($F196,Raw_Products!$A$2:$A$71,0))</f>
        <v>Maiores Box</v>
      </c>
      <c r="H196" s="7" t="str">
        <f>INDEX(Raw_Products!$C$2:$C$71,MATCH($F196,Raw_Products!$A$2:$A$71,0))</f>
        <v>Raksha Bandhan</v>
      </c>
      <c r="I196" s="7">
        <f>VALUE(Raw_Orders!D196)</f>
        <v>5</v>
      </c>
      <c r="J196" s="11" t="str">
        <f>INDEX(Raw_Products!$D$2:$D$71,MATCH($F196,Raw_Products!$A$2:$A$71,0))</f>
        <v>1374</v>
      </c>
      <c r="K196" s="11">
        <f t="shared" si="6"/>
        <v>6870</v>
      </c>
      <c r="L196" s="12">
        <f>DATE(VALUE(RIGHT(Raw_Orders!E196,4)),VALUE(MID(Raw_Orders!E196,4,2)),VALUE(LEFT(Raw_Orders!E196,2)))</f>
        <v>45026</v>
      </c>
      <c r="M196" s="12">
        <f>DATE(VALUE(RIGHT(Raw_Orders!G196,4)),VALUE(MID(Raw_Orders!G196,4,2)),VALUE(LEFT(Raw_Orders!G196,2)))</f>
        <v>45033</v>
      </c>
      <c r="N196" s="7">
        <f t="shared" si="7"/>
        <v>7</v>
      </c>
      <c r="O196" s="7" t="str">
        <f>Raw_Orders!J196</f>
        <v>Anniversary</v>
      </c>
      <c r="P196" s="7" t="str">
        <f>Raw_Orders!I196</f>
        <v>Jamalpur</v>
      </c>
    </row>
    <row r="197" spans="1:16">
      <c r="A197" s="7" t="str">
        <f>Raw_Orders!A197</f>
        <v>196</v>
      </c>
      <c r="B197" s="7" t="str">
        <f>Raw_Orders!B197</f>
        <v>C063</v>
      </c>
      <c r="C197" s="7" t="str">
        <f>INDEX(Raw_Customers!$B$2:$B$101,MATCH($B197,Raw_Customers!$A$2:$A$101,0))</f>
        <v>Arhaan Ahluwalia</v>
      </c>
      <c r="D197" s="7" t="str">
        <f>TRIM(INDEX(Raw_Customers!$C$2:$C$101,MATCH($B197,Raw_Customers!$A$2:$A$101,0)))</f>
        <v>Jamnagar</v>
      </c>
      <c r="E197" s="7" t="str">
        <f>"+91-"&amp;RIGHT("0000000000"&amp;INDEX(Raw_Customers!$D$2:$D$101,MATCH($B197,Raw_Customers!$A$2:$A$101,0)),10)</f>
        <v>+91-5287021467</v>
      </c>
      <c r="F197" s="7" t="str">
        <f>Raw_Orders!C197</f>
        <v>30</v>
      </c>
      <c r="G197" s="7" t="str">
        <f>INDEX(Raw_Products!$B$2:$B$71,MATCH($F197,Raw_Products!$A$2:$A$71,0))</f>
        <v>Recusandae Pack</v>
      </c>
      <c r="H197" s="7" t="str">
        <f>INDEX(Raw_Products!$C$2:$C$71,MATCH($F197,Raw_Products!$A$2:$A$71,0))</f>
        <v>Colors</v>
      </c>
      <c r="I197" s="7">
        <f>VALUE(Raw_Orders!D197)</f>
        <v>2</v>
      </c>
      <c r="J197" s="11" t="str">
        <f>INDEX(Raw_Products!$D$2:$D$71,MATCH($F197,Raw_Products!$A$2:$A$71,0))</f>
        <v>751</v>
      </c>
      <c r="K197" s="11">
        <f t="shared" si="6"/>
        <v>1502</v>
      </c>
      <c r="L197" s="12">
        <f>DATE(VALUE(RIGHT(Raw_Orders!E197,4)),VALUE(MID(Raw_Orders!E197,4,2)),VALUE(LEFT(Raw_Orders!E197,2)))</f>
        <v>45143</v>
      </c>
      <c r="M197" s="12">
        <f>DATE(VALUE(RIGHT(Raw_Orders!G197,4)),VALUE(MID(Raw_Orders!G197,4,2)),VALUE(LEFT(Raw_Orders!G197,2)))</f>
        <v>45151</v>
      </c>
      <c r="N197" s="7">
        <f t="shared" si="7"/>
        <v>8</v>
      </c>
      <c r="O197" s="7" t="str">
        <f>Raw_Orders!J197</f>
        <v>Anniversary</v>
      </c>
      <c r="P197" s="7" t="str">
        <f>Raw_Orders!I197</f>
        <v>Begusarai</v>
      </c>
    </row>
    <row r="198" spans="1:16">
      <c r="A198" s="7" t="str">
        <f>Raw_Orders!A198</f>
        <v>197</v>
      </c>
      <c r="B198" s="7" t="str">
        <f>Raw_Orders!B198</f>
        <v>C095</v>
      </c>
      <c r="C198" s="7" t="str">
        <f>INDEX(Raw_Customers!$B$2:$B$101,MATCH($B198,Raw_Customers!$A$2:$A$101,0))</f>
        <v>Mahika Cherian</v>
      </c>
      <c r="D198" s="7" t="str">
        <f>TRIM(INDEX(Raw_Customers!$C$2:$C$101,MATCH($B198,Raw_Customers!$A$2:$A$101,0)))</f>
        <v>Warangal</v>
      </c>
      <c r="E198" s="7" t="str">
        <f>"+91-"&amp;RIGHT("0000000000"&amp;INDEX(Raw_Customers!$D$2:$D$101,MATCH($B198,Raw_Customers!$A$2:$A$101,0)),10)</f>
        <v>+91-2769457161</v>
      </c>
      <c r="F198" s="7" t="str">
        <f>Raw_Orders!C198</f>
        <v>45</v>
      </c>
      <c r="G198" s="7" t="str">
        <f>INDEX(Raw_Products!$B$2:$B$71,MATCH($F198,Raw_Products!$A$2:$A$71,0))</f>
        <v>Iusto Set</v>
      </c>
      <c r="H198" s="7" t="str">
        <f>INDEX(Raw_Products!$C$2:$C$71,MATCH($F198,Raw_Products!$A$2:$A$71,0))</f>
        <v>Raksha Bandhan</v>
      </c>
      <c r="I198" s="7">
        <f>VALUE(Raw_Orders!D198)</f>
        <v>2</v>
      </c>
      <c r="J198" s="11" t="str">
        <f>INDEX(Raw_Products!$D$2:$D$71,MATCH($F198,Raw_Products!$A$2:$A$71,0))</f>
        <v>722</v>
      </c>
      <c r="K198" s="11">
        <f t="shared" si="6"/>
        <v>1444</v>
      </c>
      <c r="L198" s="12">
        <f>DATE(VALUE(RIGHT(Raw_Orders!E198,4)),VALUE(MID(Raw_Orders!E198,4,2)),VALUE(LEFT(Raw_Orders!E198,2)))</f>
        <v>45007</v>
      </c>
      <c r="M198" s="12">
        <f>DATE(VALUE(RIGHT(Raw_Orders!G198,4)),VALUE(MID(Raw_Orders!G198,4,2)),VALUE(LEFT(Raw_Orders!G198,2)))</f>
        <v>45011</v>
      </c>
      <c r="N198" s="7">
        <f t="shared" si="7"/>
        <v>4</v>
      </c>
      <c r="O198" s="7" t="str">
        <f>Raw_Orders!J198</f>
        <v>Birthday</v>
      </c>
      <c r="P198" s="7" t="str">
        <f>Raw_Orders!I198</f>
        <v>Etawah</v>
      </c>
    </row>
    <row r="199" spans="1:16">
      <c r="A199" s="7" t="str">
        <f>Raw_Orders!A199</f>
        <v>198</v>
      </c>
      <c r="B199" s="7" t="str">
        <f>Raw_Orders!B199</f>
        <v>C090</v>
      </c>
      <c r="C199" s="7" t="str">
        <f>INDEX(Raw_Customers!$B$2:$B$101,MATCH($B199,Raw_Customers!$A$2:$A$101,0))</f>
        <v>Drishya De</v>
      </c>
      <c r="D199" s="7" t="str">
        <f>TRIM(INDEX(Raw_Customers!$C$2:$C$101,MATCH($B199,Raw_Customers!$A$2:$A$101,0)))</f>
        <v>Anantapuram</v>
      </c>
      <c r="E199" s="7" t="str">
        <f>"+91-"&amp;RIGHT("0000000000"&amp;INDEX(Raw_Customers!$D$2:$D$101,MATCH($B199,Raw_Customers!$A$2:$A$101,0)),10)</f>
        <v>+91-3327374841</v>
      </c>
      <c r="F199" s="7" t="str">
        <f>Raw_Orders!C199</f>
        <v>24</v>
      </c>
      <c r="G199" s="7" t="str">
        <f>INDEX(Raw_Products!$B$2:$B$71,MATCH($F199,Raw_Products!$A$2:$A$71,0))</f>
        <v>Ad Box</v>
      </c>
      <c r="H199" s="7" t="str">
        <f>INDEX(Raw_Products!$C$2:$C$71,MATCH($F199,Raw_Products!$A$2:$A$71,0))</f>
        <v>Mugs</v>
      </c>
      <c r="I199" s="7">
        <f>VALUE(Raw_Orders!D199)</f>
        <v>2</v>
      </c>
      <c r="J199" s="11" t="str">
        <f>INDEX(Raw_Products!$D$2:$D$71,MATCH($F199,Raw_Products!$A$2:$A$71,0))</f>
        <v>535</v>
      </c>
      <c r="K199" s="11">
        <f t="shared" si="6"/>
        <v>1070</v>
      </c>
      <c r="L199" s="12">
        <f>DATE(VALUE(RIGHT(Raw_Orders!E199,4)),VALUE(MID(Raw_Orders!E199,4,2)),VALUE(LEFT(Raw_Orders!E199,2)))</f>
        <v>45165</v>
      </c>
      <c r="M199" s="12">
        <f>DATE(VALUE(RIGHT(Raw_Orders!G199,4)),VALUE(MID(Raw_Orders!G199,4,2)),VALUE(LEFT(Raw_Orders!G199,2)))</f>
        <v>45173</v>
      </c>
      <c r="N199" s="7">
        <f t="shared" si="7"/>
        <v>8</v>
      </c>
      <c r="O199" s="7" t="str">
        <f>Raw_Orders!J199</f>
        <v>Birthday</v>
      </c>
      <c r="P199" s="7" t="str">
        <f>Raw_Orders!I199</f>
        <v>Phagwara</v>
      </c>
    </row>
    <row r="200" spans="1:16">
      <c r="A200" s="7" t="str">
        <f>Raw_Orders!A200</f>
        <v>199</v>
      </c>
      <c r="B200" s="7" t="str">
        <f>Raw_Orders!B200</f>
        <v>C093</v>
      </c>
      <c r="C200" s="7" t="str">
        <f>INDEX(Raw_Customers!$B$2:$B$101,MATCH($B200,Raw_Customers!$A$2:$A$101,0))</f>
        <v>Mamooty Bawa</v>
      </c>
      <c r="D200" s="7" t="str">
        <f>TRIM(INDEX(Raw_Customers!$C$2:$C$101,MATCH($B200,Raw_Customers!$A$2:$A$101,0)))</f>
        <v>Tumkur</v>
      </c>
      <c r="E200" s="7" t="str">
        <f>"+91-"&amp;RIGHT("0000000000"&amp;INDEX(Raw_Customers!$D$2:$D$101,MATCH($B200,Raw_Customers!$A$2:$A$101,0)),10)</f>
        <v>+91-2783169130</v>
      </c>
      <c r="F200" s="7" t="str">
        <f>Raw_Orders!C200</f>
        <v>70</v>
      </c>
      <c r="G200" s="7" t="str">
        <f>INDEX(Raw_Products!$B$2:$B$71,MATCH($F200,Raw_Products!$A$2:$A$71,0))</f>
        <v>Error Gift</v>
      </c>
      <c r="H200" s="7" t="str">
        <f>INDEX(Raw_Products!$C$2:$C$71,MATCH($F200,Raw_Products!$A$2:$A$71,0))</f>
        <v>Sweets</v>
      </c>
      <c r="I200" s="7">
        <f>VALUE(Raw_Orders!D200)</f>
        <v>5</v>
      </c>
      <c r="J200" s="11" t="str">
        <f>INDEX(Raw_Products!$D$2:$D$71,MATCH($F200,Raw_Products!$A$2:$A$71,0))</f>
        <v>866</v>
      </c>
      <c r="K200" s="11">
        <f t="shared" si="6"/>
        <v>4330</v>
      </c>
      <c r="L200" s="12">
        <f>DATE(VALUE(RIGHT(Raw_Orders!E200,4)),VALUE(MID(Raw_Orders!E200,4,2)),VALUE(LEFT(Raw_Orders!E200,2)))</f>
        <v>45154</v>
      </c>
      <c r="M200" s="12">
        <f>DATE(VALUE(RIGHT(Raw_Orders!G200,4)),VALUE(MID(Raw_Orders!G200,4,2)),VALUE(LEFT(Raw_Orders!G200,2)))</f>
        <v>45157</v>
      </c>
      <c r="N200" s="7">
        <f t="shared" si="7"/>
        <v>3</v>
      </c>
      <c r="O200" s="7" t="str">
        <f>Raw_Orders!J200</f>
        <v>Birthday</v>
      </c>
      <c r="P200" s="7" t="str">
        <f>Raw_Orders!I200</f>
        <v>Bareilly</v>
      </c>
    </row>
    <row r="201" spans="1:16">
      <c r="A201" s="7" t="str">
        <f>Raw_Orders!A201</f>
        <v>200</v>
      </c>
      <c r="B201" s="7" t="str">
        <f>Raw_Orders!B201</f>
        <v>C067</v>
      </c>
      <c r="C201" s="7" t="str">
        <f>INDEX(Raw_Customers!$B$2:$B$101,MATCH($B201,Raw_Customers!$A$2:$A$101,0))</f>
        <v>Eva Sankaran</v>
      </c>
      <c r="D201" s="7" t="str">
        <f>TRIM(INDEX(Raw_Customers!$C$2:$C$101,MATCH($B201,Raw_Customers!$A$2:$A$101,0)))</f>
        <v>Anand</v>
      </c>
      <c r="E201" s="7" t="str">
        <f>"+91-"&amp;RIGHT("0000000000"&amp;INDEX(Raw_Customers!$D$2:$D$101,MATCH($B201,Raw_Customers!$A$2:$A$101,0)),10)</f>
        <v>+91-0407409251</v>
      </c>
      <c r="F201" s="7" t="str">
        <f>Raw_Orders!C201</f>
        <v>23</v>
      </c>
      <c r="G201" s="7" t="str">
        <f>INDEX(Raw_Products!$B$2:$B$71,MATCH($F201,Raw_Products!$A$2:$A$71,0))</f>
        <v>Dignissimos Pack</v>
      </c>
      <c r="H201" s="7" t="str">
        <f>INDEX(Raw_Products!$C$2:$C$71,MATCH($F201,Raw_Products!$A$2:$A$71,0))</f>
        <v>Sweets</v>
      </c>
      <c r="I201" s="7">
        <f>VALUE(Raw_Orders!D201)</f>
        <v>5</v>
      </c>
      <c r="J201" s="11" t="str">
        <f>INDEX(Raw_Products!$D$2:$D$71,MATCH($F201,Raw_Products!$A$2:$A$71,0))</f>
        <v>1098</v>
      </c>
      <c r="K201" s="11">
        <f t="shared" si="6"/>
        <v>5490</v>
      </c>
      <c r="L201" s="12">
        <f>DATE(VALUE(RIGHT(Raw_Orders!E201,4)),VALUE(MID(Raw_Orders!E201,4,2)),VALUE(LEFT(Raw_Orders!E201,2)))</f>
        <v>44929</v>
      </c>
      <c r="M201" s="12">
        <f>DATE(VALUE(RIGHT(Raw_Orders!G201,4)),VALUE(MID(Raw_Orders!G201,4,2)),VALUE(LEFT(Raw_Orders!G201,2)))</f>
        <v>44934</v>
      </c>
      <c r="N201" s="7">
        <f t="shared" si="7"/>
        <v>5</v>
      </c>
      <c r="O201" s="7" t="str">
        <f>Raw_Orders!J201</f>
        <v>Anniversary</v>
      </c>
      <c r="P201" s="7" t="str">
        <f>Raw_Orders!I201</f>
        <v>Agartala</v>
      </c>
    </row>
    <row r="202" spans="1:16">
      <c r="A202" s="7" t="str">
        <f>Raw_Orders!A202</f>
        <v>201</v>
      </c>
      <c r="B202" s="7" t="str">
        <f>Raw_Orders!B202</f>
        <v>C004</v>
      </c>
      <c r="C202" s="7" t="str">
        <f>INDEX(Raw_Customers!$B$2:$B$101,MATCH($B202,Raw_Customers!$A$2:$A$101,0))</f>
        <v>Tarini Bava</v>
      </c>
      <c r="D202" s="7" t="str">
        <f>TRIM(INDEX(Raw_Customers!$C$2:$C$101,MATCH($B202,Raw_Customers!$A$2:$A$101,0)))</f>
        <v>Miryalaguda</v>
      </c>
      <c r="E202" s="7" t="str">
        <f>"+91-"&amp;RIGHT("0000000000"&amp;INDEX(Raw_Customers!$D$2:$D$101,MATCH($B202,Raw_Customers!$A$2:$A$101,0)),10)</f>
        <v>+91-7232349928</v>
      </c>
      <c r="F202" s="7" t="str">
        <f>Raw_Orders!C202</f>
        <v>55</v>
      </c>
      <c r="G202" s="7" t="str">
        <f>INDEX(Raw_Products!$B$2:$B$71,MATCH($F202,Raw_Products!$A$2:$A$71,0))</f>
        <v>Dolores Gift</v>
      </c>
      <c r="H202" s="7" t="str">
        <f>INDEX(Raw_Products!$C$2:$C$71,MATCH($F202,Raw_Products!$A$2:$A$71,0))</f>
        <v>Soft Toys</v>
      </c>
      <c r="I202" s="7">
        <f>VALUE(Raw_Orders!D202)</f>
        <v>4</v>
      </c>
      <c r="J202" s="11" t="str">
        <f>INDEX(Raw_Products!$D$2:$D$71,MATCH($F202,Raw_Products!$A$2:$A$71,0))</f>
        <v>1904</v>
      </c>
      <c r="K202" s="11">
        <f t="shared" si="6"/>
        <v>7616</v>
      </c>
      <c r="L202" s="12">
        <f>DATE(VALUE(RIGHT(Raw_Orders!E202,4)),VALUE(MID(Raw_Orders!E202,4,2)),VALUE(LEFT(Raw_Orders!E202,2)))</f>
        <v>45162</v>
      </c>
      <c r="M202" s="12">
        <f>DATE(VALUE(RIGHT(Raw_Orders!G202,4)),VALUE(MID(Raw_Orders!G202,4,2)),VALUE(LEFT(Raw_Orders!G202,2)))</f>
        <v>45168</v>
      </c>
      <c r="N202" s="7">
        <f t="shared" si="7"/>
        <v>6</v>
      </c>
      <c r="O202" s="7" t="str">
        <f>Raw_Orders!J202</f>
        <v>Raksha Bandhan</v>
      </c>
      <c r="P202" s="7" t="str">
        <f>Raw_Orders!I202</f>
        <v>Dewas</v>
      </c>
    </row>
    <row r="203" spans="1:16">
      <c r="A203" s="7" t="str">
        <f>Raw_Orders!A203</f>
        <v>202</v>
      </c>
      <c r="B203" s="7" t="str">
        <f>Raw_Orders!B203</f>
        <v>C089</v>
      </c>
      <c r="C203" s="7" t="str">
        <f>INDEX(Raw_Customers!$B$2:$B$101,MATCH($B203,Raw_Customers!$A$2:$A$101,0))</f>
        <v>Oorja Dey</v>
      </c>
      <c r="D203" s="7" t="str">
        <f>TRIM(INDEX(Raw_Customers!$C$2:$C$101,MATCH($B203,Raw_Customers!$A$2:$A$101,0)))</f>
        <v>Nellore</v>
      </c>
      <c r="E203" s="7" t="str">
        <f>"+91-"&amp;RIGHT("0000000000"&amp;INDEX(Raw_Customers!$D$2:$D$101,MATCH($B203,Raw_Customers!$A$2:$A$101,0)),10)</f>
        <v>+91-7264144428</v>
      </c>
      <c r="F203" s="7" t="str">
        <f>Raw_Orders!C203</f>
        <v>36</v>
      </c>
      <c r="G203" s="7" t="str">
        <f>INDEX(Raw_Products!$B$2:$B$71,MATCH($F203,Raw_Products!$A$2:$A$71,0))</f>
        <v>Cum Gift</v>
      </c>
      <c r="H203" s="7" t="str">
        <f>INDEX(Raw_Products!$C$2:$C$71,MATCH($F203,Raw_Products!$A$2:$A$71,0))</f>
        <v>Plants</v>
      </c>
      <c r="I203" s="7">
        <f>VALUE(Raw_Orders!D203)</f>
        <v>5</v>
      </c>
      <c r="J203" s="11" t="str">
        <f>INDEX(Raw_Products!$D$2:$D$71,MATCH($F203,Raw_Products!$A$2:$A$71,0))</f>
        <v>203</v>
      </c>
      <c r="K203" s="11">
        <f t="shared" si="6"/>
        <v>1015</v>
      </c>
      <c r="L203" s="12">
        <f>DATE(VALUE(RIGHT(Raw_Orders!E203,4)),VALUE(MID(Raw_Orders!E203,4,2)),VALUE(LEFT(Raw_Orders!E203,2)))</f>
        <v>45134</v>
      </c>
      <c r="M203" s="12">
        <f>DATE(VALUE(RIGHT(Raw_Orders!G203,4)),VALUE(MID(Raw_Orders!G203,4,2)),VALUE(LEFT(Raw_Orders!G203,2)))</f>
        <v>45139</v>
      </c>
      <c r="N203" s="7">
        <f t="shared" si="7"/>
        <v>5</v>
      </c>
      <c r="O203" s="7" t="str">
        <f>Raw_Orders!J203</f>
        <v>Birthday</v>
      </c>
      <c r="P203" s="7" t="str">
        <f>Raw_Orders!I203</f>
        <v>Bhimavaram</v>
      </c>
    </row>
    <row r="204" spans="1:16">
      <c r="A204" s="7" t="str">
        <f>Raw_Orders!A204</f>
        <v>203</v>
      </c>
      <c r="B204" s="7" t="str">
        <f>Raw_Orders!B204</f>
        <v>C039</v>
      </c>
      <c r="C204" s="7" t="str">
        <f>INDEX(Raw_Customers!$B$2:$B$101,MATCH($B204,Raw_Customers!$A$2:$A$101,0))</f>
        <v>Kaira Bahl</v>
      </c>
      <c r="D204" s="7" t="str">
        <f>TRIM(INDEX(Raw_Customers!$C$2:$C$101,MATCH($B204,Raw_Customers!$A$2:$A$101,0)))</f>
        <v>Kamarhati</v>
      </c>
      <c r="E204" s="7" t="str">
        <f>"+91-"&amp;RIGHT("0000000000"&amp;INDEX(Raw_Customers!$D$2:$D$101,MATCH($B204,Raw_Customers!$A$2:$A$101,0)),10)</f>
        <v>+91-8804850295</v>
      </c>
      <c r="F204" s="7" t="str">
        <f>Raw_Orders!C204</f>
        <v>9</v>
      </c>
      <c r="G204" s="7" t="str">
        <f>INDEX(Raw_Products!$B$2:$B$71,MATCH($F204,Raw_Products!$A$2:$A$71,0))</f>
        <v>Aperiam Box</v>
      </c>
      <c r="H204" s="7" t="str">
        <f>INDEX(Raw_Products!$C$2:$C$71,MATCH($F204,Raw_Products!$A$2:$A$71,0))</f>
        <v>Colors</v>
      </c>
      <c r="I204" s="7">
        <f>VALUE(Raw_Orders!D204)</f>
        <v>5</v>
      </c>
      <c r="J204" s="11" t="str">
        <f>INDEX(Raw_Products!$D$2:$D$71,MATCH($F204,Raw_Products!$A$2:$A$71,0))</f>
        <v>1605</v>
      </c>
      <c r="K204" s="11">
        <f t="shared" si="6"/>
        <v>8025</v>
      </c>
      <c r="L204" s="12">
        <f>DATE(VALUE(RIGHT(Raw_Orders!E204,4)),VALUE(MID(Raw_Orders!E204,4,2)),VALUE(LEFT(Raw_Orders!E204,2)))</f>
        <v>45167</v>
      </c>
      <c r="M204" s="12">
        <f>DATE(VALUE(RIGHT(Raw_Orders!G204,4)),VALUE(MID(Raw_Orders!G204,4,2)),VALUE(LEFT(Raw_Orders!G204,2)))</f>
        <v>45177</v>
      </c>
      <c r="N204" s="7">
        <f t="shared" si="7"/>
        <v>10</v>
      </c>
      <c r="O204" s="7" t="str">
        <f>Raw_Orders!J204</f>
        <v>Raksha Bandhan</v>
      </c>
      <c r="P204" s="7" t="str">
        <f>Raw_Orders!I204</f>
        <v>Vijayanagaram</v>
      </c>
    </row>
    <row r="205" spans="1:16">
      <c r="A205" s="7" t="str">
        <f>Raw_Orders!A205</f>
        <v>204</v>
      </c>
      <c r="B205" s="7" t="str">
        <f>Raw_Orders!B205</f>
        <v>C062</v>
      </c>
      <c r="C205" s="7" t="str">
        <f>INDEX(Raw_Customers!$B$2:$B$101,MATCH($B205,Raw_Customers!$A$2:$A$101,0))</f>
        <v>Inaaya  Sarraf</v>
      </c>
      <c r="D205" s="7" t="str">
        <f>TRIM(INDEX(Raw_Customers!$C$2:$C$101,MATCH($B205,Raw_Customers!$A$2:$A$101,0)))</f>
        <v>Nagpur</v>
      </c>
      <c r="E205" s="7" t="str">
        <f>"+91-"&amp;RIGHT("0000000000"&amp;INDEX(Raw_Customers!$D$2:$D$101,MATCH($B205,Raw_Customers!$A$2:$A$101,0)),10)</f>
        <v>+91-5915082470</v>
      </c>
      <c r="F205" s="7" t="str">
        <f>Raw_Orders!C205</f>
        <v>10</v>
      </c>
      <c r="G205" s="7" t="str">
        <f>INDEX(Raw_Products!$B$2:$B$71,MATCH($F205,Raw_Products!$A$2:$A$71,0))</f>
        <v>Accusantium Gift</v>
      </c>
      <c r="H205" s="7" t="str">
        <f>INDEX(Raw_Products!$C$2:$C$71,MATCH($F205,Raw_Products!$A$2:$A$71,0))</f>
        <v>Cake</v>
      </c>
      <c r="I205" s="7">
        <f>VALUE(Raw_Orders!D205)</f>
        <v>4</v>
      </c>
      <c r="J205" s="11" t="str">
        <f>INDEX(Raw_Products!$D$2:$D$71,MATCH($F205,Raw_Products!$A$2:$A$71,0))</f>
        <v>259</v>
      </c>
      <c r="K205" s="11">
        <f t="shared" si="6"/>
        <v>1036</v>
      </c>
      <c r="L205" s="12">
        <f>DATE(VALUE(RIGHT(Raw_Orders!E205,4)),VALUE(MID(Raw_Orders!E205,4,2)),VALUE(LEFT(Raw_Orders!E205,2)))</f>
        <v>45110</v>
      </c>
      <c r="M205" s="12">
        <f>DATE(VALUE(RIGHT(Raw_Orders!G205,4)),VALUE(MID(Raw_Orders!G205,4,2)),VALUE(LEFT(Raw_Orders!G205,2)))</f>
        <v>45116</v>
      </c>
      <c r="N205" s="7">
        <f t="shared" si="7"/>
        <v>6</v>
      </c>
      <c r="O205" s="7" t="str">
        <f>Raw_Orders!J205</f>
        <v>Birthday</v>
      </c>
      <c r="P205" s="7" t="str">
        <f>Raw_Orders!I205</f>
        <v>Jaipur</v>
      </c>
    </row>
    <row r="206" spans="1:16">
      <c r="A206" s="7" t="str">
        <f>Raw_Orders!A206</f>
        <v>205</v>
      </c>
      <c r="B206" s="7" t="str">
        <f>Raw_Orders!B206</f>
        <v>C022</v>
      </c>
      <c r="C206" s="7" t="str">
        <f>INDEX(Raw_Customers!$B$2:$B$101,MATCH($B206,Raw_Customers!$A$2:$A$101,0))</f>
        <v>Ivana Rout</v>
      </c>
      <c r="D206" s="7" t="str">
        <f>TRIM(INDEX(Raw_Customers!$C$2:$C$101,MATCH($B206,Raw_Customers!$A$2:$A$101,0)))</f>
        <v>Khandwa</v>
      </c>
      <c r="E206" s="7" t="str">
        <f>"+91-"&amp;RIGHT("0000000000"&amp;INDEX(Raw_Customers!$D$2:$D$101,MATCH($B206,Raw_Customers!$A$2:$A$101,0)),10)</f>
        <v>+91-3111711777</v>
      </c>
      <c r="F206" s="7" t="str">
        <f>Raw_Orders!C206</f>
        <v>46</v>
      </c>
      <c r="G206" s="7" t="str">
        <f>INDEX(Raw_Products!$B$2:$B$71,MATCH($F206,Raw_Products!$A$2:$A$71,0))</f>
        <v>Pariatur Set</v>
      </c>
      <c r="H206" s="7" t="str">
        <f>INDEX(Raw_Products!$C$2:$C$71,MATCH($F206,Raw_Products!$A$2:$A$71,0))</f>
        <v>Cake</v>
      </c>
      <c r="I206" s="7">
        <f>VALUE(Raw_Orders!D206)</f>
        <v>5</v>
      </c>
      <c r="J206" s="11" t="str">
        <f>INDEX(Raw_Products!$D$2:$D$71,MATCH($F206,Raw_Products!$A$2:$A$71,0))</f>
        <v>758</v>
      </c>
      <c r="K206" s="11">
        <f t="shared" si="6"/>
        <v>3790</v>
      </c>
      <c r="L206" s="12">
        <f>DATE(VALUE(RIGHT(Raw_Orders!E206,4)),VALUE(MID(Raw_Orders!E206,4,2)),VALUE(LEFT(Raw_Orders!E206,2)))</f>
        <v>45113</v>
      </c>
      <c r="M206" s="12">
        <f>DATE(VALUE(RIGHT(Raw_Orders!G206,4)),VALUE(MID(Raw_Orders!G206,4,2)),VALUE(LEFT(Raw_Orders!G206,2)))</f>
        <v>45116</v>
      </c>
      <c r="N206" s="7">
        <f t="shared" si="7"/>
        <v>3</v>
      </c>
      <c r="O206" s="7" t="str">
        <f>Raw_Orders!J206</f>
        <v>Anniversary</v>
      </c>
      <c r="P206" s="7" t="str">
        <f>Raw_Orders!I206</f>
        <v>Davanagere</v>
      </c>
    </row>
    <row r="207" spans="1:16">
      <c r="A207" s="7" t="str">
        <f>Raw_Orders!A207</f>
        <v>206</v>
      </c>
      <c r="B207" s="7" t="str">
        <f>Raw_Orders!B207</f>
        <v>C099</v>
      </c>
      <c r="C207" s="7" t="str">
        <f>INDEX(Raw_Customers!$B$2:$B$101,MATCH($B207,Raw_Customers!$A$2:$A$101,0))</f>
        <v>Ranbir Loyal</v>
      </c>
      <c r="D207" s="7" t="str">
        <f>TRIM(INDEX(Raw_Customers!$C$2:$C$101,MATCH($B207,Raw_Customers!$A$2:$A$101,0)))</f>
        <v>Dhanbad</v>
      </c>
      <c r="E207" s="7" t="str">
        <f>"+91-"&amp;RIGHT("0000000000"&amp;INDEX(Raw_Customers!$D$2:$D$101,MATCH($B207,Raw_Customers!$A$2:$A$101,0)),10)</f>
        <v>+91-3621448305</v>
      </c>
      <c r="F207" s="7" t="str">
        <f>Raw_Orders!C207</f>
        <v>68</v>
      </c>
      <c r="G207" s="7" t="str">
        <f>INDEX(Raw_Products!$B$2:$B$71,MATCH($F207,Raw_Products!$A$2:$A$71,0))</f>
        <v>Quas Gift</v>
      </c>
      <c r="H207" s="7" t="str">
        <f>INDEX(Raw_Products!$C$2:$C$71,MATCH($F207,Raw_Products!$A$2:$A$71,0))</f>
        <v>Soft Toys</v>
      </c>
      <c r="I207" s="7">
        <f>VALUE(Raw_Orders!D207)</f>
        <v>3</v>
      </c>
      <c r="J207" s="11" t="str">
        <f>INDEX(Raw_Products!$D$2:$D$71,MATCH($F207,Raw_Products!$A$2:$A$71,0))</f>
        <v>597</v>
      </c>
      <c r="K207" s="11">
        <f t="shared" si="6"/>
        <v>1791</v>
      </c>
      <c r="L207" s="12">
        <f>DATE(VALUE(RIGHT(Raw_Orders!E207,4)),VALUE(MID(Raw_Orders!E207,4,2)),VALUE(LEFT(Raw_Orders!E207,2)))</f>
        <v>44968</v>
      </c>
      <c r="M207" s="12">
        <f>DATE(VALUE(RIGHT(Raw_Orders!G207,4)),VALUE(MID(Raw_Orders!G207,4,2)),VALUE(LEFT(Raw_Orders!G207,2)))</f>
        <v>44970</v>
      </c>
      <c r="N207" s="7">
        <f t="shared" si="7"/>
        <v>2</v>
      </c>
      <c r="O207" s="7" t="str">
        <f>Raw_Orders!J207</f>
        <v>Valentine's Day</v>
      </c>
      <c r="P207" s="7" t="str">
        <f>Raw_Orders!I207</f>
        <v>Ulhasnagar</v>
      </c>
    </row>
    <row r="208" spans="1:16">
      <c r="A208" s="7" t="str">
        <f>Raw_Orders!A208</f>
        <v>207</v>
      </c>
      <c r="B208" s="7" t="str">
        <f>Raw_Orders!B208</f>
        <v>C078</v>
      </c>
      <c r="C208" s="7" t="str">
        <f>INDEX(Raw_Customers!$B$2:$B$101,MATCH($B208,Raw_Customers!$A$2:$A$101,0))</f>
        <v>Jivika Rajan</v>
      </c>
      <c r="D208" s="7" t="str">
        <f>TRIM(INDEX(Raw_Customers!$C$2:$C$101,MATCH($B208,Raw_Customers!$A$2:$A$101,0)))</f>
        <v>Bhubaneswar</v>
      </c>
      <c r="E208" s="7" t="str">
        <f>"+91-"&amp;RIGHT("0000000000"&amp;INDEX(Raw_Customers!$D$2:$D$101,MATCH($B208,Raw_Customers!$A$2:$A$101,0)),10)</f>
        <v>+91-3005266310</v>
      </c>
      <c r="F208" s="7" t="str">
        <f>Raw_Orders!C208</f>
        <v>6</v>
      </c>
      <c r="G208" s="7" t="str">
        <f>INDEX(Raw_Products!$B$2:$B$71,MATCH($F208,Raw_Products!$A$2:$A$71,0))</f>
        <v>Quos Box</v>
      </c>
      <c r="H208" s="7" t="str">
        <f>INDEX(Raw_Products!$C$2:$C$71,MATCH($F208,Raw_Products!$A$2:$A$71,0))</f>
        <v>Cake</v>
      </c>
      <c r="I208" s="7">
        <f>VALUE(Raw_Orders!D208)</f>
        <v>2</v>
      </c>
      <c r="J208" s="11" t="str">
        <f>INDEX(Raw_Products!$D$2:$D$71,MATCH($F208,Raw_Products!$A$2:$A$71,0))</f>
        <v>1112</v>
      </c>
      <c r="K208" s="11">
        <f t="shared" si="6"/>
        <v>2224</v>
      </c>
      <c r="L208" s="12">
        <f>DATE(VALUE(RIGHT(Raw_Orders!E208,4)),VALUE(MID(Raw_Orders!E208,4,2)),VALUE(LEFT(Raw_Orders!E208,2)))</f>
        <v>44990</v>
      </c>
      <c r="M208" s="12">
        <f>DATE(VALUE(RIGHT(Raw_Orders!G208,4)),VALUE(MID(Raw_Orders!G208,4,2)),VALUE(LEFT(Raw_Orders!G208,2)))</f>
        <v>44992</v>
      </c>
      <c r="N208" s="7">
        <f t="shared" si="7"/>
        <v>2</v>
      </c>
      <c r="O208" s="7" t="str">
        <f>Raw_Orders!J208</f>
        <v>Holi</v>
      </c>
      <c r="P208" s="7" t="str">
        <f>Raw_Orders!I208</f>
        <v>Amravati</v>
      </c>
    </row>
    <row r="209" spans="1:16">
      <c r="A209" s="7" t="str">
        <f>Raw_Orders!A209</f>
        <v>208</v>
      </c>
      <c r="B209" s="7" t="str">
        <f>Raw_Orders!B209</f>
        <v>C001</v>
      </c>
      <c r="C209" s="7" t="str">
        <f>INDEX(Raw_Customers!$B$2:$B$101,MATCH($B209,Raw_Customers!$A$2:$A$101,0))</f>
        <v>Tara Krishnan</v>
      </c>
      <c r="D209" s="7" t="str">
        <f>TRIM(INDEX(Raw_Customers!$C$2:$C$101,MATCH($B209,Raw_Customers!$A$2:$A$101,0)))</f>
        <v>Panchkula</v>
      </c>
      <c r="E209" s="7" t="str">
        <f>"+91-"&amp;RIGHT("0000000000"&amp;INDEX(Raw_Customers!$D$2:$D$101,MATCH($B209,Raw_Customers!$A$2:$A$101,0)),10)</f>
        <v>+91-7193971454</v>
      </c>
      <c r="F209" s="7" t="str">
        <f>Raw_Orders!C209</f>
        <v>18</v>
      </c>
      <c r="G209" s="7" t="str">
        <f>INDEX(Raw_Products!$B$2:$B$71,MATCH($F209,Raw_Products!$A$2:$A$71,0))</f>
        <v>Nemo Set</v>
      </c>
      <c r="H209" s="7" t="str">
        <f>INDEX(Raw_Products!$C$2:$C$71,MATCH($F209,Raw_Products!$A$2:$A$71,0))</f>
        <v>Plants</v>
      </c>
      <c r="I209" s="7">
        <f>VALUE(Raw_Orders!D209)</f>
        <v>5</v>
      </c>
      <c r="J209" s="11" t="str">
        <f>INDEX(Raw_Products!$D$2:$D$71,MATCH($F209,Raw_Products!$A$2:$A$71,0))</f>
        <v>781</v>
      </c>
      <c r="K209" s="11">
        <f t="shared" si="6"/>
        <v>3905</v>
      </c>
      <c r="L209" s="12">
        <f>DATE(VALUE(RIGHT(Raw_Orders!E209,4)),VALUE(MID(Raw_Orders!E209,4,2)),VALUE(LEFT(Raw_Orders!E209,2)))</f>
        <v>45018</v>
      </c>
      <c r="M209" s="12">
        <f>DATE(VALUE(RIGHT(Raw_Orders!G209,4)),VALUE(MID(Raw_Orders!G209,4,2)),VALUE(LEFT(Raw_Orders!G209,2)))</f>
        <v>45028</v>
      </c>
      <c r="N209" s="7">
        <f t="shared" si="7"/>
        <v>10</v>
      </c>
      <c r="O209" s="7" t="str">
        <f>Raw_Orders!J209</f>
        <v>Birthday</v>
      </c>
      <c r="P209" s="7" t="str">
        <f>Raw_Orders!I209</f>
        <v>Kulti</v>
      </c>
    </row>
    <row r="210" spans="1:16">
      <c r="A210" s="7" t="str">
        <f>Raw_Orders!A210</f>
        <v>209</v>
      </c>
      <c r="B210" s="7" t="str">
        <f>Raw_Orders!B210</f>
        <v>C071</v>
      </c>
      <c r="C210" s="7" t="str">
        <f>INDEX(Raw_Customers!$B$2:$B$101,MATCH($B210,Raw_Customers!$A$2:$A$101,0))</f>
        <v>Purab Sheth</v>
      </c>
      <c r="D210" s="7" t="str">
        <f>TRIM(INDEX(Raw_Customers!$C$2:$C$101,MATCH($B210,Raw_Customers!$A$2:$A$101,0)))</f>
        <v>Tiruppur</v>
      </c>
      <c r="E210" s="7" t="str">
        <f>"+91-"&amp;RIGHT("0000000000"&amp;INDEX(Raw_Customers!$D$2:$D$101,MATCH($B210,Raw_Customers!$A$2:$A$101,0)),10)</f>
        <v>+91-8410472405</v>
      </c>
      <c r="F210" s="7" t="str">
        <f>Raw_Orders!C210</f>
        <v>70</v>
      </c>
      <c r="G210" s="7" t="str">
        <f>INDEX(Raw_Products!$B$2:$B$71,MATCH($F210,Raw_Products!$A$2:$A$71,0))</f>
        <v>Error Gift</v>
      </c>
      <c r="H210" s="7" t="str">
        <f>INDEX(Raw_Products!$C$2:$C$71,MATCH($F210,Raw_Products!$A$2:$A$71,0))</f>
        <v>Sweets</v>
      </c>
      <c r="I210" s="7">
        <f>VALUE(Raw_Orders!D210)</f>
        <v>2</v>
      </c>
      <c r="J210" s="11" t="str">
        <f>INDEX(Raw_Products!$D$2:$D$71,MATCH($F210,Raw_Products!$A$2:$A$71,0))</f>
        <v>866</v>
      </c>
      <c r="K210" s="11">
        <f t="shared" si="6"/>
        <v>1732</v>
      </c>
      <c r="L210" s="12">
        <f>DATE(VALUE(RIGHT(Raw_Orders!E210,4)),VALUE(MID(Raw_Orders!E210,4,2)),VALUE(LEFT(Raw_Orders!E210,2)))</f>
        <v>45099</v>
      </c>
      <c r="M210" s="12">
        <f>DATE(VALUE(RIGHT(Raw_Orders!G210,4)),VALUE(MID(Raw_Orders!G210,4,2)),VALUE(LEFT(Raw_Orders!G210,2)))</f>
        <v>45100</v>
      </c>
      <c r="N210" s="7">
        <f t="shared" si="7"/>
        <v>1</v>
      </c>
      <c r="O210" s="7" t="str">
        <f>Raw_Orders!J210</f>
        <v>Birthday</v>
      </c>
      <c r="P210" s="7" t="str">
        <f>Raw_Orders!I210</f>
        <v>Hajipur</v>
      </c>
    </row>
    <row r="211" spans="1:16">
      <c r="A211" s="7" t="str">
        <f>Raw_Orders!A211</f>
        <v>210</v>
      </c>
      <c r="B211" s="7" t="str">
        <f>Raw_Orders!B211</f>
        <v>C095</v>
      </c>
      <c r="C211" s="7" t="str">
        <f>INDEX(Raw_Customers!$B$2:$B$101,MATCH($B211,Raw_Customers!$A$2:$A$101,0))</f>
        <v>Mahika Cherian</v>
      </c>
      <c r="D211" s="7" t="str">
        <f>TRIM(INDEX(Raw_Customers!$C$2:$C$101,MATCH($B211,Raw_Customers!$A$2:$A$101,0)))</f>
        <v>Warangal</v>
      </c>
      <c r="E211" s="7" t="str">
        <f>"+91-"&amp;RIGHT("0000000000"&amp;INDEX(Raw_Customers!$D$2:$D$101,MATCH($B211,Raw_Customers!$A$2:$A$101,0)),10)</f>
        <v>+91-2769457161</v>
      </c>
      <c r="F211" s="7" t="str">
        <f>Raw_Orders!C211</f>
        <v>32</v>
      </c>
      <c r="G211" s="7" t="str">
        <f>INDEX(Raw_Products!$B$2:$B$71,MATCH($F211,Raw_Products!$A$2:$A$71,0))</f>
        <v>Fuga Set</v>
      </c>
      <c r="H211" s="7" t="str">
        <f>INDEX(Raw_Products!$C$2:$C$71,MATCH($F211,Raw_Products!$A$2:$A$71,0))</f>
        <v>Soft Toys</v>
      </c>
      <c r="I211" s="7">
        <f>VALUE(Raw_Orders!D211)</f>
        <v>4</v>
      </c>
      <c r="J211" s="11" t="str">
        <f>INDEX(Raw_Products!$D$2:$D$71,MATCH($F211,Raw_Products!$A$2:$A$71,0))</f>
        <v>1792</v>
      </c>
      <c r="K211" s="11">
        <f t="shared" si="6"/>
        <v>7168</v>
      </c>
      <c r="L211" s="12">
        <f>DATE(VALUE(RIGHT(Raw_Orders!E211,4)),VALUE(MID(Raw_Orders!E211,4,2)),VALUE(LEFT(Raw_Orders!E211,2)))</f>
        <v>45270</v>
      </c>
      <c r="M211" s="12">
        <f>DATE(VALUE(RIGHT(Raw_Orders!G211,4)),VALUE(MID(Raw_Orders!G211,4,2)),VALUE(LEFT(Raw_Orders!G211,2)))</f>
        <v>45275</v>
      </c>
      <c r="N211" s="7">
        <f t="shared" si="7"/>
        <v>5</v>
      </c>
      <c r="O211" s="7" t="str">
        <f>Raw_Orders!J211</f>
        <v>Birthday</v>
      </c>
      <c r="P211" s="7" t="str">
        <f>Raw_Orders!I211</f>
        <v>Aligarh</v>
      </c>
    </row>
    <row r="212" spans="1:16">
      <c r="A212" s="7" t="str">
        <f>Raw_Orders!A212</f>
        <v>211</v>
      </c>
      <c r="B212" s="7" t="str">
        <f>Raw_Orders!B212</f>
        <v>C043</v>
      </c>
      <c r="C212" s="7" t="str">
        <f>INDEX(Raw_Customers!$B$2:$B$101,MATCH($B212,Raw_Customers!$A$2:$A$101,0))</f>
        <v>Yasmin Sheth</v>
      </c>
      <c r="D212" s="7" t="str">
        <f>TRIM(INDEX(Raw_Customers!$C$2:$C$101,MATCH($B212,Raw_Customers!$A$2:$A$101,0)))</f>
        <v>Vellore</v>
      </c>
      <c r="E212" s="7" t="str">
        <f>"+91-"&amp;RIGHT("0000000000"&amp;INDEX(Raw_Customers!$D$2:$D$101,MATCH($B212,Raw_Customers!$A$2:$A$101,0)),10)</f>
        <v>+91-2544865070</v>
      </c>
      <c r="F212" s="7" t="str">
        <f>Raw_Orders!C212</f>
        <v>31</v>
      </c>
      <c r="G212" s="7" t="str">
        <f>INDEX(Raw_Products!$B$2:$B$71,MATCH($F212,Raw_Products!$A$2:$A$71,0))</f>
        <v>Nihil Box</v>
      </c>
      <c r="H212" s="7" t="str">
        <f>INDEX(Raw_Products!$C$2:$C$71,MATCH($F212,Raw_Products!$A$2:$A$71,0))</f>
        <v>Colors</v>
      </c>
      <c r="I212" s="7">
        <f>VALUE(Raw_Orders!D212)</f>
        <v>5</v>
      </c>
      <c r="J212" s="11" t="str">
        <f>INDEX(Raw_Products!$D$2:$D$71,MATCH($F212,Raw_Products!$A$2:$A$71,0))</f>
        <v>1804</v>
      </c>
      <c r="K212" s="11">
        <f t="shared" si="6"/>
        <v>9020</v>
      </c>
      <c r="L212" s="12">
        <f>DATE(VALUE(RIGHT(Raw_Orders!E212,4)),VALUE(MID(Raw_Orders!E212,4,2)),VALUE(LEFT(Raw_Orders!E212,2)))</f>
        <v>45221</v>
      </c>
      <c r="M212" s="12">
        <f>DATE(VALUE(RIGHT(Raw_Orders!G212,4)),VALUE(MID(Raw_Orders!G212,4,2)),VALUE(LEFT(Raw_Orders!G212,2)))</f>
        <v>45228</v>
      </c>
      <c r="N212" s="7">
        <f t="shared" si="7"/>
        <v>7</v>
      </c>
      <c r="O212" s="7" t="str">
        <f>Raw_Orders!J212</f>
        <v>All Occasions</v>
      </c>
      <c r="P212" s="7" t="str">
        <f>Raw_Orders!I212</f>
        <v>Orai</v>
      </c>
    </row>
    <row r="213" spans="1:16">
      <c r="A213" s="7" t="str">
        <f>Raw_Orders!A213</f>
        <v>212</v>
      </c>
      <c r="B213" s="7" t="str">
        <f>Raw_Orders!B213</f>
        <v>C093</v>
      </c>
      <c r="C213" s="7" t="str">
        <f>INDEX(Raw_Customers!$B$2:$B$101,MATCH($B213,Raw_Customers!$A$2:$A$101,0))</f>
        <v>Mamooty Bawa</v>
      </c>
      <c r="D213" s="7" t="str">
        <f>TRIM(INDEX(Raw_Customers!$C$2:$C$101,MATCH($B213,Raw_Customers!$A$2:$A$101,0)))</f>
        <v>Tumkur</v>
      </c>
      <c r="E213" s="7" t="str">
        <f>"+91-"&amp;RIGHT("0000000000"&amp;INDEX(Raw_Customers!$D$2:$D$101,MATCH($B213,Raw_Customers!$A$2:$A$101,0)),10)</f>
        <v>+91-2783169130</v>
      </c>
      <c r="F213" s="7" t="str">
        <f>Raw_Orders!C213</f>
        <v>7</v>
      </c>
      <c r="G213" s="7" t="str">
        <f>INDEX(Raw_Products!$B$2:$B$71,MATCH($F213,Raw_Products!$A$2:$A$71,0))</f>
        <v>Quos Set</v>
      </c>
      <c r="H213" s="7" t="str">
        <f>INDEX(Raw_Products!$C$2:$C$71,MATCH($F213,Raw_Products!$A$2:$A$71,0))</f>
        <v>Soft Toys</v>
      </c>
      <c r="I213" s="7">
        <f>VALUE(Raw_Orders!D213)</f>
        <v>2</v>
      </c>
      <c r="J213" s="11" t="str">
        <f>INDEX(Raw_Products!$D$2:$D$71,MATCH($F213,Raw_Products!$A$2:$A$71,0))</f>
        <v>409</v>
      </c>
      <c r="K213" s="11">
        <f t="shared" si="6"/>
        <v>818</v>
      </c>
      <c r="L213" s="12">
        <f>DATE(VALUE(RIGHT(Raw_Orders!E213,4)),VALUE(MID(Raw_Orders!E213,4,2)),VALUE(LEFT(Raw_Orders!E213,2)))</f>
        <v>44985</v>
      </c>
      <c r="M213" s="12">
        <f>DATE(VALUE(RIGHT(Raw_Orders!G213,4)),VALUE(MID(Raw_Orders!G213,4,2)),VALUE(LEFT(Raw_Orders!G213,2)))</f>
        <v>44990</v>
      </c>
      <c r="N213" s="7">
        <f t="shared" si="7"/>
        <v>5</v>
      </c>
      <c r="O213" s="7" t="str">
        <f>Raw_Orders!J213</f>
        <v>Holi</v>
      </c>
      <c r="P213" s="7" t="str">
        <f>Raw_Orders!I213</f>
        <v>Ozhukarai</v>
      </c>
    </row>
    <row r="214" spans="1:16">
      <c r="A214" s="7" t="str">
        <f>Raw_Orders!A214</f>
        <v>213</v>
      </c>
      <c r="B214" s="7" t="str">
        <f>Raw_Orders!B214</f>
        <v>C022</v>
      </c>
      <c r="C214" s="7" t="str">
        <f>INDEX(Raw_Customers!$B$2:$B$101,MATCH($B214,Raw_Customers!$A$2:$A$101,0))</f>
        <v>Ivana Rout</v>
      </c>
      <c r="D214" s="7" t="str">
        <f>TRIM(INDEX(Raw_Customers!$C$2:$C$101,MATCH($B214,Raw_Customers!$A$2:$A$101,0)))</f>
        <v>Khandwa</v>
      </c>
      <c r="E214" s="7" t="str">
        <f>"+91-"&amp;RIGHT("0000000000"&amp;INDEX(Raw_Customers!$D$2:$D$101,MATCH($B214,Raw_Customers!$A$2:$A$101,0)),10)</f>
        <v>+91-3111711777</v>
      </c>
      <c r="F214" s="7" t="str">
        <f>Raw_Orders!C214</f>
        <v>42</v>
      </c>
      <c r="G214" s="7" t="str">
        <f>INDEX(Raw_Products!$B$2:$B$71,MATCH($F214,Raw_Products!$A$2:$A$71,0))</f>
        <v>Expedita Gift</v>
      </c>
      <c r="H214" s="7" t="str">
        <f>INDEX(Raw_Products!$C$2:$C$71,MATCH($F214,Raw_Products!$A$2:$A$71,0))</f>
        <v>Sweets</v>
      </c>
      <c r="I214" s="7">
        <f>VALUE(Raw_Orders!D214)</f>
        <v>5</v>
      </c>
      <c r="J214" s="11" t="str">
        <f>INDEX(Raw_Products!$D$2:$D$71,MATCH($F214,Raw_Products!$A$2:$A$71,0))</f>
        <v>1744</v>
      </c>
      <c r="K214" s="11">
        <f t="shared" si="6"/>
        <v>8720</v>
      </c>
      <c r="L214" s="12">
        <f>DATE(VALUE(RIGHT(Raw_Orders!E214,4)),VALUE(MID(Raw_Orders!E214,4,2)),VALUE(LEFT(Raw_Orders!E214,2)))</f>
        <v>44971</v>
      </c>
      <c r="M214" s="12">
        <f>DATE(VALUE(RIGHT(Raw_Orders!G214,4)),VALUE(MID(Raw_Orders!G214,4,2)),VALUE(LEFT(Raw_Orders!G214,2)))</f>
        <v>44981</v>
      </c>
      <c r="N214" s="7">
        <f t="shared" si="7"/>
        <v>10</v>
      </c>
      <c r="O214" s="7" t="str">
        <f>Raw_Orders!J214</f>
        <v>All Occasions</v>
      </c>
      <c r="P214" s="7" t="str">
        <f>Raw_Orders!I214</f>
        <v>Dehradun</v>
      </c>
    </row>
    <row r="215" spans="1:16">
      <c r="A215" s="7" t="str">
        <f>Raw_Orders!A215</f>
        <v>214</v>
      </c>
      <c r="B215" s="7" t="str">
        <f>Raw_Orders!B215</f>
        <v>C099</v>
      </c>
      <c r="C215" s="7" t="str">
        <f>INDEX(Raw_Customers!$B$2:$B$101,MATCH($B215,Raw_Customers!$A$2:$A$101,0))</f>
        <v>Ranbir Loyal</v>
      </c>
      <c r="D215" s="7" t="str">
        <f>TRIM(INDEX(Raw_Customers!$C$2:$C$101,MATCH($B215,Raw_Customers!$A$2:$A$101,0)))</f>
        <v>Dhanbad</v>
      </c>
      <c r="E215" s="7" t="str">
        <f>"+91-"&amp;RIGHT("0000000000"&amp;INDEX(Raw_Customers!$D$2:$D$101,MATCH($B215,Raw_Customers!$A$2:$A$101,0)),10)</f>
        <v>+91-3621448305</v>
      </c>
      <c r="F215" s="7" t="str">
        <f>Raw_Orders!C215</f>
        <v>13</v>
      </c>
      <c r="G215" s="7" t="str">
        <f>INDEX(Raw_Products!$B$2:$B$71,MATCH($F215,Raw_Products!$A$2:$A$71,0))</f>
        <v>Et Set</v>
      </c>
      <c r="H215" s="7" t="str">
        <f>INDEX(Raw_Products!$C$2:$C$71,MATCH($F215,Raw_Products!$A$2:$A$71,0))</f>
        <v>Mugs</v>
      </c>
      <c r="I215" s="7">
        <f>VALUE(Raw_Orders!D215)</f>
        <v>3</v>
      </c>
      <c r="J215" s="11" t="str">
        <f>INDEX(Raw_Products!$D$2:$D$71,MATCH($F215,Raw_Products!$A$2:$A$71,0))</f>
        <v>1141</v>
      </c>
      <c r="K215" s="11">
        <f t="shared" si="6"/>
        <v>3423</v>
      </c>
      <c r="L215" s="12">
        <f>DATE(VALUE(RIGHT(Raw_Orders!E215,4)),VALUE(MID(Raw_Orders!E215,4,2)),VALUE(LEFT(Raw_Orders!E215,2)))</f>
        <v>44986</v>
      </c>
      <c r="M215" s="12">
        <f>DATE(VALUE(RIGHT(Raw_Orders!G215,4)),VALUE(MID(Raw_Orders!G215,4,2)),VALUE(LEFT(Raw_Orders!G215,2)))</f>
        <v>44992</v>
      </c>
      <c r="N215" s="7">
        <f t="shared" si="7"/>
        <v>6</v>
      </c>
      <c r="O215" s="7" t="str">
        <f>Raw_Orders!J215</f>
        <v>Holi</v>
      </c>
      <c r="P215" s="7" t="str">
        <f>Raw_Orders!I215</f>
        <v>Durgapur</v>
      </c>
    </row>
    <row r="216" spans="1:16">
      <c r="A216" s="7" t="str">
        <f>Raw_Orders!A216</f>
        <v>215</v>
      </c>
      <c r="B216" s="7" t="str">
        <f>Raw_Orders!B216</f>
        <v>C098</v>
      </c>
      <c r="C216" s="7" t="str">
        <f>INDEX(Raw_Customers!$B$2:$B$101,MATCH($B216,Raw_Customers!$A$2:$A$101,0))</f>
        <v>Navya Golla</v>
      </c>
      <c r="D216" s="7" t="str">
        <f>TRIM(INDEX(Raw_Customers!$C$2:$C$101,MATCH($B216,Raw_Customers!$A$2:$A$101,0)))</f>
        <v>Cuttack</v>
      </c>
      <c r="E216" s="7" t="str">
        <f>"+91-"&amp;RIGHT("0000000000"&amp;INDEX(Raw_Customers!$D$2:$D$101,MATCH($B216,Raw_Customers!$A$2:$A$101,0)),10)</f>
        <v>+91-4461213936</v>
      </c>
      <c r="F216" s="7" t="str">
        <f>Raw_Orders!C216</f>
        <v>17</v>
      </c>
      <c r="G216" s="7" t="str">
        <f>INDEX(Raw_Products!$B$2:$B$71,MATCH($F216,Raw_Products!$A$2:$A$71,0))</f>
        <v>Delectus Gift</v>
      </c>
      <c r="H216" s="7" t="str">
        <f>INDEX(Raw_Products!$C$2:$C$71,MATCH($F216,Raw_Products!$A$2:$A$71,0))</f>
        <v>Soft Toys</v>
      </c>
      <c r="I216" s="7">
        <f>VALUE(Raw_Orders!D216)</f>
        <v>1</v>
      </c>
      <c r="J216" s="11" t="str">
        <f>INDEX(Raw_Products!$D$2:$D$71,MATCH($F216,Raw_Products!$A$2:$A$71,0))</f>
        <v>1899</v>
      </c>
      <c r="K216" s="11">
        <f t="shared" si="6"/>
        <v>1899</v>
      </c>
      <c r="L216" s="12">
        <f>DATE(VALUE(RIGHT(Raw_Orders!E216,4)),VALUE(MID(Raw_Orders!E216,4,2)),VALUE(LEFT(Raw_Orders!E216,2)))</f>
        <v>45067</v>
      </c>
      <c r="M216" s="12">
        <f>DATE(VALUE(RIGHT(Raw_Orders!G216,4)),VALUE(MID(Raw_Orders!G216,4,2)),VALUE(LEFT(Raw_Orders!G216,2)))</f>
        <v>45070</v>
      </c>
      <c r="N216" s="7">
        <f t="shared" si="7"/>
        <v>3</v>
      </c>
      <c r="O216" s="7" t="str">
        <f>Raw_Orders!J216</f>
        <v>Anniversary</v>
      </c>
      <c r="P216" s="7" t="str">
        <f>Raw_Orders!I216</f>
        <v>Katni</v>
      </c>
    </row>
    <row r="217" spans="1:16">
      <c r="A217" s="7" t="str">
        <f>Raw_Orders!A217</f>
        <v>216</v>
      </c>
      <c r="B217" s="7" t="str">
        <f>Raw_Orders!B217</f>
        <v>C004</v>
      </c>
      <c r="C217" s="7" t="str">
        <f>INDEX(Raw_Customers!$B$2:$B$101,MATCH($B217,Raw_Customers!$A$2:$A$101,0))</f>
        <v>Tarini Bava</v>
      </c>
      <c r="D217" s="7" t="str">
        <f>TRIM(INDEX(Raw_Customers!$C$2:$C$101,MATCH($B217,Raw_Customers!$A$2:$A$101,0)))</f>
        <v>Miryalaguda</v>
      </c>
      <c r="E217" s="7" t="str">
        <f>"+91-"&amp;RIGHT("0000000000"&amp;INDEX(Raw_Customers!$D$2:$D$101,MATCH($B217,Raw_Customers!$A$2:$A$101,0)),10)</f>
        <v>+91-7232349928</v>
      </c>
      <c r="F217" s="7" t="str">
        <f>Raw_Orders!C217</f>
        <v>23</v>
      </c>
      <c r="G217" s="7" t="str">
        <f>INDEX(Raw_Products!$B$2:$B$71,MATCH($F217,Raw_Products!$A$2:$A$71,0))</f>
        <v>Dignissimos Pack</v>
      </c>
      <c r="H217" s="7" t="str">
        <f>INDEX(Raw_Products!$C$2:$C$71,MATCH($F217,Raw_Products!$A$2:$A$71,0))</f>
        <v>Sweets</v>
      </c>
      <c r="I217" s="7">
        <f>VALUE(Raw_Orders!D217)</f>
        <v>1</v>
      </c>
      <c r="J217" s="11" t="str">
        <f>INDEX(Raw_Products!$D$2:$D$71,MATCH($F217,Raw_Products!$A$2:$A$71,0))</f>
        <v>1098</v>
      </c>
      <c r="K217" s="11">
        <f t="shared" si="6"/>
        <v>1098</v>
      </c>
      <c r="L217" s="12">
        <f>DATE(VALUE(RIGHT(Raw_Orders!E217,4)),VALUE(MID(Raw_Orders!E217,4,2)),VALUE(LEFT(Raw_Orders!E217,2)))</f>
        <v>45202</v>
      </c>
      <c r="M217" s="12">
        <f>DATE(VALUE(RIGHT(Raw_Orders!G217,4)),VALUE(MID(Raw_Orders!G217,4,2)),VALUE(LEFT(Raw_Orders!G217,2)))</f>
        <v>45207</v>
      </c>
      <c r="N217" s="7">
        <f t="shared" si="7"/>
        <v>5</v>
      </c>
      <c r="O217" s="7" t="str">
        <f>Raw_Orders!J217</f>
        <v>Anniversary</v>
      </c>
      <c r="P217" s="7" t="str">
        <f>Raw_Orders!I217</f>
        <v>Bhatpara</v>
      </c>
    </row>
    <row r="218" spans="1:16">
      <c r="A218" s="7" t="str">
        <f>Raw_Orders!A218</f>
        <v>217</v>
      </c>
      <c r="B218" s="7" t="str">
        <f>Raw_Orders!B218</f>
        <v>C042</v>
      </c>
      <c r="C218" s="7" t="str">
        <f>INDEX(Raw_Customers!$B$2:$B$101,MATCH($B218,Raw_Customers!$A$2:$A$101,0))</f>
        <v>Eshani Sharma</v>
      </c>
      <c r="D218" s="7" t="str">
        <f>TRIM(INDEX(Raw_Customers!$C$2:$C$101,MATCH($B218,Raw_Customers!$A$2:$A$101,0)))</f>
        <v>Ajmer</v>
      </c>
      <c r="E218" s="7" t="str">
        <f>"+91-"&amp;RIGHT("0000000000"&amp;INDEX(Raw_Customers!$D$2:$D$101,MATCH($B218,Raw_Customers!$A$2:$A$101,0)),10)</f>
        <v>+91-6843169694</v>
      </c>
      <c r="F218" s="7" t="str">
        <f>Raw_Orders!C218</f>
        <v>53</v>
      </c>
      <c r="G218" s="7" t="str">
        <f>INDEX(Raw_Products!$B$2:$B$71,MATCH($F218,Raw_Products!$A$2:$A$71,0))</f>
        <v>Ipsam Set</v>
      </c>
      <c r="H218" s="7" t="str">
        <f>INDEX(Raw_Products!$C$2:$C$71,MATCH($F218,Raw_Products!$A$2:$A$71,0))</f>
        <v>Sweets</v>
      </c>
      <c r="I218" s="7">
        <f>VALUE(Raw_Orders!D218)</f>
        <v>4</v>
      </c>
      <c r="J218" s="11" t="str">
        <f>INDEX(Raw_Products!$D$2:$D$71,MATCH($F218,Raw_Products!$A$2:$A$71,0))</f>
        <v>1672</v>
      </c>
      <c r="K218" s="11">
        <f t="shared" si="6"/>
        <v>6688</v>
      </c>
      <c r="L218" s="12">
        <f>DATE(VALUE(RIGHT(Raw_Orders!E218,4)),VALUE(MID(Raw_Orders!E218,4,2)),VALUE(LEFT(Raw_Orders!E218,2)))</f>
        <v>45165</v>
      </c>
      <c r="M218" s="12">
        <f>DATE(VALUE(RIGHT(Raw_Orders!G218,4)),VALUE(MID(Raw_Orders!G218,4,2)),VALUE(LEFT(Raw_Orders!G218,2)))</f>
        <v>45168</v>
      </c>
      <c r="N218" s="7">
        <f t="shared" si="7"/>
        <v>3</v>
      </c>
      <c r="O218" s="7" t="str">
        <f>Raw_Orders!J218</f>
        <v>Raksha Bandhan</v>
      </c>
      <c r="P218" s="7" t="str">
        <f>Raw_Orders!I218</f>
        <v>Rajkot</v>
      </c>
    </row>
    <row r="219" spans="1:16">
      <c r="A219" s="7" t="str">
        <f>Raw_Orders!A219</f>
        <v>218</v>
      </c>
      <c r="B219" s="7" t="str">
        <f>Raw_Orders!B219</f>
        <v>C061</v>
      </c>
      <c r="C219" s="7" t="str">
        <f>INDEX(Raw_Customers!$B$2:$B$101,MATCH($B219,Raw_Customers!$A$2:$A$101,0))</f>
        <v>Akarsh Ramesh</v>
      </c>
      <c r="D219" s="7" t="str">
        <f>TRIM(INDEX(Raw_Customers!$C$2:$C$101,MATCH($B219,Raw_Customers!$A$2:$A$101,0)))</f>
        <v>Kavali</v>
      </c>
      <c r="E219" s="7" t="str">
        <f>"+91-"&amp;RIGHT("0000000000"&amp;INDEX(Raw_Customers!$D$2:$D$101,MATCH($B219,Raw_Customers!$A$2:$A$101,0)),10)</f>
        <v>+91-4318554567</v>
      </c>
      <c r="F219" s="7" t="str">
        <f>Raw_Orders!C219</f>
        <v>31</v>
      </c>
      <c r="G219" s="7" t="str">
        <f>INDEX(Raw_Products!$B$2:$B$71,MATCH($F219,Raw_Products!$A$2:$A$71,0))</f>
        <v>Nihil Box</v>
      </c>
      <c r="H219" s="7" t="str">
        <f>INDEX(Raw_Products!$C$2:$C$71,MATCH($F219,Raw_Products!$A$2:$A$71,0))</f>
        <v>Colors</v>
      </c>
      <c r="I219" s="7">
        <f>VALUE(Raw_Orders!D219)</f>
        <v>4</v>
      </c>
      <c r="J219" s="11" t="str">
        <f>INDEX(Raw_Products!$D$2:$D$71,MATCH($F219,Raw_Products!$A$2:$A$71,0))</f>
        <v>1804</v>
      </c>
      <c r="K219" s="11">
        <f t="shared" si="6"/>
        <v>7216</v>
      </c>
      <c r="L219" s="12">
        <f>DATE(VALUE(RIGHT(Raw_Orders!E219,4)),VALUE(MID(Raw_Orders!E219,4,2)),VALUE(LEFT(Raw_Orders!E219,2)))</f>
        <v>45090</v>
      </c>
      <c r="M219" s="12">
        <f>DATE(VALUE(RIGHT(Raw_Orders!G219,4)),VALUE(MID(Raw_Orders!G219,4,2)),VALUE(LEFT(Raw_Orders!G219,2)))</f>
        <v>45093</v>
      </c>
      <c r="N219" s="7">
        <f t="shared" si="7"/>
        <v>3</v>
      </c>
      <c r="O219" s="7" t="str">
        <f>Raw_Orders!J219</f>
        <v>All Occasions</v>
      </c>
      <c r="P219" s="7" t="str">
        <f>Raw_Orders!I219</f>
        <v>Gurgaon</v>
      </c>
    </row>
    <row r="220" spans="1:16">
      <c r="A220" s="7" t="str">
        <f>Raw_Orders!A220</f>
        <v>219</v>
      </c>
      <c r="B220" s="7" t="str">
        <f>Raw_Orders!B220</f>
        <v>C027</v>
      </c>
      <c r="C220" s="7" t="str">
        <f>INDEX(Raw_Customers!$B$2:$B$101,MATCH($B220,Raw_Customers!$A$2:$A$101,0))</f>
        <v>Kashvi Sur</v>
      </c>
      <c r="D220" s="7" t="str">
        <f>TRIM(INDEX(Raw_Customers!$C$2:$C$101,MATCH($B220,Raw_Customers!$A$2:$A$101,0)))</f>
        <v>Serampore</v>
      </c>
      <c r="E220" s="7" t="str">
        <f>"+91-"&amp;RIGHT("0000000000"&amp;INDEX(Raw_Customers!$D$2:$D$101,MATCH($B220,Raw_Customers!$A$2:$A$101,0)),10)</f>
        <v>+91-3431035116</v>
      </c>
      <c r="F220" s="7" t="str">
        <f>Raw_Orders!C220</f>
        <v>16</v>
      </c>
      <c r="G220" s="7" t="str">
        <f>INDEX(Raw_Products!$B$2:$B$71,MATCH($F220,Raw_Products!$A$2:$A$71,0))</f>
        <v>Ut Pack</v>
      </c>
      <c r="H220" s="7" t="str">
        <f>INDEX(Raw_Products!$C$2:$C$71,MATCH($F220,Raw_Products!$A$2:$A$71,0))</f>
        <v>Sweets</v>
      </c>
      <c r="I220" s="7">
        <f>VALUE(Raw_Orders!D220)</f>
        <v>5</v>
      </c>
      <c r="J220" s="11" t="str">
        <f>INDEX(Raw_Products!$D$2:$D$71,MATCH($F220,Raw_Products!$A$2:$A$71,0))</f>
        <v>1721</v>
      </c>
      <c r="K220" s="11">
        <f t="shared" si="6"/>
        <v>8605</v>
      </c>
      <c r="L220" s="12">
        <f>DATE(VALUE(RIGHT(Raw_Orders!E220,4)),VALUE(MID(Raw_Orders!E220,4,2)),VALUE(LEFT(Raw_Orders!E220,2)))</f>
        <v>44990</v>
      </c>
      <c r="M220" s="12">
        <f>DATE(VALUE(RIGHT(Raw_Orders!G220,4)),VALUE(MID(Raw_Orders!G220,4,2)),VALUE(LEFT(Raw_Orders!G220,2)))</f>
        <v>44996</v>
      </c>
      <c r="N220" s="7">
        <f t="shared" si="7"/>
        <v>6</v>
      </c>
      <c r="O220" s="7" t="str">
        <f>Raw_Orders!J220</f>
        <v>Holi</v>
      </c>
      <c r="P220" s="7" t="str">
        <f>Raw_Orders!I220</f>
        <v>Bhimavaram</v>
      </c>
    </row>
    <row r="221" spans="1:16">
      <c r="A221" s="7" t="str">
        <f>Raw_Orders!A221</f>
        <v>220</v>
      </c>
      <c r="B221" s="7" t="str">
        <f>Raw_Orders!B221</f>
        <v>C001</v>
      </c>
      <c r="C221" s="7" t="str">
        <f>INDEX(Raw_Customers!$B$2:$B$101,MATCH($B221,Raw_Customers!$A$2:$A$101,0))</f>
        <v>Tara Krishnan</v>
      </c>
      <c r="D221" s="7" t="str">
        <f>TRIM(INDEX(Raw_Customers!$C$2:$C$101,MATCH($B221,Raw_Customers!$A$2:$A$101,0)))</f>
        <v>Panchkula</v>
      </c>
      <c r="E221" s="7" t="str">
        <f>"+91-"&amp;RIGHT("0000000000"&amp;INDEX(Raw_Customers!$D$2:$D$101,MATCH($B221,Raw_Customers!$A$2:$A$101,0)),10)</f>
        <v>+91-7193971454</v>
      </c>
      <c r="F221" s="7" t="str">
        <f>Raw_Orders!C221</f>
        <v>26</v>
      </c>
      <c r="G221" s="7" t="str">
        <f>INDEX(Raw_Products!$B$2:$B$71,MATCH($F221,Raw_Products!$A$2:$A$71,0))</f>
        <v>Aliquam Box</v>
      </c>
      <c r="H221" s="7" t="str">
        <f>INDEX(Raw_Products!$C$2:$C$71,MATCH($F221,Raw_Products!$A$2:$A$71,0))</f>
        <v>Colors</v>
      </c>
      <c r="I221" s="7">
        <f>VALUE(Raw_Orders!D221)</f>
        <v>3</v>
      </c>
      <c r="J221" s="11" t="str">
        <f>INDEX(Raw_Products!$D$2:$D$71,MATCH($F221,Raw_Products!$A$2:$A$71,0))</f>
        <v>289</v>
      </c>
      <c r="K221" s="11">
        <f t="shared" si="6"/>
        <v>867</v>
      </c>
      <c r="L221" s="12">
        <f>DATE(VALUE(RIGHT(Raw_Orders!E221,4)),VALUE(MID(Raw_Orders!E221,4,2)),VALUE(LEFT(Raw_Orders!E221,2)))</f>
        <v>44991</v>
      </c>
      <c r="M221" s="12">
        <f>DATE(VALUE(RIGHT(Raw_Orders!G221,4)),VALUE(MID(Raw_Orders!G221,4,2)),VALUE(LEFT(Raw_Orders!G221,2)))</f>
        <v>45000</v>
      </c>
      <c r="N221" s="7">
        <f t="shared" si="7"/>
        <v>9</v>
      </c>
      <c r="O221" s="7" t="str">
        <f>Raw_Orders!J221</f>
        <v>Holi</v>
      </c>
      <c r="P221" s="7" t="str">
        <f>Raw_Orders!I221</f>
        <v>Jalandhar</v>
      </c>
    </row>
    <row r="222" spans="1:16">
      <c r="A222" s="7" t="str">
        <f>Raw_Orders!A222</f>
        <v>221</v>
      </c>
      <c r="B222" s="7" t="str">
        <f>Raw_Orders!B222</f>
        <v>C076</v>
      </c>
      <c r="C222" s="7" t="str">
        <f>INDEX(Raw_Customers!$B$2:$B$101,MATCH($B222,Raw_Customers!$A$2:$A$101,0))</f>
        <v>Oorja Dayal</v>
      </c>
      <c r="D222" s="7" t="str">
        <f>TRIM(INDEX(Raw_Customers!$C$2:$C$101,MATCH($B222,Raw_Customers!$A$2:$A$101,0)))</f>
        <v>Gaya</v>
      </c>
      <c r="E222" s="7" t="str">
        <f>"+91-"&amp;RIGHT("0000000000"&amp;INDEX(Raw_Customers!$D$2:$D$101,MATCH($B222,Raw_Customers!$A$2:$A$101,0)),10)</f>
        <v>+91-6936516442</v>
      </c>
      <c r="F222" s="7" t="str">
        <f>Raw_Orders!C222</f>
        <v>28</v>
      </c>
      <c r="G222" s="7" t="str">
        <f>INDEX(Raw_Products!$B$2:$B$71,MATCH($F222,Raw_Products!$A$2:$A$71,0))</f>
        <v>Velit Set</v>
      </c>
      <c r="H222" s="7" t="str">
        <f>INDEX(Raw_Products!$C$2:$C$71,MATCH($F222,Raw_Products!$A$2:$A$71,0))</f>
        <v>Sweets</v>
      </c>
      <c r="I222" s="7">
        <f>VALUE(Raw_Orders!D222)</f>
        <v>4</v>
      </c>
      <c r="J222" s="11" t="str">
        <f>INDEX(Raw_Products!$D$2:$D$71,MATCH($F222,Raw_Products!$A$2:$A$71,0))</f>
        <v>1778</v>
      </c>
      <c r="K222" s="11">
        <f t="shared" si="6"/>
        <v>7112</v>
      </c>
      <c r="L222" s="12">
        <f>DATE(VALUE(RIGHT(Raw_Orders!E222,4)),VALUE(MID(Raw_Orders!E222,4,2)),VALUE(LEFT(Raw_Orders!E222,2)))</f>
        <v>45159</v>
      </c>
      <c r="M222" s="12">
        <f>DATE(VALUE(RIGHT(Raw_Orders!G222,4)),VALUE(MID(Raw_Orders!G222,4,2)),VALUE(LEFT(Raw_Orders!G222,2)))</f>
        <v>45168</v>
      </c>
      <c r="N222" s="7">
        <f t="shared" si="7"/>
        <v>9</v>
      </c>
      <c r="O222" s="7" t="str">
        <f>Raw_Orders!J222</f>
        <v>Raksha Bandhan</v>
      </c>
      <c r="P222" s="7" t="str">
        <f>Raw_Orders!I222</f>
        <v>Naihati</v>
      </c>
    </row>
    <row r="223" spans="1:16">
      <c r="A223" s="7" t="str">
        <f>Raw_Orders!A223</f>
        <v>222</v>
      </c>
      <c r="B223" s="7" t="str">
        <f>Raw_Orders!B223</f>
        <v>C099</v>
      </c>
      <c r="C223" s="7" t="str">
        <f>INDEX(Raw_Customers!$B$2:$B$101,MATCH($B223,Raw_Customers!$A$2:$A$101,0))</f>
        <v>Ranbir Loyal</v>
      </c>
      <c r="D223" s="7" t="str">
        <f>TRIM(INDEX(Raw_Customers!$C$2:$C$101,MATCH($B223,Raw_Customers!$A$2:$A$101,0)))</f>
        <v>Dhanbad</v>
      </c>
      <c r="E223" s="7" t="str">
        <f>"+91-"&amp;RIGHT("0000000000"&amp;INDEX(Raw_Customers!$D$2:$D$101,MATCH($B223,Raw_Customers!$A$2:$A$101,0)),10)</f>
        <v>+91-3621448305</v>
      </c>
      <c r="F223" s="7" t="str">
        <f>Raw_Orders!C223</f>
        <v>6</v>
      </c>
      <c r="G223" s="7" t="str">
        <f>INDEX(Raw_Products!$B$2:$B$71,MATCH($F223,Raw_Products!$A$2:$A$71,0))</f>
        <v>Quos Box</v>
      </c>
      <c r="H223" s="7" t="str">
        <f>INDEX(Raw_Products!$C$2:$C$71,MATCH($F223,Raw_Products!$A$2:$A$71,0))</f>
        <v>Cake</v>
      </c>
      <c r="I223" s="7">
        <f>VALUE(Raw_Orders!D223)</f>
        <v>5</v>
      </c>
      <c r="J223" s="11" t="str">
        <f>INDEX(Raw_Products!$D$2:$D$71,MATCH($F223,Raw_Products!$A$2:$A$71,0))</f>
        <v>1112</v>
      </c>
      <c r="K223" s="11">
        <f t="shared" si="6"/>
        <v>5560</v>
      </c>
      <c r="L223" s="12">
        <f>DATE(VALUE(RIGHT(Raw_Orders!E223,4)),VALUE(MID(Raw_Orders!E223,4,2)),VALUE(LEFT(Raw_Orders!E223,2)))</f>
        <v>44983</v>
      </c>
      <c r="M223" s="12">
        <f>DATE(VALUE(RIGHT(Raw_Orders!G223,4)),VALUE(MID(Raw_Orders!G223,4,2)),VALUE(LEFT(Raw_Orders!G223,2)))</f>
        <v>44992</v>
      </c>
      <c r="N223" s="7">
        <f t="shared" si="7"/>
        <v>9</v>
      </c>
      <c r="O223" s="7" t="str">
        <f>Raw_Orders!J223</f>
        <v>Holi</v>
      </c>
      <c r="P223" s="7" t="str">
        <f>Raw_Orders!I223</f>
        <v>Guntur</v>
      </c>
    </row>
    <row r="224" spans="1:16">
      <c r="A224" s="7" t="str">
        <f>Raw_Orders!A224</f>
        <v>223</v>
      </c>
      <c r="B224" s="7" t="str">
        <f>Raw_Orders!B224</f>
        <v>C051</v>
      </c>
      <c r="C224" s="7" t="str">
        <f>INDEX(Raw_Customers!$B$2:$B$101,MATCH($B224,Raw_Customers!$A$2:$A$101,0))</f>
        <v>Aradhya Batta</v>
      </c>
      <c r="D224" s="7" t="str">
        <f>TRIM(INDEX(Raw_Customers!$C$2:$C$101,MATCH($B224,Raw_Customers!$A$2:$A$101,0)))</f>
        <v>Kota</v>
      </c>
      <c r="E224" s="7" t="str">
        <f>"+91-"&amp;RIGHT("0000000000"&amp;INDEX(Raw_Customers!$D$2:$D$101,MATCH($B224,Raw_Customers!$A$2:$A$101,0)),10)</f>
        <v>+91-1200621501</v>
      </c>
      <c r="F224" s="7" t="str">
        <f>Raw_Orders!C224</f>
        <v>49</v>
      </c>
      <c r="G224" s="7" t="str">
        <f>INDEX(Raw_Products!$B$2:$B$71,MATCH($F224,Raw_Products!$A$2:$A$71,0))</f>
        <v>Voluptate Pack</v>
      </c>
      <c r="H224" s="7" t="str">
        <f>INDEX(Raw_Products!$C$2:$C$71,MATCH($F224,Raw_Products!$A$2:$A$71,0))</f>
        <v>Colors</v>
      </c>
      <c r="I224" s="7">
        <f>VALUE(Raw_Orders!D224)</f>
        <v>2</v>
      </c>
      <c r="J224" s="11" t="str">
        <f>INDEX(Raw_Products!$D$2:$D$71,MATCH($F224,Raw_Products!$A$2:$A$71,0))</f>
        <v>903</v>
      </c>
      <c r="K224" s="11">
        <f t="shared" si="6"/>
        <v>1806</v>
      </c>
      <c r="L224" s="12">
        <f>DATE(VALUE(RIGHT(Raw_Orders!E224,4)),VALUE(MID(Raw_Orders!E224,4,2)),VALUE(LEFT(Raw_Orders!E224,2)))</f>
        <v>44962</v>
      </c>
      <c r="M224" s="12">
        <f>DATE(VALUE(RIGHT(Raw_Orders!G224,4)),VALUE(MID(Raw_Orders!G224,4,2)),VALUE(LEFT(Raw_Orders!G224,2)))</f>
        <v>44970</v>
      </c>
      <c r="N224" s="7">
        <f t="shared" si="7"/>
        <v>8</v>
      </c>
      <c r="O224" s="7" t="str">
        <f>Raw_Orders!J224</f>
        <v>Valentine's Day</v>
      </c>
      <c r="P224" s="7" t="str">
        <f>Raw_Orders!I224</f>
        <v>Bhalswa Jahangir Pur</v>
      </c>
    </row>
    <row r="225" spans="1:16">
      <c r="A225" s="7" t="str">
        <f>Raw_Orders!A225</f>
        <v>224</v>
      </c>
      <c r="B225" s="7" t="str">
        <f>Raw_Orders!B225</f>
        <v>C028</v>
      </c>
      <c r="C225" s="7" t="str">
        <f>INDEX(Raw_Customers!$B$2:$B$101,MATCH($B225,Raw_Customers!$A$2:$A$101,0))</f>
        <v>Hridaan Rajagopalan</v>
      </c>
      <c r="D225" s="7" t="str">
        <f>TRIM(INDEX(Raw_Customers!$C$2:$C$101,MATCH($B225,Raw_Customers!$A$2:$A$101,0)))</f>
        <v>Noida</v>
      </c>
      <c r="E225" s="7" t="str">
        <f>"+91-"&amp;RIGHT("0000000000"&amp;INDEX(Raw_Customers!$D$2:$D$101,MATCH($B225,Raw_Customers!$A$2:$A$101,0)),10)</f>
        <v>+91-2539728317</v>
      </c>
      <c r="F225" s="7" t="str">
        <f>Raw_Orders!C225</f>
        <v>34</v>
      </c>
      <c r="G225" s="7" t="str">
        <f>INDEX(Raw_Products!$B$2:$B$71,MATCH($F225,Raw_Products!$A$2:$A$71,0))</f>
        <v>Placeat Pack</v>
      </c>
      <c r="H225" s="7" t="str">
        <f>INDEX(Raw_Products!$C$2:$C$71,MATCH($F225,Raw_Products!$A$2:$A$71,0))</f>
        <v>Soft Toys</v>
      </c>
      <c r="I225" s="7">
        <f>VALUE(Raw_Orders!D225)</f>
        <v>1</v>
      </c>
      <c r="J225" s="11" t="str">
        <f>INDEX(Raw_Products!$D$2:$D$71,MATCH($F225,Raw_Products!$A$2:$A$71,0))</f>
        <v>1335</v>
      </c>
      <c r="K225" s="11">
        <f t="shared" si="6"/>
        <v>1335</v>
      </c>
      <c r="L225" s="12">
        <f>DATE(VALUE(RIGHT(Raw_Orders!E225,4)),VALUE(MID(Raw_Orders!E225,4,2)),VALUE(LEFT(Raw_Orders!E225,2)))</f>
        <v>45162</v>
      </c>
      <c r="M225" s="12">
        <f>DATE(VALUE(RIGHT(Raw_Orders!G225,4)),VALUE(MID(Raw_Orders!G225,4,2)),VALUE(LEFT(Raw_Orders!G225,2)))</f>
        <v>45167</v>
      </c>
      <c r="N225" s="7">
        <f t="shared" si="7"/>
        <v>5</v>
      </c>
      <c r="O225" s="7" t="str">
        <f>Raw_Orders!J225</f>
        <v>Raksha Bandhan</v>
      </c>
      <c r="P225" s="7" t="str">
        <f>Raw_Orders!I225</f>
        <v>Suryapet</v>
      </c>
    </row>
    <row r="226" spans="1:16">
      <c r="A226" s="7" t="str">
        <f>Raw_Orders!A226</f>
        <v>225</v>
      </c>
      <c r="B226" s="7" t="str">
        <f>Raw_Orders!B226</f>
        <v>C093</v>
      </c>
      <c r="C226" s="7" t="str">
        <f>INDEX(Raw_Customers!$B$2:$B$101,MATCH($B226,Raw_Customers!$A$2:$A$101,0))</f>
        <v>Mamooty Bawa</v>
      </c>
      <c r="D226" s="7" t="str">
        <f>TRIM(INDEX(Raw_Customers!$C$2:$C$101,MATCH($B226,Raw_Customers!$A$2:$A$101,0)))</f>
        <v>Tumkur</v>
      </c>
      <c r="E226" s="7" t="str">
        <f>"+91-"&amp;RIGHT("0000000000"&amp;INDEX(Raw_Customers!$D$2:$D$101,MATCH($B226,Raw_Customers!$A$2:$A$101,0)),10)</f>
        <v>+91-2783169130</v>
      </c>
      <c r="F226" s="7" t="str">
        <f>Raw_Orders!C226</f>
        <v>52</v>
      </c>
      <c r="G226" s="7" t="str">
        <f>INDEX(Raw_Products!$B$2:$B$71,MATCH($F226,Raw_Products!$A$2:$A$71,0))</f>
        <v>Dolorum Box</v>
      </c>
      <c r="H226" s="7" t="str">
        <f>INDEX(Raw_Products!$C$2:$C$71,MATCH($F226,Raw_Products!$A$2:$A$71,0))</f>
        <v>Raksha Bandhan</v>
      </c>
      <c r="I226" s="7">
        <f>VALUE(Raw_Orders!D226)</f>
        <v>5</v>
      </c>
      <c r="J226" s="11" t="str">
        <f>INDEX(Raw_Products!$D$2:$D$71,MATCH($F226,Raw_Products!$A$2:$A$71,0))</f>
        <v>236</v>
      </c>
      <c r="K226" s="11">
        <f t="shared" si="6"/>
        <v>1180</v>
      </c>
      <c r="L226" s="12">
        <f>DATE(VALUE(RIGHT(Raw_Orders!E226,4)),VALUE(MID(Raw_Orders!E226,4,2)),VALUE(LEFT(Raw_Orders!E226,2)))</f>
        <v>44962</v>
      </c>
      <c r="M226" s="12">
        <f>DATE(VALUE(RIGHT(Raw_Orders!G226,4)),VALUE(MID(Raw_Orders!G226,4,2)),VALUE(LEFT(Raw_Orders!G226,2)))</f>
        <v>44963</v>
      </c>
      <c r="N226" s="7">
        <f t="shared" si="7"/>
        <v>1</v>
      </c>
      <c r="O226" s="7" t="str">
        <f>Raw_Orders!J226</f>
        <v>Valentine's Day</v>
      </c>
      <c r="P226" s="7" t="str">
        <f>Raw_Orders!I226</f>
        <v>Arrah</v>
      </c>
    </row>
    <row r="227" spans="1:16">
      <c r="A227" s="7" t="str">
        <f>Raw_Orders!A227</f>
        <v>226</v>
      </c>
      <c r="B227" s="7" t="str">
        <f>Raw_Orders!B227</f>
        <v>C064</v>
      </c>
      <c r="C227" s="7" t="str">
        <f>INDEX(Raw_Customers!$B$2:$B$101,MATCH($B227,Raw_Customers!$A$2:$A$101,0))</f>
        <v>Indrajit Kale</v>
      </c>
      <c r="D227" s="7" t="str">
        <f>TRIM(INDEX(Raw_Customers!$C$2:$C$101,MATCH($B227,Raw_Customers!$A$2:$A$101,0)))</f>
        <v>Srikakulam</v>
      </c>
      <c r="E227" s="7" t="str">
        <f>"+91-"&amp;RIGHT("0000000000"&amp;INDEX(Raw_Customers!$D$2:$D$101,MATCH($B227,Raw_Customers!$A$2:$A$101,0)),10)</f>
        <v>+91-6181058210</v>
      </c>
      <c r="F227" s="7" t="str">
        <f>Raw_Orders!C227</f>
        <v>14</v>
      </c>
      <c r="G227" s="7" t="str">
        <f>INDEX(Raw_Products!$B$2:$B$71,MATCH($F227,Raw_Products!$A$2:$A$71,0))</f>
        <v>Deserunt Box</v>
      </c>
      <c r="H227" s="7" t="str">
        <f>INDEX(Raw_Products!$C$2:$C$71,MATCH($F227,Raw_Products!$A$2:$A$71,0))</f>
        <v>Colors</v>
      </c>
      <c r="I227" s="7">
        <f>VALUE(Raw_Orders!D227)</f>
        <v>2</v>
      </c>
      <c r="J227" s="11" t="str">
        <f>INDEX(Raw_Products!$D$2:$D$71,MATCH($F227,Raw_Products!$A$2:$A$71,0))</f>
        <v>1915</v>
      </c>
      <c r="K227" s="11">
        <f t="shared" si="6"/>
        <v>3830</v>
      </c>
      <c r="L227" s="12">
        <f>DATE(VALUE(RIGHT(Raw_Orders!E227,4)),VALUE(MID(Raw_Orders!E227,4,2)),VALUE(LEFT(Raw_Orders!E227,2)))</f>
        <v>45177</v>
      </c>
      <c r="M227" s="12">
        <f>DATE(VALUE(RIGHT(Raw_Orders!G227,4)),VALUE(MID(Raw_Orders!G227,4,2)),VALUE(LEFT(Raw_Orders!G227,2)))</f>
        <v>45181</v>
      </c>
      <c r="N227" s="7">
        <f t="shared" si="7"/>
        <v>4</v>
      </c>
      <c r="O227" s="7" t="str">
        <f>Raw_Orders!J227</f>
        <v>Birthday</v>
      </c>
      <c r="P227" s="7" t="str">
        <f>Raw_Orders!I227</f>
        <v>Hospet</v>
      </c>
    </row>
    <row r="228" spans="1:16">
      <c r="A228" s="7" t="str">
        <f>Raw_Orders!A228</f>
        <v>227</v>
      </c>
      <c r="B228" s="7" t="str">
        <f>Raw_Orders!B228</f>
        <v>C004</v>
      </c>
      <c r="C228" s="7" t="str">
        <f>INDEX(Raw_Customers!$B$2:$B$101,MATCH($B228,Raw_Customers!$A$2:$A$101,0))</f>
        <v>Tarini Bava</v>
      </c>
      <c r="D228" s="7" t="str">
        <f>TRIM(INDEX(Raw_Customers!$C$2:$C$101,MATCH($B228,Raw_Customers!$A$2:$A$101,0)))</f>
        <v>Miryalaguda</v>
      </c>
      <c r="E228" s="7" t="str">
        <f>"+91-"&amp;RIGHT("0000000000"&amp;INDEX(Raw_Customers!$D$2:$D$101,MATCH($B228,Raw_Customers!$A$2:$A$101,0)),10)</f>
        <v>+91-7232349928</v>
      </c>
      <c r="F228" s="7" t="str">
        <f>Raw_Orders!C228</f>
        <v>24</v>
      </c>
      <c r="G228" s="7" t="str">
        <f>INDEX(Raw_Products!$B$2:$B$71,MATCH($F228,Raw_Products!$A$2:$A$71,0))</f>
        <v>Ad Box</v>
      </c>
      <c r="H228" s="7" t="str">
        <f>INDEX(Raw_Products!$C$2:$C$71,MATCH($F228,Raw_Products!$A$2:$A$71,0))</f>
        <v>Mugs</v>
      </c>
      <c r="I228" s="7">
        <f>VALUE(Raw_Orders!D228)</f>
        <v>4</v>
      </c>
      <c r="J228" s="11" t="str">
        <f>INDEX(Raw_Products!$D$2:$D$71,MATCH($F228,Raw_Products!$A$2:$A$71,0))</f>
        <v>535</v>
      </c>
      <c r="K228" s="11">
        <f t="shared" si="6"/>
        <v>2140</v>
      </c>
      <c r="L228" s="12">
        <f>DATE(VALUE(RIGHT(Raw_Orders!E228,4)),VALUE(MID(Raw_Orders!E228,4,2)),VALUE(LEFT(Raw_Orders!E228,2)))</f>
        <v>45285</v>
      </c>
      <c r="M228" s="12">
        <f>DATE(VALUE(RIGHT(Raw_Orders!G228,4)),VALUE(MID(Raw_Orders!G228,4,2)),VALUE(LEFT(Raw_Orders!G228,2)))</f>
        <v>45286</v>
      </c>
      <c r="N228" s="7">
        <f t="shared" si="7"/>
        <v>1</v>
      </c>
      <c r="O228" s="7" t="str">
        <f>Raw_Orders!J228</f>
        <v>Birthday</v>
      </c>
      <c r="P228" s="7" t="str">
        <f>Raw_Orders!I228</f>
        <v>Surat</v>
      </c>
    </row>
    <row r="229" spans="1:16">
      <c r="A229" s="7" t="str">
        <f>Raw_Orders!A229</f>
        <v>228</v>
      </c>
      <c r="B229" s="7" t="str">
        <f>Raw_Orders!B229</f>
        <v>C035</v>
      </c>
      <c r="C229" s="7" t="str">
        <f>INDEX(Raw_Customers!$B$2:$B$101,MATCH($B229,Raw_Customers!$A$2:$A$101,0))</f>
        <v>Ira Sarna</v>
      </c>
      <c r="D229" s="7" t="str">
        <f>TRIM(INDEX(Raw_Customers!$C$2:$C$101,MATCH($B229,Raw_Customers!$A$2:$A$101,0)))</f>
        <v>Vellore</v>
      </c>
      <c r="E229" s="7" t="str">
        <f>"+91-"&amp;RIGHT("0000000000"&amp;INDEX(Raw_Customers!$D$2:$D$101,MATCH($B229,Raw_Customers!$A$2:$A$101,0)),10)</f>
        <v>+91-6899648374</v>
      </c>
      <c r="F229" s="7" t="str">
        <f>Raw_Orders!C229</f>
        <v>36</v>
      </c>
      <c r="G229" s="7" t="str">
        <f>INDEX(Raw_Products!$B$2:$B$71,MATCH($F229,Raw_Products!$A$2:$A$71,0))</f>
        <v>Cum Gift</v>
      </c>
      <c r="H229" s="7" t="str">
        <f>INDEX(Raw_Products!$C$2:$C$71,MATCH($F229,Raw_Products!$A$2:$A$71,0))</f>
        <v>Plants</v>
      </c>
      <c r="I229" s="7">
        <f>VALUE(Raw_Orders!D229)</f>
        <v>1</v>
      </c>
      <c r="J229" s="11" t="str">
        <f>INDEX(Raw_Products!$D$2:$D$71,MATCH($F229,Raw_Products!$A$2:$A$71,0))</f>
        <v>203</v>
      </c>
      <c r="K229" s="11">
        <f t="shared" si="6"/>
        <v>203</v>
      </c>
      <c r="L229" s="12">
        <f>DATE(VALUE(RIGHT(Raw_Orders!E229,4)),VALUE(MID(Raw_Orders!E229,4,2)),VALUE(LEFT(Raw_Orders!E229,2)))</f>
        <v>44995</v>
      </c>
      <c r="M229" s="12">
        <f>DATE(VALUE(RIGHT(Raw_Orders!G229,4)),VALUE(MID(Raw_Orders!G229,4,2)),VALUE(LEFT(Raw_Orders!G229,2)))</f>
        <v>44996</v>
      </c>
      <c r="N229" s="7">
        <f t="shared" si="7"/>
        <v>1</v>
      </c>
      <c r="O229" s="7" t="str">
        <f>Raw_Orders!J229</f>
        <v>Birthday</v>
      </c>
      <c r="P229" s="7" t="str">
        <f>Raw_Orders!I229</f>
        <v>Bijapur</v>
      </c>
    </row>
    <row r="230" spans="1:16">
      <c r="A230" s="7" t="str">
        <f>Raw_Orders!A230</f>
        <v>229</v>
      </c>
      <c r="B230" s="7" t="str">
        <f>Raw_Orders!B230</f>
        <v>C079</v>
      </c>
      <c r="C230" s="7" t="str">
        <f>INDEX(Raw_Customers!$B$2:$B$101,MATCH($B230,Raw_Customers!$A$2:$A$101,0))</f>
        <v>Vedika Sankaran</v>
      </c>
      <c r="D230" s="7" t="str">
        <f>TRIM(INDEX(Raw_Customers!$C$2:$C$101,MATCH($B230,Raw_Customers!$A$2:$A$101,0)))</f>
        <v>Bhilai</v>
      </c>
      <c r="E230" s="7" t="str">
        <f>"+91-"&amp;RIGHT("0000000000"&amp;INDEX(Raw_Customers!$D$2:$D$101,MATCH($B230,Raw_Customers!$A$2:$A$101,0)),10)</f>
        <v>+91-7606054646</v>
      </c>
      <c r="F230" s="7" t="str">
        <f>Raw_Orders!C230</f>
        <v>49</v>
      </c>
      <c r="G230" s="7" t="str">
        <f>INDEX(Raw_Products!$B$2:$B$71,MATCH($F230,Raw_Products!$A$2:$A$71,0))</f>
        <v>Voluptate Pack</v>
      </c>
      <c r="H230" s="7" t="str">
        <f>INDEX(Raw_Products!$C$2:$C$71,MATCH($F230,Raw_Products!$A$2:$A$71,0))</f>
        <v>Colors</v>
      </c>
      <c r="I230" s="7">
        <f>VALUE(Raw_Orders!D230)</f>
        <v>3</v>
      </c>
      <c r="J230" s="11" t="str">
        <f>INDEX(Raw_Products!$D$2:$D$71,MATCH($F230,Raw_Products!$A$2:$A$71,0))</f>
        <v>903</v>
      </c>
      <c r="K230" s="11">
        <f t="shared" si="6"/>
        <v>2709</v>
      </c>
      <c r="L230" s="12">
        <f>DATE(VALUE(RIGHT(Raw_Orders!E230,4)),VALUE(MID(Raw_Orders!E230,4,2)),VALUE(LEFT(Raw_Orders!E230,2)))</f>
        <v>44968</v>
      </c>
      <c r="M230" s="12">
        <f>DATE(VALUE(RIGHT(Raw_Orders!G230,4)),VALUE(MID(Raw_Orders!G230,4,2)),VALUE(LEFT(Raw_Orders!G230,2)))</f>
        <v>44977</v>
      </c>
      <c r="N230" s="7">
        <f t="shared" si="7"/>
        <v>9</v>
      </c>
      <c r="O230" s="7" t="str">
        <f>Raw_Orders!J230</f>
        <v>Valentine's Day</v>
      </c>
      <c r="P230" s="7" t="str">
        <f>Raw_Orders!I230</f>
        <v>Junagadh</v>
      </c>
    </row>
    <row r="231" spans="1:16">
      <c r="A231" s="7" t="str">
        <f>Raw_Orders!A231</f>
        <v>230</v>
      </c>
      <c r="B231" s="7" t="str">
        <f>Raw_Orders!B231</f>
        <v>C053</v>
      </c>
      <c r="C231" s="7" t="str">
        <f>INDEX(Raw_Customers!$B$2:$B$101,MATCH($B231,Raw_Customers!$A$2:$A$101,0))</f>
        <v>Kismat Kapadia</v>
      </c>
      <c r="D231" s="7" t="str">
        <f>TRIM(INDEX(Raw_Customers!$C$2:$C$101,MATCH($B231,Raw_Customers!$A$2:$A$101,0)))</f>
        <v>Bharatpur</v>
      </c>
      <c r="E231" s="7" t="str">
        <f>"+91-"&amp;RIGHT("0000000000"&amp;INDEX(Raw_Customers!$D$2:$D$101,MATCH($B231,Raw_Customers!$A$2:$A$101,0)),10)</f>
        <v>+91-8068004996</v>
      </c>
      <c r="F231" s="7" t="str">
        <f>Raw_Orders!C231</f>
        <v>64</v>
      </c>
      <c r="G231" s="7" t="str">
        <f>INDEX(Raw_Products!$B$2:$B$71,MATCH($F231,Raw_Products!$A$2:$A$71,0))</f>
        <v>Nostrum Box</v>
      </c>
      <c r="H231" s="7" t="str">
        <f>INDEX(Raw_Products!$C$2:$C$71,MATCH($F231,Raw_Products!$A$2:$A$71,0))</f>
        <v>Soft Toys</v>
      </c>
      <c r="I231" s="7">
        <f>VALUE(Raw_Orders!D231)</f>
        <v>3</v>
      </c>
      <c r="J231" s="11" t="str">
        <f>INDEX(Raw_Products!$D$2:$D$71,MATCH($F231,Raw_Products!$A$2:$A$71,0))</f>
        <v>1878</v>
      </c>
      <c r="K231" s="11">
        <f t="shared" si="6"/>
        <v>5634</v>
      </c>
      <c r="L231" s="12">
        <f>DATE(VALUE(RIGHT(Raw_Orders!E231,4)),VALUE(MID(Raw_Orders!E231,4,2)),VALUE(LEFT(Raw_Orders!E231,2)))</f>
        <v>45165</v>
      </c>
      <c r="M231" s="12">
        <f>DATE(VALUE(RIGHT(Raw_Orders!G231,4)),VALUE(MID(Raw_Orders!G231,4,2)),VALUE(LEFT(Raw_Orders!G231,2)))</f>
        <v>45170</v>
      </c>
      <c r="N231" s="7">
        <f t="shared" si="7"/>
        <v>5</v>
      </c>
      <c r="O231" s="7" t="str">
        <f>Raw_Orders!J231</f>
        <v>Raksha Bandhan</v>
      </c>
      <c r="P231" s="7" t="str">
        <f>Raw_Orders!I231</f>
        <v>Mehsana</v>
      </c>
    </row>
    <row r="232" spans="1:16">
      <c r="A232" s="7" t="str">
        <f>Raw_Orders!A232</f>
        <v>231</v>
      </c>
      <c r="B232" s="7" t="str">
        <f>Raw_Orders!B232</f>
        <v>C093</v>
      </c>
      <c r="C232" s="7" t="str">
        <f>INDEX(Raw_Customers!$B$2:$B$101,MATCH($B232,Raw_Customers!$A$2:$A$101,0))</f>
        <v>Mamooty Bawa</v>
      </c>
      <c r="D232" s="7" t="str">
        <f>TRIM(INDEX(Raw_Customers!$C$2:$C$101,MATCH($B232,Raw_Customers!$A$2:$A$101,0)))</f>
        <v>Tumkur</v>
      </c>
      <c r="E232" s="7" t="str">
        <f>"+91-"&amp;RIGHT("0000000000"&amp;INDEX(Raw_Customers!$D$2:$D$101,MATCH($B232,Raw_Customers!$A$2:$A$101,0)),10)</f>
        <v>+91-2783169130</v>
      </c>
      <c r="F232" s="7" t="str">
        <f>Raw_Orders!C232</f>
        <v>64</v>
      </c>
      <c r="G232" s="7" t="str">
        <f>INDEX(Raw_Products!$B$2:$B$71,MATCH($F232,Raw_Products!$A$2:$A$71,0))</f>
        <v>Nostrum Box</v>
      </c>
      <c r="H232" s="7" t="str">
        <f>INDEX(Raw_Products!$C$2:$C$71,MATCH($F232,Raw_Products!$A$2:$A$71,0))</f>
        <v>Soft Toys</v>
      </c>
      <c r="I232" s="7">
        <f>VALUE(Raw_Orders!D232)</f>
        <v>3</v>
      </c>
      <c r="J232" s="11" t="str">
        <f>INDEX(Raw_Products!$D$2:$D$71,MATCH($F232,Raw_Products!$A$2:$A$71,0))</f>
        <v>1878</v>
      </c>
      <c r="K232" s="11">
        <f t="shared" si="6"/>
        <v>5634</v>
      </c>
      <c r="L232" s="12">
        <f>DATE(VALUE(RIGHT(Raw_Orders!E232,4)),VALUE(MID(Raw_Orders!E232,4,2)),VALUE(LEFT(Raw_Orders!E232,2)))</f>
        <v>45162</v>
      </c>
      <c r="M232" s="12">
        <f>DATE(VALUE(RIGHT(Raw_Orders!G232,4)),VALUE(MID(Raw_Orders!G232,4,2)),VALUE(LEFT(Raw_Orders!G232,2)))</f>
        <v>45166</v>
      </c>
      <c r="N232" s="7">
        <f t="shared" si="7"/>
        <v>4</v>
      </c>
      <c r="O232" s="7" t="str">
        <f>Raw_Orders!J232</f>
        <v>Raksha Bandhan</v>
      </c>
      <c r="P232" s="7" t="str">
        <f>Raw_Orders!I232</f>
        <v>Proddatur</v>
      </c>
    </row>
    <row r="233" spans="1:16">
      <c r="A233" s="7" t="str">
        <f>Raw_Orders!A233</f>
        <v>232</v>
      </c>
      <c r="B233" s="7" t="str">
        <f>Raw_Orders!B233</f>
        <v>C044</v>
      </c>
      <c r="C233" s="7" t="str">
        <f>INDEX(Raw_Customers!$B$2:$B$101,MATCH($B233,Raw_Customers!$A$2:$A$101,0))</f>
        <v>Seher Mann</v>
      </c>
      <c r="D233" s="7" t="str">
        <f>TRIM(INDEX(Raw_Customers!$C$2:$C$101,MATCH($B233,Raw_Customers!$A$2:$A$101,0)))</f>
        <v>Agra</v>
      </c>
      <c r="E233" s="7" t="str">
        <f>"+91-"&amp;RIGHT("0000000000"&amp;INDEX(Raw_Customers!$D$2:$D$101,MATCH($B233,Raw_Customers!$A$2:$A$101,0)),10)</f>
        <v>+91-9843970658</v>
      </c>
      <c r="F233" s="7" t="str">
        <f>Raw_Orders!C233</f>
        <v>28</v>
      </c>
      <c r="G233" s="7" t="str">
        <f>INDEX(Raw_Products!$B$2:$B$71,MATCH($F233,Raw_Products!$A$2:$A$71,0))</f>
        <v>Velit Set</v>
      </c>
      <c r="H233" s="7" t="str">
        <f>INDEX(Raw_Products!$C$2:$C$71,MATCH($F233,Raw_Products!$A$2:$A$71,0))</f>
        <v>Sweets</v>
      </c>
      <c r="I233" s="7">
        <f>VALUE(Raw_Orders!D233)</f>
        <v>3</v>
      </c>
      <c r="J233" s="11" t="str">
        <f>INDEX(Raw_Products!$D$2:$D$71,MATCH($F233,Raw_Products!$A$2:$A$71,0))</f>
        <v>1778</v>
      </c>
      <c r="K233" s="11">
        <f t="shared" si="6"/>
        <v>5334</v>
      </c>
      <c r="L233" s="12">
        <f>DATE(VALUE(RIGHT(Raw_Orders!E233,4)),VALUE(MID(Raw_Orders!E233,4,2)),VALUE(LEFT(Raw_Orders!E233,2)))</f>
        <v>45160</v>
      </c>
      <c r="M233" s="12">
        <f>DATE(VALUE(RIGHT(Raw_Orders!G233,4)),VALUE(MID(Raw_Orders!G233,4,2)),VALUE(LEFT(Raw_Orders!G233,2)))</f>
        <v>45161</v>
      </c>
      <c r="N233" s="7">
        <f t="shared" si="7"/>
        <v>1</v>
      </c>
      <c r="O233" s="7" t="str">
        <f>Raw_Orders!J233</f>
        <v>Raksha Bandhan</v>
      </c>
      <c r="P233" s="7" t="str">
        <f>Raw_Orders!I233</f>
        <v>Nadiad</v>
      </c>
    </row>
    <row r="234" spans="1:16">
      <c r="A234" s="7" t="str">
        <f>Raw_Orders!A234</f>
        <v>233</v>
      </c>
      <c r="B234" s="7" t="str">
        <f>Raw_Orders!B234</f>
        <v>C098</v>
      </c>
      <c r="C234" s="7" t="str">
        <f>INDEX(Raw_Customers!$B$2:$B$101,MATCH($B234,Raw_Customers!$A$2:$A$101,0))</f>
        <v>Navya Golla</v>
      </c>
      <c r="D234" s="7" t="str">
        <f>TRIM(INDEX(Raw_Customers!$C$2:$C$101,MATCH($B234,Raw_Customers!$A$2:$A$101,0)))</f>
        <v>Cuttack</v>
      </c>
      <c r="E234" s="7" t="str">
        <f>"+91-"&amp;RIGHT("0000000000"&amp;INDEX(Raw_Customers!$D$2:$D$101,MATCH($B234,Raw_Customers!$A$2:$A$101,0)),10)</f>
        <v>+91-4461213936</v>
      </c>
      <c r="F234" s="7" t="str">
        <f>Raw_Orders!C234</f>
        <v>64</v>
      </c>
      <c r="G234" s="7" t="str">
        <f>INDEX(Raw_Products!$B$2:$B$71,MATCH($F234,Raw_Products!$A$2:$A$71,0))</f>
        <v>Nostrum Box</v>
      </c>
      <c r="H234" s="7" t="str">
        <f>INDEX(Raw_Products!$C$2:$C$71,MATCH($F234,Raw_Products!$A$2:$A$71,0))</f>
        <v>Soft Toys</v>
      </c>
      <c r="I234" s="7">
        <f>VALUE(Raw_Orders!D234)</f>
        <v>4</v>
      </c>
      <c r="J234" s="11" t="str">
        <f>INDEX(Raw_Products!$D$2:$D$71,MATCH($F234,Raw_Products!$A$2:$A$71,0))</f>
        <v>1878</v>
      </c>
      <c r="K234" s="11">
        <f t="shared" si="6"/>
        <v>7512</v>
      </c>
      <c r="L234" s="12">
        <f>DATE(VALUE(RIGHT(Raw_Orders!E234,4)),VALUE(MID(Raw_Orders!E234,4,2)),VALUE(LEFT(Raw_Orders!E234,2)))</f>
        <v>45164</v>
      </c>
      <c r="M234" s="12">
        <f>DATE(VALUE(RIGHT(Raw_Orders!G234,4)),VALUE(MID(Raw_Orders!G234,4,2)),VALUE(LEFT(Raw_Orders!G234,2)))</f>
        <v>45168</v>
      </c>
      <c r="N234" s="7">
        <f t="shared" si="7"/>
        <v>4</v>
      </c>
      <c r="O234" s="7" t="str">
        <f>Raw_Orders!J234</f>
        <v>Raksha Bandhan</v>
      </c>
      <c r="P234" s="7" t="str">
        <f>Raw_Orders!I234</f>
        <v>Nizamabad</v>
      </c>
    </row>
    <row r="235" spans="1:16">
      <c r="A235" s="7" t="str">
        <f>Raw_Orders!A235</f>
        <v>234</v>
      </c>
      <c r="B235" s="7" t="str">
        <f>Raw_Orders!B235</f>
        <v>C097</v>
      </c>
      <c r="C235" s="7" t="str">
        <f>INDEX(Raw_Customers!$B$2:$B$101,MATCH($B235,Raw_Customers!$A$2:$A$101,0))</f>
        <v>Nakul Randhawa</v>
      </c>
      <c r="D235" s="7" t="str">
        <f>TRIM(INDEX(Raw_Customers!$C$2:$C$101,MATCH($B235,Raw_Customers!$A$2:$A$101,0)))</f>
        <v>Sri Ganganagar</v>
      </c>
      <c r="E235" s="7" t="str">
        <f>"+91-"&amp;RIGHT("0000000000"&amp;INDEX(Raw_Customers!$D$2:$D$101,MATCH($B235,Raw_Customers!$A$2:$A$101,0)),10)</f>
        <v>+91-0456900126</v>
      </c>
      <c r="F235" s="7" t="str">
        <f>Raw_Orders!C235</f>
        <v>42</v>
      </c>
      <c r="G235" s="7" t="str">
        <f>INDEX(Raw_Products!$B$2:$B$71,MATCH($F235,Raw_Products!$A$2:$A$71,0))</f>
        <v>Expedita Gift</v>
      </c>
      <c r="H235" s="7" t="str">
        <f>INDEX(Raw_Products!$C$2:$C$71,MATCH($F235,Raw_Products!$A$2:$A$71,0))</f>
        <v>Sweets</v>
      </c>
      <c r="I235" s="7">
        <f>VALUE(Raw_Orders!D235)</f>
        <v>1</v>
      </c>
      <c r="J235" s="11" t="str">
        <f>INDEX(Raw_Products!$D$2:$D$71,MATCH($F235,Raw_Products!$A$2:$A$71,0))</f>
        <v>1744</v>
      </c>
      <c r="K235" s="11">
        <f t="shared" si="6"/>
        <v>1744</v>
      </c>
      <c r="L235" s="12">
        <f>DATE(VALUE(RIGHT(Raw_Orders!E235,4)),VALUE(MID(Raw_Orders!E235,4,2)),VALUE(LEFT(Raw_Orders!E235,2)))</f>
        <v>45009</v>
      </c>
      <c r="M235" s="12">
        <f>DATE(VALUE(RIGHT(Raw_Orders!G235,4)),VALUE(MID(Raw_Orders!G235,4,2)),VALUE(LEFT(Raw_Orders!G235,2)))</f>
        <v>45017</v>
      </c>
      <c r="N235" s="7">
        <f t="shared" si="7"/>
        <v>8</v>
      </c>
      <c r="O235" s="7" t="str">
        <f>Raw_Orders!J235</f>
        <v>All Occasions</v>
      </c>
      <c r="P235" s="7" t="str">
        <f>Raw_Orders!I235</f>
        <v>Khandwa</v>
      </c>
    </row>
    <row r="236" spans="1:16">
      <c r="A236" s="7" t="str">
        <f>Raw_Orders!A236</f>
        <v>235</v>
      </c>
      <c r="B236" s="7" t="str">
        <f>Raw_Orders!B236</f>
        <v>C071</v>
      </c>
      <c r="C236" s="7" t="str">
        <f>INDEX(Raw_Customers!$B$2:$B$101,MATCH($B236,Raw_Customers!$A$2:$A$101,0))</f>
        <v>Purab Sheth</v>
      </c>
      <c r="D236" s="7" t="str">
        <f>TRIM(INDEX(Raw_Customers!$C$2:$C$101,MATCH($B236,Raw_Customers!$A$2:$A$101,0)))</f>
        <v>Tiruppur</v>
      </c>
      <c r="E236" s="7" t="str">
        <f>"+91-"&amp;RIGHT("0000000000"&amp;INDEX(Raw_Customers!$D$2:$D$101,MATCH($B236,Raw_Customers!$A$2:$A$101,0)),10)</f>
        <v>+91-8410472405</v>
      </c>
      <c r="F236" s="7" t="str">
        <f>Raw_Orders!C236</f>
        <v>56</v>
      </c>
      <c r="G236" s="7" t="str">
        <f>INDEX(Raw_Products!$B$2:$B$71,MATCH($F236,Raw_Products!$A$2:$A$71,0))</f>
        <v>Quia Gift</v>
      </c>
      <c r="H236" s="7" t="str">
        <f>INDEX(Raw_Products!$C$2:$C$71,MATCH($F236,Raw_Products!$A$2:$A$71,0))</f>
        <v>Raksha Bandhan</v>
      </c>
      <c r="I236" s="7">
        <f>VALUE(Raw_Orders!D236)</f>
        <v>2</v>
      </c>
      <c r="J236" s="11" t="str">
        <f>INDEX(Raw_Products!$D$2:$D$71,MATCH($F236,Raw_Products!$A$2:$A$71,0))</f>
        <v>1272</v>
      </c>
      <c r="K236" s="11">
        <f t="shared" si="6"/>
        <v>2544</v>
      </c>
      <c r="L236" s="12">
        <f>DATE(VALUE(RIGHT(Raw_Orders!E236,4)),VALUE(MID(Raw_Orders!E236,4,2)),VALUE(LEFT(Raw_Orders!E236,2)))</f>
        <v>44983</v>
      </c>
      <c r="M236" s="12">
        <f>DATE(VALUE(RIGHT(Raw_Orders!G236,4)),VALUE(MID(Raw_Orders!G236,4,2)),VALUE(LEFT(Raw_Orders!G236,2)))</f>
        <v>44988</v>
      </c>
      <c r="N236" s="7">
        <f t="shared" si="7"/>
        <v>5</v>
      </c>
      <c r="O236" s="7" t="str">
        <f>Raw_Orders!J236</f>
        <v>Anniversary</v>
      </c>
      <c r="P236" s="7" t="str">
        <f>Raw_Orders!I236</f>
        <v>Bhilai</v>
      </c>
    </row>
    <row r="237" spans="1:16">
      <c r="A237" s="7" t="str">
        <f>Raw_Orders!A237</f>
        <v>236</v>
      </c>
      <c r="B237" s="7" t="str">
        <f>Raw_Orders!B237</f>
        <v>C044</v>
      </c>
      <c r="C237" s="7" t="str">
        <f>INDEX(Raw_Customers!$B$2:$B$101,MATCH($B237,Raw_Customers!$A$2:$A$101,0))</f>
        <v>Seher Mann</v>
      </c>
      <c r="D237" s="7" t="str">
        <f>TRIM(INDEX(Raw_Customers!$C$2:$C$101,MATCH($B237,Raw_Customers!$A$2:$A$101,0)))</f>
        <v>Agra</v>
      </c>
      <c r="E237" s="7" t="str">
        <f>"+91-"&amp;RIGHT("0000000000"&amp;INDEX(Raw_Customers!$D$2:$D$101,MATCH($B237,Raw_Customers!$A$2:$A$101,0)),10)</f>
        <v>+91-9843970658</v>
      </c>
      <c r="F237" s="7" t="str">
        <f>Raw_Orders!C237</f>
        <v>23</v>
      </c>
      <c r="G237" s="7" t="str">
        <f>INDEX(Raw_Products!$B$2:$B$71,MATCH($F237,Raw_Products!$A$2:$A$71,0))</f>
        <v>Dignissimos Pack</v>
      </c>
      <c r="H237" s="7" t="str">
        <f>INDEX(Raw_Products!$C$2:$C$71,MATCH($F237,Raw_Products!$A$2:$A$71,0))</f>
        <v>Sweets</v>
      </c>
      <c r="I237" s="7">
        <f>VALUE(Raw_Orders!D237)</f>
        <v>5</v>
      </c>
      <c r="J237" s="11" t="str">
        <f>INDEX(Raw_Products!$D$2:$D$71,MATCH($F237,Raw_Products!$A$2:$A$71,0))</f>
        <v>1098</v>
      </c>
      <c r="K237" s="11">
        <f t="shared" si="6"/>
        <v>5490</v>
      </c>
      <c r="L237" s="12">
        <f>DATE(VALUE(RIGHT(Raw_Orders!E237,4)),VALUE(MID(Raw_Orders!E237,4,2)),VALUE(LEFT(Raw_Orders!E237,2)))</f>
        <v>45172</v>
      </c>
      <c r="M237" s="12">
        <f>DATE(VALUE(RIGHT(Raw_Orders!G237,4)),VALUE(MID(Raw_Orders!G237,4,2)),VALUE(LEFT(Raw_Orders!G237,2)))</f>
        <v>45180</v>
      </c>
      <c r="N237" s="7">
        <f t="shared" si="7"/>
        <v>8</v>
      </c>
      <c r="O237" s="7" t="str">
        <f>Raw_Orders!J237</f>
        <v>Anniversary</v>
      </c>
      <c r="P237" s="7" t="str">
        <f>Raw_Orders!I237</f>
        <v>Panvel</v>
      </c>
    </row>
    <row r="238" spans="1:16">
      <c r="A238" s="7" t="str">
        <f>Raw_Orders!A238</f>
        <v>237</v>
      </c>
      <c r="B238" s="7" t="str">
        <f>Raw_Orders!B238</f>
        <v>C024</v>
      </c>
      <c r="C238" s="7" t="str">
        <f>INDEX(Raw_Customers!$B$2:$B$101,MATCH($B238,Raw_Customers!$A$2:$A$101,0))</f>
        <v>Jhanvi Chowdhury</v>
      </c>
      <c r="D238" s="7" t="str">
        <f>TRIM(INDEX(Raw_Customers!$C$2:$C$101,MATCH($B238,Raw_Customers!$A$2:$A$101,0)))</f>
        <v>Kavali</v>
      </c>
      <c r="E238" s="7" t="str">
        <f>"+91-"&amp;RIGHT("0000000000"&amp;INDEX(Raw_Customers!$D$2:$D$101,MATCH($B238,Raw_Customers!$A$2:$A$101,0)),10)</f>
        <v>+91-0316756360</v>
      </c>
      <c r="F238" s="7" t="str">
        <f>Raw_Orders!C238</f>
        <v>55</v>
      </c>
      <c r="G238" s="7" t="str">
        <f>INDEX(Raw_Products!$B$2:$B$71,MATCH($F238,Raw_Products!$A$2:$A$71,0))</f>
        <v>Dolores Gift</v>
      </c>
      <c r="H238" s="7" t="str">
        <f>INDEX(Raw_Products!$C$2:$C$71,MATCH($F238,Raw_Products!$A$2:$A$71,0))</f>
        <v>Soft Toys</v>
      </c>
      <c r="I238" s="7">
        <f>VALUE(Raw_Orders!D238)</f>
        <v>1</v>
      </c>
      <c r="J238" s="11" t="str">
        <f>INDEX(Raw_Products!$D$2:$D$71,MATCH($F238,Raw_Products!$A$2:$A$71,0))</f>
        <v>1904</v>
      </c>
      <c r="K238" s="11">
        <f t="shared" si="6"/>
        <v>1904</v>
      </c>
      <c r="L238" s="12">
        <f>DATE(VALUE(RIGHT(Raw_Orders!E238,4)),VALUE(MID(Raw_Orders!E238,4,2)),VALUE(LEFT(Raw_Orders!E238,2)))</f>
        <v>45164</v>
      </c>
      <c r="M238" s="12">
        <f>DATE(VALUE(RIGHT(Raw_Orders!G238,4)),VALUE(MID(Raw_Orders!G238,4,2)),VALUE(LEFT(Raw_Orders!G238,2)))</f>
        <v>45168</v>
      </c>
      <c r="N238" s="7">
        <f t="shared" si="7"/>
        <v>4</v>
      </c>
      <c r="O238" s="7" t="str">
        <f>Raw_Orders!J238</f>
        <v>Raksha Bandhan</v>
      </c>
      <c r="P238" s="7" t="str">
        <f>Raw_Orders!I238</f>
        <v>Sasaram</v>
      </c>
    </row>
    <row r="239" spans="1:16">
      <c r="A239" s="7" t="str">
        <f>Raw_Orders!A239</f>
        <v>238</v>
      </c>
      <c r="B239" s="7" t="str">
        <f>Raw_Orders!B239</f>
        <v>C083</v>
      </c>
      <c r="C239" s="7" t="str">
        <f>INDEX(Raw_Customers!$B$2:$B$101,MATCH($B239,Raw_Customers!$A$2:$A$101,0))</f>
        <v>Aaryahi Sodhi</v>
      </c>
      <c r="D239" s="7" t="str">
        <f>TRIM(INDEX(Raw_Customers!$C$2:$C$101,MATCH($B239,Raw_Customers!$A$2:$A$101,0)))</f>
        <v>Raurkela Industrial Township</v>
      </c>
      <c r="E239" s="7" t="str">
        <f>"+91-"&amp;RIGHT("0000000000"&amp;INDEX(Raw_Customers!$D$2:$D$101,MATCH($B239,Raw_Customers!$A$2:$A$101,0)),10)</f>
        <v>+91-2690208110</v>
      </c>
      <c r="F239" s="7" t="str">
        <f>Raw_Orders!C239</f>
        <v>26</v>
      </c>
      <c r="G239" s="7" t="str">
        <f>INDEX(Raw_Products!$B$2:$B$71,MATCH($F239,Raw_Products!$A$2:$A$71,0))</f>
        <v>Aliquam Box</v>
      </c>
      <c r="H239" s="7" t="str">
        <f>INDEX(Raw_Products!$C$2:$C$71,MATCH($F239,Raw_Products!$A$2:$A$71,0))</f>
        <v>Colors</v>
      </c>
      <c r="I239" s="7">
        <f>VALUE(Raw_Orders!D239)</f>
        <v>4</v>
      </c>
      <c r="J239" s="11" t="str">
        <f>INDEX(Raw_Products!$D$2:$D$71,MATCH($F239,Raw_Products!$A$2:$A$71,0))</f>
        <v>289</v>
      </c>
      <c r="K239" s="11">
        <f t="shared" si="6"/>
        <v>1156</v>
      </c>
      <c r="L239" s="12">
        <f>DATE(VALUE(RIGHT(Raw_Orders!E239,4)),VALUE(MID(Raw_Orders!E239,4,2)),VALUE(LEFT(Raw_Orders!E239,2)))</f>
        <v>44990</v>
      </c>
      <c r="M239" s="12">
        <f>DATE(VALUE(RIGHT(Raw_Orders!G239,4)),VALUE(MID(Raw_Orders!G239,4,2)),VALUE(LEFT(Raw_Orders!G239,2)))</f>
        <v>44996</v>
      </c>
      <c r="N239" s="7">
        <f t="shared" si="7"/>
        <v>6</v>
      </c>
      <c r="O239" s="7" t="str">
        <f>Raw_Orders!J239</f>
        <v>Holi</v>
      </c>
      <c r="P239" s="7" t="str">
        <f>Raw_Orders!I239</f>
        <v>Jammu</v>
      </c>
    </row>
    <row r="240" spans="1:16">
      <c r="A240" s="7" t="str">
        <f>Raw_Orders!A240</f>
        <v>239</v>
      </c>
      <c r="B240" s="7" t="str">
        <f>Raw_Orders!B240</f>
        <v>C088</v>
      </c>
      <c r="C240" s="7" t="str">
        <f>INDEX(Raw_Customers!$B$2:$B$101,MATCH($B240,Raw_Customers!$A$2:$A$101,0))</f>
        <v>Shalv Kulkarni</v>
      </c>
      <c r="D240" s="7" t="str">
        <f>TRIM(INDEX(Raw_Customers!$C$2:$C$101,MATCH($B240,Raw_Customers!$A$2:$A$101,0)))</f>
        <v>Khora</v>
      </c>
      <c r="E240" s="7" t="str">
        <f>"+91-"&amp;RIGHT("0000000000"&amp;INDEX(Raw_Customers!$D$2:$D$101,MATCH($B240,Raw_Customers!$A$2:$A$101,0)),10)</f>
        <v>+91-9113488461</v>
      </c>
      <c r="F240" s="7" t="str">
        <f>Raw_Orders!C240</f>
        <v>27</v>
      </c>
      <c r="G240" s="7" t="str">
        <f>INDEX(Raw_Products!$B$2:$B$71,MATCH($F240,Raw_Products!$A$2:$A$71,0))</f>
        <v>Architecto Gift</v>
      </c>
      <c r="H240" s="7" t="str">
        <f>INDEX(Raw_Products!$C$2:$C$71,MATCH($F240,Raw_Products!$A$2:$A$71,0))</f>
        <v>Cake</v>
      </c>
      <c r="I240" s="7">
        <f>VALUE(Raw_Orders!D240)</f>
        <v>3</v>
      </c>
      <c r="J240" s="11" t="str">
        <f>INDEX(Raw_Products!$D$2:$D$71,MATCH($F240,Raw_Products!$A$2:$A$71,0))</f>
        <v>548</v>
      </c>
      <c r="K240" s="11">
        <f t="shared" si="6"/>
        <v>1644</v>
      </c>
      <c r="L240" s="12">
        <f>DATE(VALUE(RIGHT(Raw_Orders!E240,4)),VALUE(MID(Raw_Orders!E240,4,2)),VALUE(LEFT(Raw_Orders!E240,2)))</f>
        <v>45167</v>
      </c>
      <c r="M240" s="12">
        <f>DATE(VALUE(RIGHT(Raw_Orders!G240,4)),VALUE(MID(Raw_Orders!G240,4,2)),VALUE(LEFT(Raw_Orders!G240,2)))</f>
        <v>45175</v>
      </c>
      <c r="N240" s="7">
        <f t="shared" si="7"/>
        <v>8</v>
      </c>
      <c r="O240" s="7" t="str">
        <f>Raw_Orders!J240</f>
        <v>Raksha Bandhan</v>
      </c>
      <c r="P240" s="7" t="str">
        <f>Raw_Orders!I240</f>
        <v>Gurgaon</v>
      </c>
    </row>
    <row r="241" spans="1:16">
      <c r="A241" s="7" t="str">
        <f>Raw_Orders!A241</f>
        <v>240</v>
      </c>
      <c r="B241" s="7" t="str">
        <f>Raw_Orders!B241</f>
        <v>C074</v>
      </c>
      <c r="C241" s="7" t="str">
        <f>INDEX(Raw_Customers!$B$2:$B$101,MATCH($B241,Raw_Customers!$A$2:$A$101,0))</f>
        <v>Vanya Apte</v>
      </c>
      <c r="D241" s="7" t="str">
        <f>TRIM(INDEX(Raw_Customers!$C$2:$C$101,MATCH($B241,Raw_Customers!$A$2:$A$101,0)))</f>
        <v>Sultan Pur Majra</v>
      </c>
      <c r="E241" s="7" t="str">
        <f>"+91-"&amp;RIGHT("0000000000"&amp;INDEX(Raw_Customers!$D$2:$D$101,MATCH($B241,Raw_Customers!$A$2:$A$101,0)),10)</f>
        <v>+91-9182523205</v>
      </c>
      <c r="F241" s="7" t="str">
        <f>Raw_Orders!C241</f>
        <v>5</v>
      </c>
      <c r="G241" s="7" t="str">
        <f>INDEX(Raw_Products!$B$2:$B$71,MATCH($F241,Raw_Products!$A$2:$A$71,0))</f>
        <v>Natus Gift</v>
      </c>
      <c r="H241" s="7" t="str">
        <f>INDEX(Raw_Products!$C$2:$C$71,MATCH($F241,Raw_Products!$A$2:$A$71,0))</f>
        <v>Colors</v>
      </c>
      <c r="I241" s="7">
        <f>VALUE(Raw_Orders!D241)</f>
        <v>5</v>
      </c>
      <c r="J241" s="11" t="str">
        <f>INDEX(Raw_Products!$D$2:$D$71,MATCH($F241,Raw_Products!$A$2:$A$71,0))</f>
        <v>1444</v>
      </c>
      <c r="K241" s="11">
        <f t="shared" si="6"/>
        <v>7220</v>
      </c>
      <c r="L241" s="12">
        <f>DATE(VALUE(RIGHT(Raw_Orders!E241,4)),VALUE(MID(Raw_Orders!E241,4,2)),VALUE(LEFT(Raw_Orders!E241,2)))</f>
        <v>45010</v>
      </c>
      <c r="M241" s="12">
        <f>DATE(VALUE(RIGHT(Raw_Orders!G241,4)),VALUE(MID(Raw_Orders!G241,4,2)),VALUE(LEFT(Raw_Orders!G241,2)))</f>
        <v>45015</v>
      </c>
      <c r="N241" s="7">
        <f t="shared" si="7"/>
        <v>5</v>
      </c>
      <c r="O241" s="7" t="str">
        <f>Raw_Orders!J241</f>
        <v>All Occasions</v>
      </c>
      <c r="P241" s="7" t="str">
        <f>Raw_Orders!I241</f>
        <v>Darbhanga</v>
      </c>
    </row>
    <row r="242" spans="1:16">
      <c r="A242" s="7" t="str">
        <f>Raw_Orders!A242</f>
        <v>241</v>
      </c>
      <c r="B242" s="7" t="str">
        <f>Raw_Orders!B242</f>
        <v>C067</v>
      </c>
      <c r="C242" s="7" t="str">
        <f>INDEX(Raw_Customers!$B$2:$B$101,MATCH($B242,Raw_Customers!$A$2:$A$101,0))</f>
        <v>Eva Sankaran</v>
      </c>
      <c r="D242" s="7" t="str">
        <f>TRIM(INDEX(Raw_Customers!$C$2:$C$101,MATCH($B242,Raw_Customers!$A$2:$A$101,0)))</f>
        <v>Anand</v>
      </c>
      <c r="E242" s="7" t="str">
        <f>"+91-"&amp;RIGHT("0000000000"&amp;INDEX(Raw_Customers!$D$2:$D$101,MATCH($B242,Raw_Customers!$A$2:$A$101,0)),10)</f>
        <v>+91-0407409251</v>
      </c>
      <c r="F242" s="7" t="str">
        <f>Raw_Orders!C242</f>
        <v>20</v>
      </c>
      <c r="G242" s="7" t="str">
        <f>INDEX(Raw_Products!$B$2:$B$71,MATCH($F242,Raw_Products!$A$2:$A$71,0))</f>
        <v>Reiciendis Box</v>
      </c>
      <c r="H242" s="7" t="str">
        <f>INDEX(Raw_Products!$C$2:$C$71,MATCH($F242,Raw_Products!$A$2:$A$71,0))</f>
        <v>Colors</v>
      </c>
      <c r="I242" s="7">
        <f>VALUE(Raw_Orders!D242)</f>
        <v>2</v>
      </c>
      <c r="J242" s="11" t="str">
        <f>INDEX(Raw_Products!$D$2:$D$71,MATCH($F242,Raw_Products!$A$2:$A$71,0))</f>
        <v>697</v>
      </c>
      <c r="K242" s="11">
        <f t="shared" si="6"/>
        <v>1394</v>
      </c>
      <c r="L242" s="12">
        <f>DATE(VALUE(RIGHT(Raw_Orders!E242,4)),VALUE(MID(Raw_Orders!E242,4,2)),VALUE(LEFT(Raw_Orders!E242,2)))</f>
        <v>45174</v>
      </c>
      <c r="M242" s="12">
        <f>DATE(VALUE(RIGHT(Raw_Orders!G242,4)),VALUE(MID(Raw_Orders!G242,4,2)),VALUE(LEFT(Raw_Orders!G242,2)))</f>
        <v>45176</v>
      </c>
      <c r="N242" s="7">
        <f t="shared" si="7"/>
        <v>2</v>
      </c>
      <c r="O242" s="7" t="str">
        <f>Raw_Orders!J242</f>
        <v>Anniversary</v>
      </c>
      <c r="P242" s="7" t="str">
        <f>Raw_Orders!I242</f>
        <v>Indore</v>
      </c>
    </row>
    <row r="243" spans="1:16">
      <c r="A243" s="7" t="str">
        <f>Raw_Orders!A243</f>
        <v>242</v>
      </c>
      <c r="B243" s="7" t="str">
        <f>Raw_Orders!B243</f>
        <v>C012</v>
      </c>
      <c r="C243" s="7" t="str">
        <f>INDEX(Raw_Customers!$B$2:$B$101,MATCH($B243,Raw_Customers!$A$2:$A$101,0))</f>
        <v>Onkar Mangat</v>
      </c>
      <c r="D243" s="7" t="str">
        <f>TRIM(INDEX(Raw_Customers!$C$2:$C$101,MATCH($B243,Raw_Customers!$A$2:$A$101,0)))</f>
        <v>Bilaspur</v>
      </c>
      <c r="E243" s="7" t="str">
        <f>"+91-"&amp;RIGHT("0000000000"&amp;INDEX(Raw_Customers!$D$2:$D$101,MATCH($B243,Raw_Customers!$A$2:$A$101,0)),10)</f>
        <v>+91-9921125624</v>
      </c>
      <c r="F243" s="7" t="str">
        <f>Raw_Orders!C243</f>
        <v>21</v>
      </c>
      <c r="G243" s="7" t="str">
        <f>INDEX(Raw_Products!$B$2:$B$71,MATCH($F243,Raw_Products!$A$2:$A$71,0))</f>
        <v>Quia Gift</v>
      </c>
      <c r="H243" s="7" t="str">
        <f>INDEX(Raw_Products!$C$2:$C$71,MATCH($F243,Raw_Products!$A$2:$A$71,0))</f>
        <v>Colors</v>
      </c>
      <c r="I243" s="7">
        <f>VALUE(Raw_Orders!D243)</f>
        <v>1</v>
      </c>
      <c r="J243" s="11" t="str">
        <f>INDEX(Raw_Products!$D$2:$D$71,MATCH($F243,Raw_Products!$A$2:$A$71,0))</f>
        <v>1561</v>
      </c>
      <c r="K243" s="11">
        <f t="shared" si="6"/>
        <v>1561</v>
      </c>
      <c r="L243" s="12">
        <f>DATE(VALUE(RIGHT(Raw_Orders!E243,4)),VALUE(MID(Raw_Orders!E243,4,2)),VALUE(LEFT(Raw_Orders!E243,2)))</f>
        <v>45161</v>
      </c>
      <c r="M243" s="12">
        <f>DATE(VALUE(RIGHT(Raw_Orders!G243,4)),VALUE(MID(Raw_Orders!G243,4,2)),VALUE(LEFT(Raw_Orders!G243,2)))</f>
        <v>45169</v>
      </c>
      <c r="N243" s="7">
        <f t="shared" si="7"/>
        <v>8</v>
      </c>
      <c r="O243" s="7" t="str">
        <f>Raw_Orders!J243</f>
        <v>Raksha Bandhan</v>
      </c>
      <c r="P243" s="7" t="str">
        <f>Raw_Orders!I243</f>
        <v>Amroha</v>
      </c>
    </row>
    <row r="244" spans="1:16">
      <c r="A244" s="7" t="str">
        <f>Raw_Orders!A244</f>
        <v>243</v>
      </c>
      <c r="B244" s="7" t="str">
        <f>Raw_Orders!B244</f>
        <v>C043</v>
      </c>
      <c r="C244" s="7" t="str">
        <f>INDEX(Raw_Customers!$B$2:$B$101,MATCH($B244,Raw_Customers!$A$2:$A$101,0))</f>
        <v>Yasmin Sheth</v>
      </c>
      <c r="D244" s="7" t="str">
        <f>TRIM(INDEX(Raw_Customers!$C$2:$C$101,MATCH($B244,Raw_Customers!$A$2:$A$101,0)))</f>
        <v>Vellore</v>
      </c>
      <c r="E244" s="7" t="str">
        <f>"+91-"&amp;RIGHT("0000000000"&amp;INDEX(Raw_Customers!$D$2:$D$101,MATCH($B244,Raw_Customers!$A$2:$A$101,0)),10)</f>
        <v>+91-2544865070</v>
      </c>
      <c r="F244" s="7" t="str">
        <f>Raw_Orders!C244</f>
        <v>3</v>
      </c>
      <c r="G244" s="7" t="str">
        <f>INDEX(Raw_Products!$B$2:$B$71,MATCH($F244,Raw_Products!$A$2:$A$71,0))</f>
        <v>Eius Gift</v>
      </c>
      <c r="H244" s="7" t="str">
        <f>INDEX(Raw_Products!$C$2:$C$71,MATCH($F244,Raw_Products!$A$2:$A$71,0))</f>
        <v>Colors</v>
      </c>
      <c r="I244" s="7">
        <f>VALUE(Raw_Orders!D244)</f>
        <v>1</v>
      </c>
      <c r="J244" s="11" t="str">
        <f>INDEX(Raw_Products!$D$2:$D$71,MATCH($F244,Raw_Products!$A$2:$A$71,0))</f>
        <v>1534</v>
      </c>
      <c r="K244" s="11">
        <f t="shared" si="6"/>
        <v>1534</v>
      </c>
      <c r="L244" s="12">
        <f>DATE(VALUE(RIGHT(Raw_Orders!E244,4)),VALUE(MID(Raw_Orders!E244,4,2)),VALUE(LEFT(Raw_Orders!E244,2)))</f>
        <v>44962</v>
      </c>
      <c r="M244" s="12">
        <f>DATE(VALUE(RIGHT(Raw_Orders!G244,4)),VALUE(MID(Raw_Orders!G244,4,2)),VALUE(LEFT(Raw_Orders!G244,2)))</f>
        <v>44967</v>
      </c>
      <c r="N244" s="7">
        <f t="shared" si="7"/>
        <v>5</v>
      </c>
      <c r="O244" s="7" t="str">
        <f>Raw_Orders!J244</f>
        <v>Valentine's Day</v>
      </c>
      <c r="P244" s="7" t="str">
        <f>Raw_Orders!I244</f>
        <v>Siwan</v>
      </c>
    </row>
    <row r="245" spans="1:16">
      <c r="A245" s="7" t="str">
        <f>Raw_Orders!A245</f>
        <v>244</v>
      </c>
      <c r="B245" s="7" t="str">
        <f>Raw_Orders!B245</f>
        <v>C041</v>
      </c>
      <c r="C245" s="7" t="str">
        <f>INDEX(Raw_Customers!$B$2:$B$101,MATCH($B245,Raw_Customers!$A$2:$A$101,0))</f>
        <v>Rati Dhingra</v>
      </c>
      <c r="D245" s="7" t="str">
        <f>TRIM(INDEX(Raw_Customers!$C$2:$C$101,MATCH($B245,Raw_Customers!$A$2:$A$101,0)))</f>
        <v>Karaikudi</v>
      </c>
      <c r="E245" s="7" t="str">
        <f>"+91-"&amp;RIGHT("0000000000"&amp;INDEX(Raw_Customers!$D$2:$D$101,MATCH($B245,Raw_Customers!$A$2:$A$101,0)),10)</f>
        <v>+91-0625408216</v>
      </c>
      <c r="F245" s="7" t="str">
        <f>Raw_Orders!C245</f>
        <v>65</v>
      </c>
      <c r="G245" s="7" t="str">
        <f>INDEX(Raw_Products!$B$2:$B$71,MATCH($F245,Raw_Products!$A$2:$A$71,0))</f>
        <v>Error Gift</v>
      </c>
      <c r="H245" s="7" t="str">
        <f>INDEX(Raw_Products!$C$2:$C$71,MATCH($F245,Raw_Products!$A$2:$A$71,0))</f>
        <v>Raksha Bandhan</v>
      </c>
      <c r="I245" s="7">
        <f>VALUE(Raw_Orders!D245)</f>
        <v>3</v>
      </c>
      <c r="J245" s="11" t="str">
        <f>INDEX(Raw_Products!$D$2:$D$71,MATCH($F245,Raw_Products!$A$2:$A$71,0))</f>
        <v>1895</v>
      </c>
      <c r="K245" s="11">
        <f t="shared" si="6"/>
        <v>5685</v>
      </c>
      <c r="L245" s="12">
        <f>DATE(VALUE(RIGHT(Raw_Orders!E245,4)),VALUE(MID(Raw_Orders!E245,4,2)),VALUE(LEFT(Raw_Orders!E245,2)))</f>
        <v>45005</v>
      </c>
      <c r="M245" s="12">
        <f>DATE(VALUE(RIGHT(Raw_Orders!G245,4)),VALUE(MID(Raw_Orders!G245,4,2)),VALUE(LEFT(Raw_Orders!G245,2)))</f>
        <v>45015</v>
      </c>
      <c r="N245" s="7">
        <f t="shared" si="7"/>
        <v>10</v>
      </c>
      <c r="O245" s="7" t="str">
        <f>Raw_Orders!J245</f>
        <v>All Occasions</v>
      </c>
      <c r="P245" s="7" t="str">
        <f>Raw_Orders!I245</f>
        <v>Guntakal</v>
      </c>
    </row>
    <row r="246" spans="1:16">
      <c r="A246" s="7" t="str">
        <f>Raw_Orders!A246</f>
        <v>245</v>
      </c>
      <c r="B246" s="7" t="str">
        <f>Raw_Orders!B246</f>
        <v>C020</v>
      </c>
      <c r="C246" s="7" t="str">
        <f>INDEX(Raw_Customers!$B$2:$B$101,MATCH($B246,Raw_Customers!$A$2:$A$101,0))</f>
        <v>Samaira Ganesh</v>
      </c>
      <c r="D246" s="7" t="str">
        <f>TRIM(INDEX(Raw_Customers!$C$2:$C$101,MATCH($B246,Raw_Customers!$A$2:$A$101,0)))</f>
        <v>Machilipatnam</v>
      </c>
      <c r="E246" s="7" t="str">
        <f>"+91-"&amp;RIGHT("0000000000"&amp;INDEX(Raw_Customers!$D$2:$D$101,MATCH($B246,Raw_Customers!$A$2:$A$101,0)),10)</f>
        <v>+91-1731643700</v>
      </c>
      <c r="F246" s="7" t="str">
        <f>Raw_Orders!C246</f>
        <v>50</v>
      </c>
      <c r="G246" s="7" t="str">
        <f>INDEX(Raw_Products!$B$2:$B$71,MATCH($F246,Raw_Products!$A$2:$A$71,0))</f>
        <v>Eligendi Set</v>
      </c>
      <c r="H246" s="7" t="str">
        <f>INDEX(Raw_Products!$C$2:$C$71,MATCH($F246,Raw_Products!$A$2:$A$71,0))</f>
        <v>Plants</v>
      </c>
      <c r="I246" s="7">
        <f>VALUE(Raw_Orders!D246)</f>
        <v>3</v>
      </c>
      <c r="J246" s="11" t="str">
        <f>INDEX(Raw_Products!$D$2:$D$71,MATCH($F246,Raw_Products!$A$2:$A$71,0))</f>
        <v>422</v>
      </c>
      <c r="K246" s="11">
        <f t="shared" si="6"/>
        <v>1266</v>
      </c>
      <c r="L246" s="12">
        <f>DATE(VALUE(RIGHT(Raw_Orders!E246,4)),VALUE(MID(Raw_Orders!E246,4,2)),VALUE(LEFT(Raw_Orders!E246,2)))</f>
        <v>44990</v>
      </c>
      <c r="M246" s="12">
        <f>DATE(VALUE(RIGHT(Raw_Orders!G246,4)),VALUE(MID(Raw_Orders!G246,4,2)),VALUE(LEFT(Raw_Orders!G246,2)))</f>
        <v>44996</v>
      </c>
      <c r="N246" s="7">
        <f t="shared" si="7"/>
        <v>6</v>
      </c>
      <c r="O246" s="7" t="str">
        <f>Raw_Orders!J246</f>
        <v>Holi</v>
      </c>
      <c r="P246" s="7" t="str">
        <f>Raw_Orders!I246</f>
        <v>Noida</v>
      </c>
    </row>
    <row r="247" spans="1:16">
      <c r="A247" s="7" t="str">
        <f>Raw_Orders!A247</f>
        <v>246</v>
      </c>
      <c r="B247" s="7" t="str">
        <f>Raw_Orders!B247</f>
        <v>C017</v>
      </c>
      <c r="C247" s="7" t="str">
        <f>INDEX(Raw_Customers!$B$2:$B$101,MATCH($B247,Raw_Customers!$A$2:$A$101,0))</f>
        <v>Advika Dhar</v>
      </c>
      <c r="D247" s="7" t="str">
        <f>TRIM(INDEX(Raw_Customers!$C$2:$C$101,MATCH($B247,Raw_Customers!$A$2:$A$101,0)))</f>
        <v>Gangtok</v>
      </c>
      <c r="E247" s="7" t="str">
        <f>"+91-"&amp;RIGHT("0000000000"&amp;INDEX(Raw_Customers!$D$2:$D$101,MATCH($B247,Raw_Customers!$A$2:$A$101,0)),10)</f>
        <v>+91-2738556486</v>
      </c>
      <c r="F247" s="7" t="str">
        <f>Raw_Orders!C247</f>
        <v>69</v>
      </c>
      <c r="G247" s="7" t="str">
        <f>INDEX(Raw_Products!$B$2:$B$71,MATCH($F247,Raw_Products!$A$2:$A$71,0))</f>
        <v>Id Box</v>
      </c>
      <c r="H247" s="7" t="str">
        <f>INDEX(Raw_Products!$C$2:$C$71,MATCH($F247,Raw_Products!$A$2:$A$71,0))</f>
        <v>Cake</v>
      </c>
      <c r="I247" s="7">
        <f>VALUE(Raw_Orders!D247)</f>
        <v>5</v>
      </c>
      <c r="J247" s="11" t="str">
        <f>INDEX(Raw_Products!$D$2:$D$71,MATCH($F247,Raw_Products!$A$2:$A$71,0))</f>
        <v>998</v>
      </c>
      <c r="K247" s="11">
        <f t="shared" si="6"/>
        <v>4990</v>
      </c>
      <c r="L247" s="12">
        <f>DATE(VALUE(RIGHT(Raw_Orders!E247,4)),VALUE(MID(Raw_Orders!E247,4,2)),VALUE(LEFT(Raw_Orders!E247,2)))</f>
        <v>44985</v>
      </c>
      <c r="M247" s="12">
        <f>DATE(VALUE(RIGHT(Raw_Orders!G247,4)),VALUE(MID(Raw_Orders!G247,4,2)),VALUE(LEFT(Raw_Orders!G247,2)))</f>
        <v>44993</v>
      </c>
      <c r="N247" s="7">
        <f t="shared" si="7"/>
        <v>8</v>
      </c>
      <c r="O247" s="7" t="str">
        <f>Raw_Orders!J247</f>
        <v>Holi</v>
      </c>
      <c r="P247" s="7" t="str">
        <f>Raw_Orders!I247</f>
        <v>Agra</v>
      </c>
    </row>
    <row r="248" spans="1:16">
      <c r="A248" s="7" t="str">
        <f>Raw_Orders!A248</f>
        <v>247</v>
      </c>
      <c r="B248" s="7" t="str">
        <f>Raw_Orders!B248</f>
        <v>C052</v>
      </c>
      <c r="C248" s="7" t="str">
        <f>INDEX(Raw_Customers!$B$2:$B$101,MATCH($B248,Raw_Customers!$A$2:$A$101,0))</f>
        <v>Vardaniya Apte</v>
      </c>
      <c r="D248" s="7" t="str">
        <f>TRIM(INDEX(Raw_Customers!$C$2:$C$101,MATCH($B248,Raw_Customers!$A$2:$A$101,0)))</f>
        <v>Dhanbad</v>
      </c>
      <c r="E248" s="7" t="str">
        <f>"+91-"&amp;RIGHT("0000000000"&amp;INDEX(Raw_Customers!$D$2:$D$101,MATCH($B248,Raw_Customers!$A$2:$A$101,0)),10)</f>
        <v>+91-5846932069</v>
      </c>
      <c r="F248" s="7" t="str">
        <f>Raw_Orders!C248</f>
        <v>23</v>
      </c>
      <c r="G248" s="7" t="str">
        <f>INDEX(Raw_Products!$B$2:$B$71,MATCH($F248,Raw_Products!$A$2:$A$71,0))</f>
        <v>Dignissimos Pack</v>
      </c>
      <c r="H248" s="7" t="str">
        <f>INDEX(Raw_Products!$C$2:$C$71,MATCH($F248,Raw_Products!$A$2:$A$71,0))</f>
        <v>Sweets</v>
      </c>
      <c r="I248" s="7">
        <f>VALUE(Raw_Orders!D248)</f>
        <v>4</v>
      </c>
      <c r="J248" s="11" t="str">
        <f>INDEX(Raw_Products!$D$2:$D$71,MATCH($F248,Raw_Products!$A$2:$A$71,0))</f>
        <v>1098</v>
      </c>
      <c r="K248" s="11">
        <f t="shared" si="6"/>
        <v>4392</v>
      </c>
      <c r="L248" s="12">
        <f>DATE(VALUE(RIGHT(Raw_Orders!E248,4)),VALUE(MID(Raw_Orders!E248,4,2)),VALUE(LEFT(Raw_Orders!E248,2)))</f>
        <v>45210</v>
      </c>
      <c r="M248" s="12">
        <f>DATE(VALUE(RIGHT(Raw_Orders!G248,4)),VALUE(MID(Raw_Orders!G248,4,2)),VALUE(LEFT(Raw_Orders!G248,2)))</f>
        <v>45215</v>
      </c>
      <c r="N248" s="7">
        <f t="shared" si="7"/>
        <v>5</v>
      </c>
      <c r="O248" s="7" t="str">
        <f>Raw_Orders!J248</f>
        <v>Anniversary</v>
      </c>
      <c r="P248" s="7" t="str">
        <f>Raw_Orders!I248</f>
        <v>Gudivada</v>
      </c>
    </row>
    <row r="249" spans="1:16">
      <c r="A249" s="7" t="str">
        <f>Raw_Orders!A249</f>
        <v>248</v>
      </c>
      <c r="B249" s="7" t="str">
        <f>Raw_Orders!B249</f>
        <v>C044</v>
      </c>
      <c r="C249" s="7" t="str">
        <f>INDEX(Raw_Customers!$B$2:$B$101,MATCH($B249,Raw_Customers!$A$2:$A$101,0))</f>
        <v>Seher Mann</v>
      </c>
      <c r="D249" s="7" t="str">
        <f>TRIM(INDEX(Raw_Customers!$C$2:$C$101,MATCH($B249,Raw_Customers!$A$2:$A$101,0)))</f>
        <v>Agra</v>
      </c>
      <c r="E249" s="7" t="str">
        <f>"+91-"&amp;RIGHT("0000000000"&amp;INDEX(Raw_Customers!$D$2:$D$101,MATCH($B249,Raw_Customers!$A$2:$A$101,0)),10)</f>
        <v>+91-9843970658</v>
      </c>
      <c r="F249" s="7" t="str">
        <f>Raw_Orders!C249</f>
        <v>19</v>
      </c>
      <c r="G249" s="7" t="str">
        <f>INDEX(Raw_Products!$B$2:$B$71,MATCH($F249,Raw_Products!$A$2:$A$71,0))</f>
        <v>Iure Gift</v>
      </c>
      <c r="H249" s="7" t="str">
        <f>INDEX(Raw_Products!$C$2:$C$71,MATCH($F249,Raw_Products!$A$2:$A$71,0))</f>
        <v>Mugs</v>
      </c>
      <c r="I249" s="7">
        <f>VALUE(Raw_Orders!D249)</f>
        <v>5</v>
      </c>
      <c r="J249" s="11" t="str">
        <f>INDEX(Raw_Products!$D$2:$D$71,MATCH($F249,Raw_Products!$A$2:$A$71,0))</f>
        <v>1234</v>
      </c>
      <c r="K249" s="11">
        <f t="shared" si="6"/>
        <v>6170</v>
      </c>
      <c r="L249" s="12">
        <f>DATE(VALUE(RIGHT(Raw_Orders!E249,4)),VALUE(MID(Raw_Orders!E249,4,2)),VALUE(LEFT(Raw_Orders!E249,2)))</f>
        <v>44965</v>
      </c>
      <c r="M249" s="12">
        <f>DATE(VALUE(RIGHT(Raw_Orders!G249,4)),VALUE(MID(Raw_Orders!G249,4,2)),VALUE(LEFT(Raw_Orders!G249,2)))</f>
        <v>44967</v>
      </c>
      <c r="N249" s="7">
        <f t="shared" si="7"/>
        <v>2</v>
      </c>
      <c r="O249" s="7" t="str">
        <f>Raw_Orders!J249</f>
        <v>Valentine's Day</v>
      </c>
      <c r="P249" s="7" t="str">
        <f>Raw_Orders!I249</f>
        <v>Alwar</v>
      </c>
    </row>
    <row r="250" spans="1:16">
      <c r="A250" s="7" t="str">
        <f>Raw_Orders!A250</f>
        <v>249</v>
      </c>
      <c r="B250" s="7" t="str">
        <f>Raw_Orders!B250</f>
        <v>C003</v>
      </c>
      <c r="C250" s="7" t="str">
        <f>INDEX(Raw_Customers!$B$2:$B$101,MATCH($B250,Raw_Customers!$A$2:$A$101,0))</f>
        <v>Jayesh Lanka</v>
      </c>
      <c r="D250" s="7" t="str">
        <f>TRIM(INDEX(Raw_Customers!$C$2:$C$101,MATCH($B250,Raw_Customers!$A$2:$A$101,0)))</f>
        <v>Bilaspur</v>
      </c>
      <c r="E250" s="7" t="str">
        <f>"+91-"&amp;RIGHT("0000000000"&amp;INDEX(Raw_Customers!$D$2:$D$101,MATCH($B250,Raw_Customers!$A$2:$A$101,0)),10)</f>
        <v>+91-7400208126</v>
      </c>
      <c r="F250" s="7" t="str">
        <f>Raw_Orders!C250</f>
        <v>14</v>
      </c>
      <c r="G250" s="7" t="str">
        <f>INDEX(Raw_Products!$B$2:$B$71,MATCH($F250,Raw_Products!$A$2:$A$71,0))</f>
        <v>Deserunt Box</v>
      </c>
      <c r="H250" s="7" t="str">
        <f>INDEX(Raw_Products!$C$2:$C$71,MATCH($F250,Raw_Products!$A$2:$A$71,0))</f>
        <v>Colors</v>
      </c>
      <c r="I250" s="7">
        <f>VALUE(Raw_Orders!D250)</f>
        <v>2</v>
      </c>
      <c r="J250" s="11" t="str">
        <f>INDEX(Raw_Products!$D$2:$D$71,MATCH($F250,Raw_Products!$A$2:$A$71,0))</f>
        <v>1915</v>
      </c>
      <c r="K250" s="11">
        <f t="shared" si="6"/>
        <v>3830</v>
      </c>
      <c r="L250" s="12">
        <f>DATE(VALUE(RIGHT(Raw_Orders!E250,4)),VALUE(MID(Raw_Orders!E250,4,2)),VALUE(LEFT(Raw_Orders!E250,2)))</f>
        <v>45179</v>
      </c>
      <c r="M250" s="12">
        <f>DATE(VALUE(RIGHT(Raw_Orders!G250,4)),VALUE(MID(Raw_Orders!G250,4,2)),VALUE(LEFT(Raw_Orders!G250,2)))</f>
        <v>45188</v>
      </c>
      <c r="N250" s="7">
        <f t="shared" si="7"/>
        <v>9</v>
      </c>
      <c r="O250" s="7" t="str">
        <f>Raw_Orders!J250</f>
        <v>Birthday</v>
      </c>
      <c r="P250" s="7" t="str">
        <f>Raw_Orders!I250</f>
        <v>Bareilly</v>
      </c>
    </row>
    <row r="251" spans="1:16">
      <c r="A251" s="7" t="str">
        <f>Raw_Orders!A251</f>
        <v>250</v>
      </c>
      <c r="B251" s="7" t="str">
        <f>Raw_Orders!B251</f>
        <v>C086</v>
      </c>
      <c r="C251" s="7" t="str">
        <f>INDEX(Raw_Customers!$B$2:$B$101,MATCH($B251,Raw_Customers!$A$2:$A$101,0))</f>
        <v>Ivana Amble</v>
      </c>
      <c r="D251" s="7" t="str">
        <f>TRIM(INDEX(Raw_Customers!$C$2:$C$101,MATCH($B251,Raw_Customers!$A$2:$A$101,0)))</f>
        <v>Purnia</v>
      </c>
      <c r="E251" s="7" t="str">
        <f>"+91-"&amp;RIGHT("0000000000"&amp;INDEX(Raw_Customers!$D$2:$D$101,MATCH($B251,Raw_Customers!$A$2:$A$101,0)),10)</f>
        <v>+91-9628920018</v>
      </c>
      <c r="F251" s="7" t="str">
        <f>Raw_Orders!C251</f>
        <v>37</v>
      </c>
      <c r="G251" s="7" t="str">
        <f>INDEX(Raw_Products!$B$2:$B$71,MATCH($F251,Raw_Products!$A$2:$A$71,0))</f>
        <v>Officiis Pack</v>
      </c>
      <c r="H251" s="7" t="str">
        <f>INDEX(Raw_Products!$C$2:$C$71,MATCH($F251,Raw_Products!$A$2:$A$71,0))</f>
        <v>Colors</v>
      </c>
      <c r="I251" s="7">
        <f>VALUE(Raw_Orders!D251)</f>
        <v>5</v>
      </c>
      <c r="J251" s="11" t="str">
        <f>INDEX(Raw_Products!$D$2:$D$71,MATCH($F251,Raw_Products!$A$2:$A$71,0))</f>
        <v>1428</v>
      </c>
      <c r="K251" s="11">
        <f t="shared" si="6"/>
        <v>7140</v>
      </c>
      <c r="L251" s="12">
        <f>DATE(VALUE(RIGHT(Raw_Orders!E251,4)),VALUE(MID(Raw_Orders!E251,4,2)),VALUE(LEFT(Raw_Orders!E251,2)))</f>
        <v>45238</v>
      </c>
      <c r="M251" s="12">
        <f>DATE(VALUE(RIGHT(Raw_Orders!G251,4)),VALUE(MID(Raw_Orders!G251,4,2)),VALUE(LEFT(Raw_Orders!G251,2)))</f>
        <v>45239</v>
      </c>
      <c r="N251" s="7">
        <f t="shared" si="7"/>
        <v>1</v>
      </c>
      <c r="O251" s="7" t="str">
        <f>Raw_Orders!J251</f>
        <v>Diwali</v>
      </c>
      <c r="P251" s="7" t="str">
        <f>Raw_Orders!I251</f>
        <v>Korba</v>
      </c>
    </row>
    <row r="252" spans="1:16">
      <c r="A252" s="7" t="str">
        <f>Raw_Orders!A252</f>
        <v>251</v>
      </c>
      <c r="B252" s="7" t="str">
        <f>Raw_Orders!B252</f>
        <v>C051</v>
      </c>
      <c r="C252" s="7" t="str">
        <f>INDEX(Raw_Customers!$B$2:$B$101,MATCH($B252,Raw_Customers!$A$2:$A$101,0))</f>
        <v>Aradhya Batta</v>
      </c>
      <c r="D252" s="7" t="str">
        <f>TRIM(INDEX(Raw_Customers!$C$2:$C$101,MATCH($B252,Raw_Customers!$A$2:$A$101,0)))</f>
        <v>Kota</v>
      </c>
      <c r="E252" s="7" t="str">
        <f>"+91-"&amp;RIGHT("0000000000"&amp;INDEX(Raw_Customers!$D$2:$D$101,MATCH($B252,Raw_Customers!$A$2:$A$101,0)),10)</f>
        <v>+91-1200621501</v>
      </c>
      <c r="F252" s="7" t="str">
        <f>Raw_Orders!C252</f>
        <v>7</v>
      </c>
      <c r="G252" s="7" t="str">
        <f>INDEX(Raw_Products!$B$2:$B$71,MATCH($F252,Raw_Products!$A$2:$A$71,0))</f>
        <v>Quos Set</v>
      </c>
      <c r="H252" s="7" t="str">
        <f>INDEX(Raw_Products!$C$2:$C$71,MATCH($F252,Raw_Products!$A$2:$A$71,0))</f>
        <v>Soft Toys</v>
      </c>
      <c r="I252" s="7">
        <f>VALUE(Raw_Orders!D252)</f>
        <v>4</v>
      </c>
      <c r="J252" s="11" t="str">
        <f>INDEX(Raw_Products!$D$2:$D$71,MATCH($F252,Raw_Products!$A$2:$A$71,0))</f>
        <v>409</v>
      </c>
      <c r="K252" s="11">
        <f t="shared" si="6"/>
        <v>1636</v>
      </c>
      <c r="L252" s="12">
        <f>DATE(VALUE(RIGHT(Raw_Orders!E252,4)),VALUE(MID(Raw_Orders!E252,4,2)),VALUE(LEFT(Raw_Orders!E252,2)))</f>
        <v>44985</v>
      </c>
      <c r="M252" s="12">
        <f>DATE(VALUE(RIGHT(Raw_Orders!G252,4)),VALUE(MID(Raw_Orders!G252,4,2)),VALUE(LEFT(Raw_Orders!G252,2)))</f>
        <v>44987</v>
      </c>
      <c r="N252" s="7">
        <f t="shared" si="7"/>
        <v>2</v>
      </c>
      <c r="O252" s="7" t="str">
        <f>Raw_Orders!J252</f>
        <v>Holi</v>
      </c>
      <c r="P252" s="7" t="str">
        <f>Raw_Orders!I252</f>
        <v>Khora </v>
      </c>
    </row>
    <row r="253" spans="1:16">
      <c r="A253" s="7" t="str">
        <f>Raw_Orders!A253</f>
        <v>252</v>
      </c>
      <c r="B253" s="7" t="str">
        <f>Raw_Orders!B253</f>
        <v>C040</v>
      </c>
      <c r="C253" s="7" t="str">
        <f>INDEX(Raw_Customers!$B$2:$B$101,MATCH($B253,Raw_Customers!$A$2:$A$101,0))</f>
        <v>Hazel Mangat</v>
      </c>
      <c r="D253" s="7" t="str">
        <f>TRIM(INDEX(Raw_Customers!$C$2:$C$101,MATCH($B253,Raw_Customers!$A$2:$A$101,0)))</f>
        <v>Pallavaram</v>
      </c>
      <c r="E253" s="7" t="str">
        <f>"+91-"&amp;RIGHT("0000000000"&amp;INDEX(Raw_Customers!$D$2:$D$101,MATCH($B253,Raw_Customers!$A$2:$A$101,0)),10)</f>
        <v>+91-8810621361</v>
      </c>
      <c r="F253" s="7" t="str">
        <f>Raw_Orders!C253</f>
        <v>69</v>
      </c>
      <c r="G253" s="7" t="str">
        <f>INDEX(Raw_Products!$B$2:$B$71,MATCH($F253,Raw_Products!$A$2:$A$71,0))</f>
        <v>Id Box</v>
      </c>
      <c r="H253" s="7" t="str">
        <f>INDEX(Raw_Products!$C$2:$C$71,MATCH($F253,Raw_Products!$A$2:$A$71,0))</f>
        <v>Cake</v>
      </c>
      <c r="I253" s="7">
        <f>VALUE(Raw_Orders!D253)</f>
        <v>2</v>
      </c>
      <c r="J253" s="11" t="str">
        <f>INDEX(Raw_Products!$D$2:$D$71,MATCH($F253,Raw_Products!$A$2:$A$71,0))</f>
        <v>998</v>
      </c>
      <c r="K253" s="11">
        <f t="shared" si="6"/>
        <v>1996</v>
      </c>
      <c r="L253" s="12">
        <f>DATE(VALUE(RIGHT(Raw_Orders!E253,4)),VALUE(MID(Raw_Orders!E253,4,2)),VALUE(LEFT(Raw_Orders!E253,2)))</f>
        <v>44983</v>
      </c>
      <c r="M253" s="12">
        <f>DATE(VALUE(RIGHT(Raw_Orders!G253,4)),VALUE(MID(Raw_Orders!G253,4,2)),VALUE(LEFT(Raw_Orders!G253,2)))</f>
        <v>44985</v>
      </c>
      <c r="N253" s="7">
        <f t="shared" si="7"/>
        <v>2</v>
      </c>
      <c r="O253" s="7" t="str">
        <f>Raw_Orders!J253</f>
        <v>Holi</v>
      </c>
      <c r="P253" s="7" t="str">
        <f>Raw_Orders!I253</f>
        <v>Nandyal</v>
      </c>
    </row>
    <row r="254" spans="1:16">
      <c r="A254" s="7" t="str">
        <f>Raw_Orders!A254</f>
        <v>253</v>
      </c>
      <c r="B254" s="7" t="str">
        <f>Raw_Orders!B254</f>
        <v>C010</v>
      </c>
      <c r="C254" s="7" t="str">
        <f>INDEX(Raw_Customers!$B$2:$B$101,MATCH($B254,Raw_Customers!$A$2:$A$101,0))</f>
        <v>Darshit Dave</v>
      </c>
      <c r="D254" s="7" t="str">
        <f>TRIM(INDEX(Raw_Customers!$C$2:$C$101,MATCH($B254,Raw_Customers!$A$2:$A$101,0)))</f>
        <v>Kanpur</v>
      </c>
      <c r="E254" s="7" t="str">
        <f>"+91-"&amp;RIGHT("0000000000"&amp;INDEX(Raw_Customers!$D$2:$D$101,MATCH($B254,Raw_Customers!$A$2:$A$101,0)),10)</f>
        <v>+91-1608833065</v>
      </c>
      <c r="F254" s="7" t="str">
        <f>Raw_Orders!C254</f>
        <v>68</v>
      </c>
      <c r="G254" s="7" t="str">
        <f>INDEX(Raw_Products!$B$2:$B$71,MATCH($F254,Raw_Products!$A$2:$A$71,0))</f>
        <v>Quas Gift</v>
      </c>
      <c r="H254" s="7" t="str">
        <f>INDEX(Raw_Products!$C$2:$C$71,MATCH($F254,Raw_Products!$A$2:$A$71,0))</f>
        <v>Soft Toys</v>
      </c>
      <c r="I254" s="7">
        <f>VALUE(Raw_Orders!D254)</f>
        <v>2</v>
      </c>
      <c r="J254" s="11" t="str">
        <f>INDEX(Raw_Products!$D$2:$D$71,MATCH($F254,Raw_Products!$A$2:$A$71,0))</f>
        <v>597</v>
      </c>
      <c r="K254" s="11">
        <f t="shared" si="6"/>
        <v>1194</v>
      </c>
      <c r="L254" s="12">
        <f>DATE(VALUE(RIGHT(Raw_Orders!E254,4)),VALUE(MID(Raw_Orders!E254,4,2)),VALUE(LEFT(Raw_Orders!E254,2)))</f>
        <v>44969</v>
      </c>
      <c r="M254" s="12">
        <f>DATE(VALUE(RIGHT(Raw_Orders!G254,4)),VALUE(MID(Raw_Orders!G254,4,2)),VALUE(LEFT(Raw_Orders!G254,2)))</f>
        <v>44971</v>
      </c>
      <c r="N254" s="7">
        <f t="shared" si="7"/>
        <v>2</v>
      </c>
      <c r="O254" s="7" t="str">
        <f>Raw_Orders!J254</f>
        <v>Valentine's Day</v>
      </c>
      <c r="P254" s="7" t="str">
        <f>Raw_Orders!I254</f>
        <v>Bangalore</v>
      </c>
    </row>
    <row r="255" spans="1:16">
      <c r="A255" s="7" t="str">
        <f>Raw_Orders!A255</f>
        <v>254</v>
      </c>
      <c r="B255" s="7" t="str">
        <f>Raw_Orders!B255</f>
        <v>C093</v>
      </c>
      <c r="C255" s="7" t="str">
        <f>INDEX(Raw_Customers!$B$2:$B$101,MATCH($B255,Raw_Customers!$A$2:$A$101,0))</f>
        <v>Mamooty Bawa</v>
      </c>
      <c r="D255" s="7" t="str">
        <f>TRIM(INDEX(Raw_Customers!$C$2:$C$101,MATCH($B255,Raw_Customers!$A$2:$A$101,0)))</f>
        <v>Tumkur</v>
      </c>
      <c r="E255" s="7" t="str">
        <f>"+91-"&amp;RIGHT("0000000000"&amp;INDEX(Raw_Customers!$D$2:$D$101,MATCH($B255,Raw_Customers!$A$2:$A$101,0)),10)</f>
        <v>+91-2783169130</v>
      </c>
      <c r="F255" s="7" t="str">
        <f>Raw_Orders!C255</f>
        <v>1</v>
      </c>
      <c r="G255" s="7" t="str">
        <f>INDEX(Raw_Products!$B$2:$B$71,MATCH($F255,Raw_Products!$A$2:$A$71,0))</f>
        <v>Magnam Set</v>
      </c>
      <c r="H255" s="7" t="str">
        <f>INDEX(Raw_Products!$C$2:$C$71,MATCH($F255,Raw_Products!$A$2:$A$71,0))</f>
        <v>Soft Toys</v>
      </c>
      <c r="I255" s="7">
        <f>VALUE(Raw_Orders!D255)</f>
        <v>5</v>
      </c>
      <c r="J255" s="11" t="str">
        <f>INDEX(Raw_Products!$D$2:$D$71,MATCH($F255,Raw_Products!$A$2:$A$71,0))</f>
        <v>1935</v>
      </c>
      <c r="K255" s="11">
        <f t="shared" si="6"/>
        <v>9675</v>
      </c>
      <c r="L255" s="12">
        <f>DATE(VALUE(RIGHT(Raw_Orders!E255,4)),VALUE(MID(Raw_Orders!E255,4,2)),VALUE(LEFT(Raw_Orders!E255,2)))</f>
        <v>45114</v>
      </c>
      <c r="M255" s="12">
        <f>DATE(VALUE(RIGHT(Raw_Orders!G255,4)),VALUE(MID(Raw_Orders!G255,4,2)),VALUE(LEFT(Raw_Orders!G255,2)))</f>
        <v>45122</v>
      </c>
      <c r="N255" s="7">
        <f t="shared" si="7"/>
        <v>8</v>
      </c>
      <c r="O255" s="7" t="str">
        <f>Raw_Orders!J255</f>
        <v>All Occasions</v>
      </c>
      <c r="P255" s="7" t="str">
        <f>Raw_Orders!I255</f>
        <v>Bhilai</v>
      </c>
    </row>
    <row r="256" spans="1:16">
      <c r="A256" s="7" t="str">
        <f>Raw_Orders!A256</f>
        <v>255</v>
      </c>
      <c r="B256" s="7" t="str">
        <f>Raw_Orders!B256</f>
        <v>C092</v>
      </c>
      <c r="C256" s="7" t="str">
        <f>INDEX(Raw_Customers!$B$2:$B$101,MATCH($B256,Raw_Customers!$A$2:$A$101,0))</f>
        <v>Zoya Mani</v>
      </c>
      <c r="D256" s="7" t="str">
        <f>TRIM(INDEX(Raw_Customers!$C$2:$C$101,MATCH($B256,Raw_Customers!$A$2:$A$101,0)))</f>
        <v>Dibrugarh</v>
      </c>
      <c r="E256" s="7" t="str">
        <f>"+91-"&amp;RIGHT("0000000000"&amp;INDEX(Raw_Customers!$D$2:$D$101,MATCH($B256,Raw_Customers!$A$2:$A$101,0)),10)</f>
        <v>+91-8918356963</v>
      </c>
      <c r="F256" s="7" t="str">
        <f>Raw_Orders!C256</f>
        <v>45</v>
      </c>
      <c r="G256" s="7" t="str">
        <f>INDEX(Raw_Products!$B$2:$B$71,MATCH($F256,Raw_Products!$A$2:$A$71,0))</f>
        <v>Iusto Set</v>
      </c>
      <c r="H256" s="7" t="str">
        <f>INDEX(Raw_Products!$C$2:$C$71,MATCH($F256,Raw_Products!$A$2:$A$71,0))</f>
        <v>Raksha Bandhan</v>
      </c>
      <c r="I256" s="7">
        <f>VALUE(Raw_Orders!D256)</f>
        <v>2</v>
      </c>
      <c r="J256" s="11" t="str">
        <f>INDEX(Raw_Products!$D$2:$D$71,MATCH($F256,Raw_Products!$A$2:$A$71,0))</f>
        <v>722</v>
      </c>
      <c r="K256" s="11">
        <f t="shared" si="6"/>
        <v>1444</v>
      </c>
      <c r="L256" s="12">
        <f>DATE(VALUE(RIGHT(Raw_Orders!E256,4)),VALUE(MID(Raw_Orders!E256,4,2)),VALUE(LEFT(Raw_Orders!E256,2)))</f>
        <v>45287</v>
      </c>
      <c r="M256" s="12">
        <f>DATE(VALUE(RIGHT(Raw_Orders!G256,4)),VALUE(MID(Raw_Orders!G256,4,2)),VALUE(LEFT(Raw_Orders!G256,2)))</f>
        <v>45297</v>
      </c>
      <c r="N256" s="7">
        <f t="shared" si="7"/>
        <v>10</v>
      </c>
      <c r="O256" s="7" t="str">
        <f>Raw_Orders!J256</f>
        <v>Birthday</v>
      </c>
      <c r="P256" s="7" t="str">
        <f>Raw_Orders!I256</f>
        <v>Suryapet</v>
      </c>
    </row>
    <row r="257" spans="1:16">
      <c r="A257" s="7" t="str">
        <f>Raw_Orders!A257</f>
        <v>256</v>
      </c>
      <c r="B257" s="7" t="str">
        <f>Raw_Orders!B257</f>
        <v>C065</v>
      </c>
      <c r="C257" s="7" t="str">
        <f>INDEX(Raw_Customers!$B$2:$B$101,MATCH($B257,Raw_Customers!$A$2:$A$101,0))</f>
        <v>Badal Vora</v>
      </c>
      <c r="D257" s="7" t="str">
        <f>TRIM(INDEX(Raw_Customers!$C$2:$C$101,MATCH($B257,Raw_Customers!$A$2:$A$101,0)))</f>
        <v>North Dumdum</v>
      </c>
      <c r="E257" s="7" t="str">
        <f>"+91-"&amp;RIGHT("0000000000"&amp;INDEX(Raw_Customers!$D$2:$D$101,MATCH($B257,Raw_Customers!$A$2:$A$101,0)),10)</f>
        <v>+91-9753056313</v>
      </c>
      <c r="F257" s="7" t="str">
        <f>Raw_Orders!C257</f>
        <v>4</v>
      </c>
      <c r="G257" s="7" t="str">
        <f>INDEX(Raw_Products!$B$2:$B$71,MATCH($F257,Raw_Products!$A$2:$A$71,0))</f>
        <v>Accusantium Set</v>
      </c>
      <c r="H257" s="7" t="str">
        <f>INDEX(Raw_Products!$C$2:$C$71,MATCH($F257,Raw_Products!$A$2:$A$71,0))</f>
        <v>Sweets</v>
      </c>
      <c r="I257" s="7">
        <f>VALUE(Raw_Orders!D257)</f>
        <v>5</v>
      </c>
      <c r="J257" s="11" t="str">
        <f>INDEX(Raw_Products!$D$2:$D$71,MATCH($F257,Raw_Products!$A$2:$A$71,0))</f>
        <v>1199</v>
      </c>
      <c r="K257" s="11">
        <f t="shared" si="6"/>
        <v>5995</v>
      </c>
      <c r="L257" s="12">
        <f>DATE(VALUE(RIGHT(Raw_Orders!E257,4)),VALUE(MID(Raw_Orders!E257,4,2)),VALUE(LEFT(Raw_Orders!E257,2)))</f>
        <v>45236</v>
      </c>
      <c r="M257" s="12">
        <f>DATE(VALUE(RIGHT(Raw_Orders!G257,4)),VALUE(MID(Raw_Orders!G257,4,2)),VALUE(LEFT(Raw_Orders!G257,2)))</f>
        <v>45244</v>
      </c>
      <c r="N257" s="7">
        <f t="shared" si="7"/>
        <v>8</v>
      </c>
      <c r="O257" s="7" t="str">
        <f>Raw_Orders!J257</f>
        <v>Diwali</v>
      </c>
      <c r="P257" s="7" t="str">
        <f>Raw_Orders!I257</f>
        <v>Suryapet</v>
      </c>
    </row>
    <row r="258" spans="1:16">
      <c r="A258" s="7" t="str">
        <f>Raw_Orders!A258</f>
        <v>257</v>
      </c>
      <c r="B258" s="7" t="str">
        <f>Raw_Orders!B258</f>
        <v>C077</v>
      </c>
      <c r="C258" s="7" t="str">
        <f>INDEX(Raw_Customers!$B$2:$B$101,MATCH($B258,Raw_Customers!$A$2:$A$101,0))</f>
        <v>Gokul Ahluwalia</v>
      </c>
      <c r="D258" s="7" t="str">
        <f>TRIM(INDEX(Raw_Customers!$C$2:$C$101,MATCH($B258,Raw_Customers!$A$2:$A$101,0)))</f>
        <v>Panchkula</v>
      </c>
      <c r="E258" s="7" t="str">
        <f>"+91-"&amp;RIGHT("0000000000"&amp;INDEX(Raw_Customers!$D$2:$D$101,MATCH($B258,Raw_Customers!$A$2:$A$101,0)),10)</f>
        <v>+91-0413737551</v>
      </c>
      <c r="F258" s="7" t="str">
        <f>Raw_Orders!C258</f>
        <v>21</v>
      </c>
      <c r="G258" s="7" t="str">
        <f>INDEX(Raw_Products!$B$2:$B$71,MATCH($F258,Raw_Products!$A$2:$A$71,0))</f>
        <v>Quia Gift</v>
      </c>
      <c r="H258" s="7" t="str">
        <f>INDEX(Raw_Products!$C$2:$C$71,MATCH($F258,Raw_Products!$A$2:$A$71,0))</f>
        <v>Colors</v>
      </c>
      <c r="I258" s="7">
        <f>VALUE(Raw_Orders!D258)</f>
        <v>3</v>
      </c>
      <c r="J258" s="11" t="str">
        <f>INDEX(Raw_Products!$D$2:$D$71,MATCH($F258,Raw_Products!$A$2:$A$71,0))</f>
        <v>1561</v>
      </c>
      <c r="K258" s="11">
        <f t="shared" ref="K258:K321" si="8">I258*J258</f>
        <v>4683</v>
      </c>
      <c r="L258" s="12">
        <f>DATE(VALUE(RIGHT(Raw_Orders!E258,4)),VALUE(MID(Raw_Orders!E258,4,2)),VALUE(LEFT(Raw_Orders!E258,2)))</f>
        <v>45160</v>
      </c>
      <c r="M258" s="12">
        <f>DATE(VALUE(RIGHT(Raw_Orders!G258,4)),VALUE(MID(Raw_Orders!G258,4,2)),VALUE(LEFT(Raw_Orders!G258,2)))</f>
        <v>45162</v>
      </c>
      <c r="N258" s="7">
        <f t="shared" ref="N258:N321" si="9">M258-L258</f>
        <v>2</v>
      </c>
      <c r="O258" s="7" t="str">
        <f>Raw_Orders!J258</f>
        <v>Raksha Bandhan</v>
      </c>
      <c r="P258" s="7" t="str">
        <f>Raw_Orders!I258</f>
        <v>Chinsurah</v>
      </c>
    </row>
    <row r="259" spans="1:16">
      <c r="A259" s="7" t="str">
        <f>Raw_Orders!A259</f>
        <v>258</v>
      </c>
      <c r="B259" s="7" t="str">
        <f>Raw_Orders!B259</f>
        <v>C044</v>
      </c>
      <c r="C259" s="7" t="str">
        <f>INDEX(Raw_Customers!$B$2:$B$101,MATCH($B259,Raw_Customers!$A$2:$A$101,0))</f>
        <v>Seher Mann</v>
      </c>
      <c r="D259" s="7" t="str">
        <f>TRIM(INDEX(Raw_Customers!$C$2:$C$101,MATCH($B259,Raw_Customers!$A$2:$A$101,0)))</f>
        <v>Agra</v>
      </c>
      <c r="E259" s="7" t="str">
        <f>"+91-"&amp;RIGHT("0000000000"&amp;INDEX(Raw_Customers!$D$2:$D$101,MATCH($B259,Raw_Customers!$A$2:$A$101,0)),10)</f>
        <v>+91-9843970658</v>
      </c>
      <c r="F259" s="7" t="str">
        <f>Raw_Orders!C259</f>
        <v>46</v>
      </c>
      <c r="G259" s="7" t="str">
        <f>INDEX(Raw_Products!$B$2:$B$71,MATCH($F259,Raw_Products!$A$2:$A$71,0))</f>
        <v>Pariatur Set</v>
      </c>
      <c r="H259" s="7" t="str">
        <f>INDEX(Raw_Products!$C$2:$C$71,MATCH($F259,Raw_Products!$A$2:$A$71,0))</f>
        <v>Cake</v>
      </c>
      <c r="I259" s="7">
        <f>VALUE(Raw_Orders!D259)</f>
        <v>5</v>
      </c>
      <c r="J259" s="11" t="str">
        <f>INDEX(Raw_Products!$D$2:$D$71,MATCH($F259,Raw_Products!$A$2:$A$71,0))</f>
        <v>758</v>
      </c>
      <c r="K259" s="11">
        <f t="shared" si="8"/>
        <v>3790</v>
      </c>
      <c r="L259" s="12">
        <f>DATE(VALUE(RIGHT(Raw_Orders!E259,4)),VALUE(MID(Raw_Orders!E259,4,2)),VALUE(LEFT(Raw_Orders!E259,2)))</f>
        <v>45032</v>
      </c>
      <c r="M259" s="12">
        <f>DATE(VALUE(RIGHT(Raw_Orders!G259,4)),VALUE(MID(Raw_Orders!G259,4,2)),VALUE(LEFT(Raw_Orders!G259,2)))</f>
        <v>45036</v>
      </c>
      <c r="N259" s="7">
        <f t="shared" si="9"/>
        <v>4</v>
      </c>
      <c r="O259" s="7" t="str">
        <f>Raw_Orders!J259</f>
        <v>Anniversary</v>
      </c>
      <c r="P259" s="7" t="str">
        <f>Raw_Orders!I259</f>
        <v>Vijayawada</v>
      </c>
    </row>
    <row r="260" spans="1:16">
      <c r="A260" s="7" t="str">
        <f>Raw_Orders!A260</f>
        <v>259</v>
      </c>
      <c r="B260" s="7" t="str">
        <f>Raw_Orders!B260</f>
        <v>C001</v>
      </c>
      <c r="C260" s="7" t="str">
        <f>INDEX(Raw_Customers!$B$2:$B$101,MATCH($B260,Raw_Customers!$A$2:$A$101,0))</f>
        <v>Tara Krishnan</v>
      </c>
      <c r="D260" s="7" t="str">
        <f>TRIM(INDEX(Raw_Customers!$C$2:$C$101,MATCH($B260,Raw_Customers!$A$2:$A$101,0)))</f>
        <v>Panchkula</v>
      </c>
      <c r="E260" s="7" t="str">
        <f>"+91-"&amp;RIGHT("0000000000"&amp;INDEX(Raw_Customers!$D$2:$D$101,MATCH($B260,Raw_Customers!$A$2:$A$101,0)),10)</f>
        <v>+91-7193971454</v>
      </c>
      <c r="F260" s="7" t="str">
        <f>Raw_Orders!C260</f>
        <v>62</v>
      </c>
      <c r="G260" s="7" t="str">
        <f>INDEX(Raw_Products!$B$2:$B$71,MATCH($F260,Raw_Products!$A$2:$A$71,0))</f>
        <v>Sed Set</v>
      </c>
      <c r="H260" s="7" t="str">
        <f>INDEX(Raw_Products!$C$2:$C$71,MATCH($F260,Raw_Products!$A$2:$A$71,0))</f>
        <v>Colors</v>
      </c>
      <c r="I260" s="7">
        <f>VALUE(Raw_Orders!D260)</f>
        <v>1</v>
      </c>
      <c r="J260" s="11" t="str">
        <f>INDEX(Raw_Products!$D$2:$D$71,MATCH($F260,Raw_Products!$A$2:$A$71,0))</f>
        <v>1356</v>
      </c>
      <c r="K260" s="11">
        <f t="shared" si="8"/>
        <v>1356</v>
      </c>
      <c r="L260" s="12">
        <f>DATE(VALUE(RIGHT(Raw_Orders!E260,4)),VALUE(MID(Raw_Orders!E260,4,2)),VALUE(LEFT(Raw_Orders!E260,2)))</f>
        <v>44990</v>
      </c>
      <c r="M260" s="12">
        <f>DATE(VALUE(RIGHT(Raw_Orders!G260,4)),VALUE(MID(Raw_Orders!G260,4,2)),VALUE(LEFT(Raw_Orders!G260,2)))</f>
        <v>44995</v>
      </c>
      <c r="N260" s="7">
        <f t="shared" si="9"/>
        <v>5</v>
      </c>
      <c r="O260" s="7" t="str">
        <f>Raw_Orders!J260</f>
        <v>Holi</v>
      </c>
      <c r="P260" s="7" t="str">
        <f>Raw_Orders!I260</f>
        <v>Sirsa</v>
      </c>
    </row>
    <row r="261" spans="1:16">
      <c r="A261" s="7" t="str">
        <f>Raw_Orders!A261</f>
        <v>260</v>
      </c>
      <c r="B261" s="7" t="str">
        <f>Raw_Orders!B261</f>
        <v>C100</v>
      </c>
      <c r="C261" s="7" t="str">
        <f>INDEX(Raw_Customers!$B$2:$B$101,MATCH($B261,Raw_Customers!$A$2:$A$101,0))</f>
        <v>Pranay Chaudhary</v>
      </c>
      <c r="D261" s="7" t="str">
        <f>TRIM(INDEX(Raw_Customers!$C$2:$C$101,MATCH($B261,Raw_Customers!$A$2:$A$101,0)))</f>
        <v>Phagwara</v>
      </c>
      <c r="E261" s="7" t="str">
        <f>"+91-"&amp;RIGHT("0000000000"&amp;INDEX(Raw_Customers!$D$2:$D$101,MATCH($B261,Raw_Customers!$A$2:$A$101,0)),10)</f>
        <v>+91-9478540370</v>
      </c>
      <c r="F261" s="7" t="str">
        <f>Raw_Orders!C261</f>
        <v>69</v>
      </c>
      <c r="G261" s="7" t="str">
        <f>INDEX(Raw_Products!$B$2:$B$71,MATCH($F261,Raw_Products!$A$2:$A$71,0))</f>
        <v>Id Box</v>
      </c>
      <c r="H261" s="7" t="str">
        <f>INDEX(Raw_Products!$C$2:$C$71,MATCH($F261,Raw_Products!$A$2:$A$71,0))</f>
        <v>Cake</v>
      </c>
      <c r="I261" s="7">
        <f>VALUE(Raw_Orders!D261)</f>
        <v>5</v>
      </c>
      <c r="J261" s="11" t="str">
        <f>INDEX(Raw_Products!$D$2:$D$71,MATCH($F261,Raw_Products!$A$2:$A$71,0))</f>
        <v>998</v>
      </c>
      <c r="K261" s="11">
        <f t="shared" si="8"/>
        <v>4990</v>
      </c>
      <c r="L261" s="12">
        <f>DATE(VALUE(RIGHT(Raw_Orders!E261,4)),VALUE(MID(Raw_Orders!E261,4,2)),VALUE(LEFT(Raw_Orders!E261,2)))</f>
        <v>44991</v>
      </c>
      <c r="M261" s="12">
        <f>DATE(VALUE(RIGHT(Raw_Orders!G261,4)),VALUE(MID(Raw_Orders!G261,4,2)),VALUE(LEFT(Raw_Orders!G261,2)))</f>
        <v>45001</v>
      </c>
      <c r="N261" s="7">
        <f t="shared" si="9"/>
        <v>10</v>
      </c>
      <c r="O261" s="7" t="str">
        <f>Raw_Orders!J261</f>
        <v>Holi</v>
      </c>
      <c r="P261" s="7" t="str">
        <f>Raw_Orders!I261</f>
        <v>Satara</v>
      </c>
    </row>
    <row r="262" spans="1:16">
      <c r="A262" s="7" t="str">
        <f>Raw_Orders!A262</f>
        <v>261</v>
      </c>
      <c r="B262" s="7" t="str">
        <f>Raw_Orders!B262</f>
        <v>C041</v>
      </c>
      <c r="C262" s="7" t="str">
        <f>INDEX(Raw_Customers!$B$2:$B$101,MATCH($B262,Raw_Customers!$A$2:$A$101,0))</f>
        <v>Rati Dhingra</v>
      </c>
      <c r="D262" s="7" t="str">
        <f>TRIM(INDEX(Raw_Customers!$C$2:$C$101,MATCH($B262,Raw_Customers!$A$2:$A$101,0)))</f>
        <v>Karaikudi</v>
      </c>
      <c r="E262" s="7" t="str">
        <f>"+91-"&amp;RIGHT("0000000000"&amp;INDEX(Raw_Customers!$D$2:$D$101,MATCH($B262,Raw_Customers!$A$2:$A$101,0)),10)</f>
        <v>+91-0625408216</v>
      </c>
      <c r="F262" s="7" t="str">
        <f>Raw_Orders!C262</f>
        <v>37</v>
      </c>
      <c r="G262" s="7" t="str">
        <f>INDEX(Raw_Products!$B$2:$B$71,MATCH($F262,Raw_Products!$A$2:$A$71,0))</f>
        <v>Officiis Pack</v>
      </c>
      <c r="H262" s="7" t="str">
        <f>INDEX(Raw_Products!$C$2:$C$71,MATCH($F262,Raw_Products!$A$2:$A$71,0))</f>
        <v>Colors</v>
      </c>
      <c r="I262" s="7">
        <f>VALUE(Raw_Orders!D262)</f>
        <v>3</v>
      </c>
      <c r="J262" s="11" t="str">
        <f>INDEX(Raw_Products!$D$2:$D$71,MATCH($F262,Raw_Products!$A$2:$A$71,0))</f>
        <v>1428</v>
      </c>
      <c r="K262" s="11">
        <f t="shared" si="8"/>
        <v>4284</v>
      </c>
      <c r="L262" s="12">
        <f>DATE(VALUE(RIGHT(Raw_Orders!E262,4)),VALUE(MID(Raw_Orders!E262,4,2)),VALUE(LEFT(Raw_Orders!E262,2)))</f>
        <v>45236</v>
      </c>
      <c r="M262" s="12">
        <f>DATE(VALUE(RIGHT(Raw_Orders!G262,4)),VALUE(MID(Raw_Orders!G262,4,2)),VALUE(LEFT(Raw_Orders!G262,2)))</f>
        <v>45242</v>
      </c>
      <c r="N262" s="7">
        <f t="shared" si="9"/>
        <v>6</v>
      </c>
      <c r="O262" s="7" t="str">
        <f>Raw_Orders!J262</f>
        <v>Diwali</v>
      </c>
      <c r="P262" s="7" t="str">
        <f>Raw_Orders!I262</f>
        <v>Malegaon</v>
      </c>
    </row>
    <row r="263" spans="1:16">
      <c r="A263" s="7" t="str">
        <f>Raw_Orders!A263</f>
        <v>262</v>
      </c>
      <c r="B263" s="7" t="str">
        <f>Raw_Orders!B263</f>
        <v>C038</v>
      </c>
      <c r="C263" s="7" t="str">
        <f>INDEX(Raw_Customers!$B$2:$B$101,MATCH($B263,Raw_Customers!$A$2:$A$101,0))</f>
        <v>Yakshit Shah</v>
      </c>
      <c r="D263" s="7" t="str">
        <f>TRIM(INDEX(Raw_Customers!$C$2:$C$101,MATCH($B263,Raw_Customers!$A$2:$A$101,0)))</f>
        <v>Aizawl</v>
      </c>
      <c r="E263" s="7" t="str">
        <f>"+91-"&amp;RIGHT("0000000000"&amp;INDEX(Raw_Customers!$D$2:$D$101,MATCH($B263,Raw_Customers!$A$2:$A$101,0)),10)</f>
        <v>+91-2847411902</v>
      </c>
      <c r="F263" s="7" t="str">
        <f>Raw_Orders!C263</f>
        <v>49</v>
      </c>
      <c r="G263" s="7" t="str">
        <f>INDEX(Raw_Products!$B$2:$B$71,MATCH($F263,Raw_Products!$A$2:$A$71,0))</f>
        <v>Voluptate Pack</v>
      </c>
      <c r="H263" s="7" t="str">
        <f>INDEX(Raw_Products!$C$2:$C$71,MATCH($F263,Raw_Products!$A$2:$A$71,0))</f>
        <v>Colors</v>
      </c>
      <c r="I263" s="7">
        <f>VALUE(Raw_Orders!D263)</f>
        <v>3</v>
      </c>
      <c r="J263" s="11" t="str">
        <f>INDEX(Raw_Products!$D$2:$D$71,MATCH($F263,Raw_Products!$A$2:$A$71,0))</f>
        <v>903</v>
      </c>
      <c r="K263" s="11">
        <f t="shared" si="8"/>
        <v>2709</v>
      </c>
      <c r="L263" s="12">
        <f>DATE(VALUE(RIGHT(Raw_Orders!E263,4)),VALUE(MID(Raw_Orders!E263,4,2)),VALUE(LEFT(Raw_Orders!E263,2)))</f>
        <v>44964</v>
      </c>
      <c r="M263" s="12">
        <f>DATE(VALUE(RIGHT(Raw_Orders!G263,4)),VALUE(MID(Raw_Orders!G263,4,2)),VALUE(LEFT(Raw_Orders!G263,2)))</f>
        <v>44968</v>
      </c>
      <c r="N263" s="7">
        <f t="shared" si="9"/>
        <v>4</v>
      </c>
      <c r="O263" s="7" t="str">
        <f>Raw_Orders!J263</f>
        <v>Valentine's Day</v>
      </c>
      <c r="P263" s="7" t="str">
        <f>Raw_Orders!I263</f>
        <v>Tirunelveli</v>
      </c>
    </row>
    <row r="264" spans="1:16">
      <c r="A264" s="7" t="str">
        <f>Raw_Orders!A264</f>
        <v>263</v>
      </c>
      <c r="B264" s="7" t="str">
        <f>Raw_Orders!B264</f>
        <v>C081</v>
      </c>
      <c r="C264" s="7" t="str">
        <f>INDEX(Raw_Customers!$B$2:$B$101,MATCH($B264,Raw_Customers!$A$2:$A$101,0))</f>
        <v>Kaira Ramachandran</v>
      </c>
      <c r="D264" s="7" t="str">
        <f>TRIM(INDEX(Raw_Customers!$C$2:$C$101,MATCH($B264,Raw_Customers!$A$2:$A$101,0)))</f>
        <v>Ratlam</v>
      </c>
      <c r="E264" s="7" t="str">
        <f>"+91-"&amp;RIGHT("0000000000"&amp;INDEX(Raw_Customers!$D$2:$D$101,MATCH($B264,Raw_Customers!$A$2:$A$101,0)),10)</f>
        <v>+91-4987395025</v>
      </c>
      <c r="F264" s="7" t="str">
        <f>Raw_Orders!C264</f>
        <v>57</v>
      </c>
      <c r="G264" s="7" t="str">
        <f>INDEX(Raw_Products!$B$2:$B$71,MATCH($F264,Raw_Products!$A$2:$A$71,0))</f>
        <v>Voluptatem Box</v>
      </c>
      <c r="H264" s="7" t="str">
        <f>INDEX(Raw_Products!$C$2:$C$71,MATCH($F264,Raw_Products!$A$2:$A$71,0))</f>
        <v>Colors</v>
      </c>
      <c r="I264" s="7">
        <f>VALUE(Raw_Orders!D264)</f>
        <v>4</v>
      </c>
      <c r="J264" s="11" t="str">
        <f>INDEX(Raw_Products!$D$2:$D$71,MATCH($F264,Raw_Products!$A$2:$A$71,0))</f>
        <v>1582</v>
      </c>
      <c r="K264" s="11">
        <f t="shared" si="8"/>
        <v>6328</v>
      </c>
      <c r="L264" s="12">
        <f>DATE(VALUE(RIGHT(Raw_Orders!E264,4)),VALUE(MID(Raw_Orders!E264,4,2)),VALUE(LEFT(Raw_Orders!E264,2)))</f>
        <v>44997</v>
      </c>
      <c r="M264" s="12">
        <f>DATE(VALUE(RIGHT(Raw_Orders!G264,4)),VALUE(MID(Raw_Orders!G264,4,2)),VALUE(LEFT(Raw_Orders!G264,2)))</f>
        <v>44998</v>
      </c>
      <c r="N264" s="7">
        <f t="shared" si="9"/>
        <v>1</v>
      </c>
      <c r="O264" s="7" t="str">
        <f>Raw_Orders!J264</f>
        <v>Birthday</v>
      </c>
      <c r="P264" s="7" t="str">
        <f>Raw_Orders!I264</f>
        <v>Chittoor</v>
      </c>
    </row>
    <row r="265" spans="1:16">
      <c r="A265" s="7" t="str">
        <f>Raw_Orders!A265</f>
        <v>264</v>
      </c>
      <c r="B265" s="7" t="str">
        <f>Raw_Orders!B265</f>
        <v>C010</v>
      </c>
      <c r="C265" s="7" t="str">
        <f>INDEX(Raw_Customers!$B$2:$B$101,MATCH($B265,Raw_Customers!$A$2:$A$101,0))</f>
        <v>Darshit Dave</v>
      </c>
      <c r="D265" s="7" t="str">
        <f>TRIM(INDEX(Raw_Customers!$C$2:$C$101,MATCH($B265,Raw_Customers!$A$2:$A$101,0)))</f>
        <v>Kanpur</v>
      </c>
      <c r="E265" s="7" t="str">
        <f>"+91-"&amp;RIGHT("0000000000"&amp;INDEX(Raw_Customers!$D$2:$D$101,MATCH($B265,Raw_Customers!$A$2:$A$101,0)),10)</f>
        <v>+91-1608833065</v>
      </c>
      <c r="F265" s="7" t="str">
        <f>Raw_Orders!C265</f>
        <v>52</v>
      </c>
      <c r="G265" s="7" t="str">
        <f>INDEX(Raw_Products!$B$2:$B$71,MATCH($F265,Raw_Products!$A$2:$A$71,0))</f>
        <v>Dolorum Box</v>
      </c>
      <c r="H265" s="7" t="str">
        <f>INDEX(Raw_Products!$C$2:$C$71,MATCH($F265,Raw_Products!$A$2:$A$71,0))</f>
        <v>Raksha Bandhan</v>
      </c>
      <c r="I265" s="7">
        <f>VALUE(Raw_Orders!D265)</f>
        <v>3</v>
      </c>
      <c r="J265" s="11" t="str">
        <f>INDEX(Raw_Products!$D$2:$D$71,MATCH($F265,Raw_Products!$A$2:$A$71,0))</f>
        <v>236</v>
      </c>
      <c r="K265" s="11">
        <f t="shared" si="8"/>
        <v>708</v>
      </c>
      <c r="L265" s="12">
        <f>DATE(VALUE(RIGHT(Raw_Orders!E265,4)),VALUE(MID(Raw_Orders!E265,4,2)),VALUE(LEFT(Raw_Orders!E265,2)))</f>
        <v>44966</v>
      </c>
      <c r="M265" s="12">
        <f>DATE(VALUE(RIGHT(Raw_Orders!G265,4)),VALUE(MID(Raw_Orders!G265,4,2)),VALUE(LEFT(Raw_Orders!G265,2)))</f>
        <v>44975</v>
      </c>
      <c r="N265" s="7">
        <f t="shared" si="9"/>
        <v>9</v>
      </c>
      <c r="O265" s="7" t="str">
        <f>Raw_Orders!J265</f>
        <v>Valentine's Day</v>
      </c>
      <c r="P265" s="7" t="str">
        <f>Raw_Orders!I265</f>
        <v>Asansol</v>
      </c>
    </row>
    <row r="266" spans="1:16">
      <c r="A266" s="7" t="str">
        <f>Raw_Orders!A266</f>
        <v>265</v>
      </c>
      <c r="B266" s="7" t="str">
        <f>Raw_Orders!B266</f>
        <v>C060</v>
      </c>
      <c r="C266" s="7" t="str">
        <f>INDEX(Raw_Customers!$B$2:$B$101,MATCH($B266,Raw_Customers!$A$2:$A$101,0))</f>
        <v>Riya Wagle</v>
      </c>
      <c r="D266" s="7" t="str">
        <f>TRIM(INDEX(Raw_Customers!$C$2:$C$101,MATCH($B266,Raw_Customers!$A$2:$A$101,0)))</f>
        <v>Satara</v>
      </c>
      <c r="E266" s="7" t="str">
        <f>"+91-"&amp;RIGHT("0000000000"&amp;INDEX(Raw_Customers!$D$2:$D$101,MATCH($B266,Raw_Customers!$A$2:$A$101,0)),10)</f>
        <v>+91-0214103009</v>
      </c>
      <c r="F266" s="7" t="str">
        <f>Raw_Orders!C266</f>
        <v>58</v>
      </c>
      <c r="G266" s="7" t="str">
        <f>INDEX(Raw_Products!$B$2:$B$71,MATCH($F266,Raw_Products!$A$2:$A$71,0))</f>
        <v>Sed Pack</v>
      </c>
      <c r="H266" s="7" t="str">
        <f>INDEX(Raw_Products!$C$2:$C$71,MATCH($F266,Raw_Products!$A$2:$A$71,0))</f>
        <v>Cake</v>
      </c>
      <c r="I266" s="7">
        <f>VALUE(Raw_Orders!D266)</f>
        <v>1</v>
      </c>
      <c r="J266" s="11" t="str">
        <f>INDEX(Raw_Products!$D$2:$D$71,MATCH($F266,Raw_Products!$A$2:$A$71,0))</f>
        <v>1492</v>
      </c>
      <c r="K266" s="11">
        <f t="shared" si="8"/>
        <v>1492</v>
      </c>
      <c r="L266" s="12">
        <f>DATE(VALUE(RIGHT(Raw_Orders!E266,4)),VALUE(MID(Raw_Orders!E266,4,2)),VALUE(LEFT(Raw_Orders!E266,2)))</f>
        <v>44967</v>
      </c>
      <c r="M266" s="12">
        <f>DATE(VALUE(RIGHT(Raw_Orders!G266,4)),VALUE(MID(Raw_Orders!G266,4,2)),VALUE(LEFT(Raw_Orders!G266,2)))</f>
        <v>44975</v>
      </c>
      <c r="N266" s="7">
        <f t="shared" si="9"/>
        <v>8</v>
      </c>
      <c r="O266" s="7" t="str">
        <f>Raw_Orders!J266</f>
        <v>Valentine's Day</v>
      </c>
      <c r="P266" s="7" t="str">
        <f>Raw_Orders!I266</f>
        <v>Gudivada</v>
      </c>
    </row>
    <row r="267" spans="1:16">
      <c r="A267" s="7" t="str">
        <f>Raw_Orders!A267</f>
        <v>266</v>
      </c>
      <c r="B267" s="7" t="str">
        <f>Raw_Orders!B267</f>
        <v>C038</v>
      </c>
      <c r="C267" s="7" t="str">
        <f>INDEX(Raw_Customers!$B$2:$B$101,MATCH($B267,Raw_Customers!$A$2:$A$101,0))</f>
        <v>Yakshit Shah</v>
      </c>
      <c r="D267" s="7" t="str">
        <f>TRIM(INDEX(Raw_Customers!$C$2:$C$101,MATCH($B267,Raw_Customers!$A$2:$A$101,0)))</f>
        <v>Aizawl</v>
      </c>
      <c r="E267" s="7" t="str">
        <f>"+91-"&amp;RIGHT("0000000000"&amp;INDEX(Raw_Customers!$D$2:$D$101,MATCH($B267,Raw_Customers!$A$2:$A$101,0)),10)</f>
        <v>+91-2847411902</v>
      </c>
      <c r="F267" s="7" t="str">
        <f>Raw_Orders!C267</f>
        <v>36</v>
      </c>
      <c r="G267" s="7" t="str">
        <f>INDEX(Raw_Products!$B$2:$B$71,MATCH($F267,Raw_Products!$A$2:$A$71,0))</f>
        <v>Cum Gift</v>
      </c>
      <c r="H267" s="7" t="str">
        <f>INDEX(Raw_Products!$C$2:$C$71,MATCH($F267,Raw_Products!$A$2:$A$71,0))</f>
        <v>Plants</v>
      </c>
      <c r="I267" s="7">
        <f>VALUE(Raw_Orders!D267)</f>
        <v>1</v>
      </c>
      <c r="J267" s="11" t="str">
        <f>INDEX(Raw_Products!$D$2:$D$71,MATCH($F267,Raw_Products!$A$2:$A$71,0))</f>
        <v>203</v>
      </c>
      <c r="K267" s="11">
        <f t="shared" si="8"/>
        <v>203</v>
      </c>
      <c r="L267" s="12">
        <f>DATE(VALUE(RIGHT(Raw_Orders!E267,4)),VALUE(MID(Raw_Orders!E267,4,2)),VALUE(LEFT(Raw_Orders!E267,2)))</f>
        <v>45058</v>
      </c>
      <c r="M267" s="12">
        <f>DATE(VALUE(RIGHT(Raw_Orders!G267,4)),VALUE(MID(Raw_Orders!G267,4,2)),VALUE(LEFT(Raw_Orders!G267,2)))</f>
        <v>45059</v>
      </c>
      <c r="N267" s="7">
        <f t="shared" si="9"/>
        <v>1</v>
      </c>
      <c r="O267" s="7" t="str">
        <f>Raw_Orders!J267</f>
        <v>Birthday</v>
      </c>
      <c r="P267" s="7" t="str">
        <f>Raw_Orders!I267</f>
        <v>Sonipat</v>
      </c>
    </row>
    <row r="268" spans="1:16">
      <c r="A268" s="7" t="str">
        <f>Raw_Orders!A268</f>
        <v>267</v>
      </c>
      <c r="B268" s="7" t="str">
        <f>Raw_Orders!B268</f>
        <v>C055</v>
      </c>
      <c r="C268" s="7" t="str">
        <f>INDEX(Raw_Customers!$B$2:$B$101,MATCH($B268,Raw_Customers!$A$2:$A$101,0))</f>
        <v>Umang Luthra</v>
      </c>
      <c r="D268" s="7" t="str">
        <f>TRIM(INDEX(Raw_Customers!$C$2:$C$101,MATCH($B268,Raw_Customers!$A$2:$A$101,0)))</f>
        <v>Imphal</v>
      </c>
      <c r="E268" s="7" t="str">
        <f>"+91-"&amp;RIGHT("0000000000"&amp;INDEX(Raw_Customers!$D$2:$D$101,MATCH($B268,Raw_Customers!$A$2:$A$101,0)),10)</f>
        <v>+91-2007986762</v>
      </c>
      <c r="F268" s="7" t="str">
        <f>Raw_Orders!C268</f>
        <v>35</v>
      </c>
      <c r="G268" s="7" t="str">
        <f>INDEX(Raw_Products!$B$2:$B$71,MATCH($F268,Raw_Products!$A$2:$A$71,0))</f>
        <v>Nam Gift</v>
      </c>
      <c r="H268" s="7" t="str">
        <f>INDEX(Raw_Products!$C$2:$C$71,MATCH($F268,Raw_Products!$A$2:$A$71,0))</f>
        <v>Colors</v>
      </c>
      <c r="I268" s="7">
        <f>VALUE(Raw_Orders!D268)</f>
        <v>3</v>
      </c>
      <c r="J268" s="11" t="str">
        <f>INDEX(Raw_Products!$D$2:$D$71,MATCH($F268,Raw_Products!$A$2:$A$71,0))</f>
        <v>1865</v>
      </c>
      <c r="K268" s="11">
        <f t="shared" si="8"/>
        <v>5595</v>
      </c>
      <c r="L268" s="12">
        <f>DATE(VALUE(RIGHT(Raw_Orders!E268,4)),VALUE(MID(Raw_Orders!E268,4,2)),VALUE(LEFT(Raw_Orders!E268,2)))</f>
        <v>44989</v>
      </c>
      <c r="M268" s="12">
        <f>DATE(VALUE(RIGHT(Raw_Orders!G268,4)),VALUE(MID(Raw_Orders!G268,4,2)),VALUE(LEFT(Raw_Orders!G268,2)))</f>
        <v>44997</v>
      </c>
      <c r="N268" s="7">
        <f t="shared" si="9"/>
        <v>8</v>
      </c>
      <c r="O268" s="7" t="str">
        <f>Raw_Orders!J268</f>
        <v>Holi</v>
      </c>
      <c r="P268" s="7" t="str">
        <f>Raw_Orders!I268</f>
        <v>Chandrapur</v>
      </c>
    </row>
    <row r="269" spans="1:16">
      <c r="A269" s="7" t="str">
        <f>Raw_Orders!A269</f>
        <v>268</v>
      </c>
      <c r="B269" s="7" t="str">
        <f>Raw_Orders!B269</f>
        <v>C053</v>
      </c>
      <c r="C269" s="7" t="str">
        <f>INDEX(Raw_Customers!$B$2:$B$101,MATCH($B269,Raw_Customers!$A$2:$A$101,0))</f>
        <v>Kismat Kapadia</v>
      </c>
      <c r="D269" s="7" t="str">
        <f>TRIM(INDEX(Raw_Customers!$C$2:$C$101,MATCH($B269,Raw_Customers!$A$2:$A$101,0)))</f>
        <v>Bharatpur</v>
      </c>
      <c r="E269" s="7" t="str">
        <f>"+91-"&amp;RIGHT("0000000000"&amp;INDEX(Raw_Customers!$D$2:$D$101,MATCH($B269,Raw_Customers!$A$2:$A$101,0)),10)</f>
        <v>+91-8068004996</v>
      </c>
      <c r="F269" s="7" t="str">
        <f>Raw_Orders!C269</f>
        <v>38</v>
      </c>
      <c r="G269" s="7" t="str">
        <f>INDEX(Raw_Products!$B$2:$B$71,MATCH($F269,Raw_Products!$A$2:$A$71,0))</f>
        <v>Mollitia Set</v>
      </c>
      <c r="H269" s="7" t="str">
        <f>INDEX(Raw_Products!$C$2:$C$71,MATCH($F269,Raw_Products!$A$2:$A$71,0))</f>
        <v>Cake</v>
      </c>
      <c r="I269" s="7">
        <f>VALUE(Raw_Orders!D269)</f>
        <v>1</v>
      </c>
      <c r="J269" s="11" t="str">
        <f>INDEX(Raw_Products!$D$2:$D$71,MATCH($F269,Raw_Products!$A$2:$A$71,0))</f>
        <v>562</v>
      </c>
      <c r="K269" s="11">
        <f t="shared" si="8"/>
        <v>562</v>
      </c>
      <c r="L269" s="12">
        <f>DATE(VALUE(RIGHT(Raw_Orders!E269,4)),VALUE(MID(Raw_Orders!E269,4,2)),VALUE(LEFT(Raw_Orders!E269,2)))</f>
        <v>45152</v>
      </c>
      <c r="M269" s="12">
        <f>DATE(VALUE(RIGHT(Raw_Orders!G269,4)),VALUE(MID(Raw_Orders!G269,4,2)),VALUE(LEFT(Raw_Orders!G269,2)))</f>
        <v>45161</v>
      </c>
      <c r="N269" s="7">
        <f t="shared" si="9"/>
        <v>9</v>
      </c>
      <c r="O269" s="7" t="str">
        <f>Raw_Orders!J269</f>
        <v>Birthday</v>
      </c>
      <c r="P269" s="7" t="str">
        <f>Raw_Orders!I269</f>
        <v>Katni</v>
      </c>
    </row>
    <row r="270" spans="1:16">
      <c r="A270" s="7" t="str">
        <f>Raw_Orders!A270</f>
        <v>269</v>
      </c>
      <c r="B270" s="7" t="str">
        <f>Raw_Orders!B270</f>
        <v>C024</v>
      </c>
      <c r="C270" s="7" t="str">
        <f>INDEX(Raw_Customers!$B$2:$B$101,MATCH($B270,Raw_Customers!$A$2:$A$101,0))</f>
        <v>Jhanvi Chowdhury</v>
      </c>
      <c r="D270" s="7" t="str">
        <f>TRIM(INDEX(Raw_Customers!$C$2:$C$101,MATCH($B270,Raw_Customers!$A$2:$A$101,0)))</f>
        <v>Kavali</v>
      </c>
      <c r="E270" s="7" t="str">
        <f>"+91-"&amp;RIGHT("0000000000"&amp;INDEX(Raw_Customers!$D$2:$D$101,MATCH($B270,Raw_Customers!$A$2:$A$101,0)),10)</f>
        <v>+91-0316756360</v>
      </c>
      <c r="F270" s="7" t="str">
        <f>Raw_Orders!C270</f>
        <v>36</v>
      </c>
      <c r="G270" s="7" t="str">
        <f>INDEX(Raw_Products!$B$2:$B$71,MATCH($F270,Raw_Products!$A$2:$A$71,0))</f>
        <v>Cum Gift</v>
      </c>
      <c r="H270" s="7" t="str">
        <f>INDEX(Raw_Products!$C$2:$C$71,MATCH($F270,Raw_Products!$A$2:$A$71,0))</f>
        <v>Plants</v>
      </c>
      <c r="I270" s="7">
        <f>VALUE(Raw_Orders!D270)</f>
        <v>1</v>
      </c>
      <c r="J270" s="11" t="str">
        <f>INDEX(Raw_Products!$D$2:$D$71,MATCH($F270,Raw_Products!$A$2:$A$71,0))</f>
        <v>203</v>
      </c>
      <c r="K270" s="11">
        <f t="shared" si="8"/>
        <v>203</v>
      </c>
      <c r="L270" s="12">
        <f>DATE(VALUE(RIGHT(Raw_Orders!E270,4)),VALUE(MID(Raw_Orders!E270,4,2)),VALUE(LEFT(Raw_Orders!E270,2)))</f>
        <v>45224</v>
      </c>
      <c r="M270" s="12">
        <f>DATE(VALUE(RIGHT(Raw_Orders!G270,4)),VALUE(MID(Raw_Orders!G270,4,2)),VALUE(LEFT(Raw_Orders!G270,2)))</f>
        <v>45225</v>
      </c>
      <c r="N270" s="7">
        <f t="shared" si="9"/>
        <v>1</v>
      </c>
      <c r="O270" s="7" t="str">
        <f>Raw_Orders!J270</f>
        <v>Birthday</v>
      </c>
      <c r="P270" s="7" t="str">
        <f>Raw_Orders!I270</f>
        <v>Raebareli</v>
      </c>
    </row>
    <row r="271" spans="1:16">
      <c r="A271" s="7" t="str">
        <f>Raw_Orders!A271</f>
        <v>270</v>
      </c>
      <c r="B271" s="7" t="str">
        <f>Raw_Orders!B271</f>
        <v>C084</v>
      </c>
      <c r="C271" s="7" t="str">
        <f>INDEX(Raw_Customers!$B$2:$B$101,MATCH($B271,Raw_Customers!$A$2:$A$101,0))</f>
        <v>Anahita Shankar</v>
      </c>
      <c r="D271" s="7" t="str">
        <f>TRIM(INDEX(Raw_Customers!$C$2:$C$101,MATCH($B271,Raw_Customers!$A$2:$A$101,0)))</f>
        <v>Tiruchirappalli</v>
      </c>
      <c r="E271" s="7" t="str">
        <f>"+91-"&amp;RIGHT("0000000000"&amp;INDEX(Raw_Customers!$D$2:$D$101,MATCH($B271,Raw_Customers!$A$2:$A$101,0)),10)</f>
        <v>+91-2205603376</v>
      </c>
      <c r="F271" s="7" t="str">
        <f>Raw_Orders!C271</f>
        <v>21</v>
      </c>
      <c r="G271" s="7" t="str">
        <f>INDEX(Raw_Products!$B$2:$B$71,MATCH($F271,Raw_Products!$A$2:$A$71,0))</f>
        <v>Quia Gift</v>
      </c>
      <c r="H271" s="7" t="str">
        <f>INDEX(Raw_Products!$C$2:$C$71,MATCH($F271,Raw_Products!$A$2:$A$71,0))</f>
        <v>Colors</v>
      </c>
      <c r="I271" s="7">
        <f>VALUE(Raw_Orders!D271)</f>
        <v>5</v>
      </c>
      <c r="J271" s="11" t="str">
        <f>INDEX(Raw_Products!$D$2:$D$71,MATCH($F271,Raw_Products!$A$2:$A$71,0))</f>
        <v>1561</v>
      </c>
      <c r="K271" s="11">
        <f t="shared" si="8"/>
        <v>7805</v>
      </c>
      <c r="L271" s="12">
        <f>DATE(VALUE(RIGHT(Raw_Orders!E271,4)),VALUE(MID(Raw_Orders!E271,4,2)),VALUE(LEFT(Raw_Orders!E271,2)))</f>
        <v>45160</v>
      </c>
      <c r="M271" s="12">
        <f>DATE(VALUE(RIGHT(Raw_Orders!G271,4)),VALUE(MID(Raw_Orders!G271,4,2)),VALUE(LEFT(Raw_Orders!G271,2)))</f>
        <v>45170</v>
      </c>
      <c r="N271" s="7">
        <f t="shared" si="9"/>
        <v>10</v>
      </c>
      <c r="O271" s="7" t="str">
        <f>Raw_Orders!J271</f>
        <v>Raksha Bandhan</v>
      </c>
      <c r="P271" s="7" t="str">
        <f>Raw_Orders!I271</f>
        <v>Avadi</v>
      </c>
    </row>
    <row r="272" spans="1:16">
      <c r="A272" s="7" t="str">
        <f>Raw_Orders!A272</f>
        <v>271</v>
      </c>
      <c r="B272" s="7" t="str">
        <f>Raw_Orders!B272</f>
        <v>C039</v>
      </c>
      <c r="C272" s="7" t="str">
        <f>INDEX(Raw_Customers!$B$2:$B$101,MATCH($B272,Raw_Customers!$A$2:$A$101,0))</f>
        <v>Kaira Bahl</v>
      </c>
      <c r="D272" s="7" t="str">
        <f>TRIM(INDEX(Raw_Customers!$C$2:$C$101,MATCH($B272,Raw_Customers!$A$2:$A$101,0)))</f>
        <v>Kamarhati</v>
      </c>
      <c r="E272" s="7" t="str">
        <f>"+91-"&amp;RIGHT("0000000000"&amp;INDEX(Raw_Customers!$D$2:$D$101,MATCH($B272,Raw_Customers!$A$2:$A$101,0)),10)</f>
        <v>+91-8804850295</v>
      </c>
      <c r="F272" s="7" t="str">
        <f>Raw_Orders!C272</f>
        <v>36</v>
      </c>
      <c r="G272" s="7" t="str">
        <f>INDEX(Raw_Products!$B$2:$B$71,MATCH($F272,Raw_Products!$A$2:$A$71,0))</f>
        <v>Cum Gift</v>
      </c>
      <c r="H272" s="7" t="str">
        <f>INDEX(Raw_Products!$C$2:$C$71,MATCH($F272,Raw_Products!$A$2:$A$71,0))</f>
        <v>Plants</v>
      </c>
      <c r="I272" s="7">
        <f>VALUE(Raw_Orders!D272)</f>
        <v>5</v>
      </c>
      <c r="J272" s="11" t="str">
        <f>INDEX(Raw_Products!$D$2:$D$71,MATCH($F272,Raw_Products!$A$2:$A$71,0))</f>
        <v>203</v>
      </c>
      <c r="K272" s="11">
        <f t="shared" si="8"/>
        <v>1015</v>
      </c>
      <c r="L272" s="12">
        <f>DATE(VALUE(RIGHT(Raw_Orders!E272,4)),VALUE(MID(Raw_Orders!E272,4,2)),VALUE(LEFT(Raw_Orders!E272,2)))</f>
        <v>45100</v>
      </c>
      <c r="M272" s="12">
        <f>DATE(VALUE(RIGHT(Raw_Orders!G272,4)),VALUE(MID(Raw_Orders!G272,4,2)),VALUE(LEFT(Raw_Orders!G272,2)))</f>
        <v>45107</v>
      </c>
      <c r="N272" s="7">
        <f t="shared" si="9"/>
        <v>7</v>
      </c>
      <c r="O272" s="7" t="str">
        <f>Raw_Orders!J272</f>
        <v>Birthday</v>
      </c>
      <c r="P272" s="7" t="str">
        <f>Raw_Orders!I272</f>
        <v>Patna</v>
      </c>
    </row>
    <row r="273" spans="1:16">
      <c r="A273" s="7" t="str">
        <f>Raw_Orders!A273</f>
        <v>272</v>
      </c>
      <c r="B273" s="7" t="str">
        <f>Raw_Orders!B273</f>
        <v>C016</v>
      </c>
      <c r="C273" s="7" t="str">
        <f>INDEX(Raw_Customers!$B$2:$B$101,MATCH($B273,Raw_Customers!$A$2:$A$101,0))</f>
        <v>Amani Ganesh</v>
      </c>
      <c r="D273" s="7" t="str">
        <f>TRIM(INDEX(Raw_Customers!$C$2:$C$101,MATCH($B273,Raw_Customers!$A$2:$A$101,0)))</f>
        <v>Tenali</v>
      </c>
      <c r="E273" s="7" t="str">
        <f>"+91-"&amp;RIGHT("0000000000"&amp;INDEX(Raw_Customers!$D$2:$D$101,MATCH($B273,Raw_Customers!$A$2:$A$101,0)),10)</f>
        <v>+91-8482992702</v>
      </c>
      <c r="F273" s="7" t="str">
        <f>Raw_Orders!C273</f>
        <v>12</v>
      </c>
      <c r="G273" s="7" t="str">
        <f>INDEX(Raw_Products!$B$2:$B$71,MATCH($F273,Raw_Products!$A$2:$A$71,0))</f>
        <v>Non Set</v>
      </c>
      <c r="H273" s="7" t="str">
        <f>INDEX(Raw_Products!$C$2:$C$71,MATCH($F273,Raw_Products!$A$2:$A$71,0))</f>
        <v>Plants</v>
      </c>
      <c r="I273" s="7">
        <f>VALUE(Raw_Orders!D273)</f>
        <v>1</v>
      </c>
      <c r="J273" s="11" t="str">
        <f>INDEX(Raw_Products!$D$2:$D$71,MATCH($F273,Raw_Products!$A$2:$A$71,0))</f>
        <v>672</v>
      </c>
      <c r="K273" s="11">
        <f t="shared" si="8"/>
        <v>672</v>
      </c>
      <c r="L273" s="12">
        <f>DATE(VALUE(RIGHT(Raw_Orders!E273,4)),VALUE(MID(Raw_Orders!E273,4,2)),VALUE(LEFT(Raw_Orders!E273,2)))</f>
        <v>45024</v>
      </c>
      <c r="M273" s="12">
        <f>DATE(VALUE(RIGHT(Raw_Orders!G273,4)),VALUE(MID(Raw_Orders!G273,4,2)),VALUE(LEFT(Raw_Orders!G273,2)))</f>
        <v>45034</v>
      </c>
      <c r="N273" s="7">
        <f t="shared" si="9"/>
        <v>10</v>
      </c>
      <c r="O273" s="7" t="str">
        <f>Raw_Orders!J273</f>
        <v>Anniversary</v>
      </c>
      <c r="P273" s="7" t="str">
        <f>Raw_Orders!I273</f>
        <v>Kumbakonam</v>
      </c>
    </row>
    <row r="274" spans="1:16">
      <c r="A274" s="7" t="str">
        <f>Raw_Orders!A274</f>
        <v>273</v>
      </c>
      <c r="B274" s="7" t="str">
        <f>Raw_Orders!B274</f>
        <v>C047</v>
      </c>
      <c r="C274" s="7" t="str">
        <f>INDEX(Raw_Customers!$B$2:$B$101,MATCH($B274,Raw_Customers!$A$2:$A$101,0))</f>
        <v>Bhamini Ravi</v>
      </c>
      <c r="D274" s="7" t="str">
        <f>TRIM(INDEX(Raw_Customers!$C$2:$C$101,MATCH($B274,Raw_Customers!$A$2:$A$101,0)))</f>
        <v>Jorhat</v>
      </c>
      <c r="E274" s="7" t="str">
        <f>"+91-"&amp;RIGHT("0000000000"&amp;INDEX(Raw_Customers!$D$2:$D$101,MATCH($B274,Raw_Customers!$A$2:$A$101,0)),10)</f>
        <v>+91-0798274175</v>
      </c>
      <c r="F274" s="7" t="str">
        <f>Raw_Orders!C274</f>
        <v>10</v>
      </c>
      <c r="G274" s="7" t="str">
        <f>INDEX(Raw_Products!$B$2:$B$71,MATCH($F274,Raw_Products!$A$2:$A$71,0))</f>
        <v>Accusantium Gift</v>
      </c>
      <c r="H274" s="7" t="str">
        <f>INDEX(Raw_Products!$C$2:$C$71,MATCH($F274,Raw_Products!$A$2:$A$71,0))</f>
        <v>Cake</v>
      </c>
      <c r="I274" s="7">
        <f>VALUE(Raw_Orders!D274)</f>
        <v>2</v>
      </c>
      <c r="J274" s="11" t="str">
        <f>INDEX(Raw_Products!$D$2:$D$71,MATCH($F274,Raw_Products!$A$2:$A$71,0))</f>
        <v>259</v>
      </c>
      <c r="K274" s="11">
        <f t="shared" si="8"/>
        <v>518</v>
      </c>
      <c r="L274" s="12">
        <f>DATE(VALUE(RIGHT(Raw_Orders!E274,4)),VALUE(MID(Raw_Orders!E274,4,2)),VALUE(LEFT(Raw_Orders!E274,2)))</f>
        <v>45252</v>
      </c>
      <c r="M274" s="12">
        <f>DATE(VALUE(RIGHT(Raw_Orders!G274,4)),VALUE(MID(Raw_Orders!G274,4,2)),VALUE(LEFT(Raw_Orders!G274,2)))</f>
        <v>45254</v>
      </c>
      <c r="N274" s="7">
        <f t="shared" si="9"/>
        <v>2</v>
      </c>
      <c r="O274" s="7" t="str">
        <f>Raw_Orders!J274</f>
        <v>Birthday</v>
      </c>
      <c r="P274" s="7" t="str">
        <f>Raw_Orders!I274</f>
        <v>Moradabad</v>
      </c>
    </row>
    <row r="275" spans="1:16">
      <c r="A275" s="7" t="str">
        <f>Raw_Orders!A275</f>
        <v>274</v>
      </c>
      <c r="B275" s="7" t="str">
        <f>Raw_Orders!B275</f>
        <v>C078</v>
      </c>
      <c r="C275" s="7" t="str">
        <f>INDEX(Raw_Customers!$B$2:$B$101,MATCH($B275,Raw_Customers!$A$2:$A$101,0))</f>
        <v>Jivika Rajan</v>
      </c>
      <c r="D275" s="7" t="str">
        <f>TRIM(INDEX(Raw_Customers!$C$2:$C$101,MATCH($B275,Raw_Customers!$A$2:$A$101,0)))</f>
        <v>Bhubaneswar</v>
      </c>
      <c r="E275" s="7" t="str">
        <f>"+91-"&amp;RIGHT("0000000000"&amp;INDEX(Raw_Customers!$D$2:$D$101,MATCH($B275,Raw_Customers!$A$2:$A$101,0)),10)</f>
        <v>+91-3005266310</v>
      </c>
      <c r="F275" s="7" t="str">
        <f>Raw_Orders!C275</f>
        <v>41</v>
      </c>
      <c r="G275" s="7" t="str">
        <f>INDEX(Raw_Products!$B$2:$B$71,MATCH($F275,Raw_Products!$A$2:$A$71,0))</f>
        <v>Aut Box</v>
      </c>
      <c r="H275" s="7" t="str">
        <f>INDEX(Raw_Products!$C$2:$C$71,MATCH($F275,Raw_Products!$A$2:$A$71,0))</f>
        <v>Sweets</v>
      </c>
      <c r="I275" s="7">
        <f>VALUE(Raw_Orders!D275)</f>
        <v>5</v>
      </c>
      <c r="J275" s="11" t="str">
        <f>INDEX(Raw_Products!$D$2:$D$71,MATCH($F275,Raw_Products!$A$2:$A$71,0))</f>
        <v>1977</v>
      </c>
      <c r="K275" s="11">
        <f t="shared" si="8"/>
        <v>9885</v>
      </c>
      <c r="L275" s="12">
        <f>DATE(VALUE(RIGHT(Raw_Orders!E275,4)),VALUE(MID(Raw_Orders!E275,4,2)),VALUE(LEFT(Raw_Orders!E275,2)))</f>
        <v>45232</v>
      </c>
      <c r="M275" s="12">
        <f>DATE(VALUE(RIGHT(Raw_Orders!G275,4)),VALUE(MID(Raw_Orders!G275,4,2)),VALUE(LEFT(Raw_Orders!G275,2)))</f>
        <v>45242</v>
      </c>
      <c r="N275" s="7">
        <f t="shared" si="9"/>
        <v>10</v>
      </c>
      <c r="O275" s="7" t="str">
        <f>Raw_Orders!J275</f>
        <v>Diwali</v>
      </c>
      <c r="P275" s="7" t="str">
        <f>Raw_Orders!I275</f>
        <v>Raebareli</v>
      </c>
    </row>
    <row r="276" spans="1:16">
      <c r="A276" s="7" t="str">
        <f>Raw_Orders!A276</f>
        <v>275</v>
      </c>
      <c r="B276" s="7" t="str">
        <f>Raw_Orders!B276</f>
        <v>C028</v>
      </c>
      <c r="C276" s="7" t="str">
        <f>INDEX(Raw_Customers!$B$2:$B$101,MATCH($B276,Raw_Customers!$A$2:$A$101,0))</f>
        <v>Hridaan Rajagopalan</v>
      </c>
      <c r="D276" s="7" t="str">
        <f>TRIM(INDEX(Raw_Customers!$C$2:$C$101,MATCH($B276,Raw_Customers!$A$2:$A$101,0)))</f>
        <v>Noida</v>
      </c>
      <c r="E276" s="7" t="str">
        <f>"+91-"&amp;RIGHT("0000000000"&amp;INDEX(Raw_Customers!$D$2:$D$101,MATCH($B276,Raw_Customers!$A$2:$A$101,0)),10)</f>
        <v>+91-2539728317</v>
      </c>
      <c r="F276" s="7" t="str">
        <f>Raw_Orders!C276</f>
        <v>29</v>
      </c>
      <c r="G276" s="7" t="str">
        <f>INDEX(Raw_Products!$B$2:$B$71,MATCH($F276,Raw_Products!$A$2:$A$71,0))</f>
        <v>In Set</v>
      </c>
      <c r="H276" s="7" t="str">
        <f>INDEX(Raw_Products!$C$2:$C$71,MATCH($F276,Raw_Products!$A$2:$A$71,0))</f>
        <v>Colors</v>
      </c>
      <c r="I276" s="7">
        <f>VALUE(Raw_Orders!D276)</f>
        <v>1</v>
      </c>
      <c r="J276" s="11" t="str">
        <f>INDEX(Raw_Products!$D$2:$D$71,MATCH($F276,Raw_Products!$A$2:$A$71,0))</f>
        <v>1252</v>
      </c>
      <c r="K276" s="11">
        <f t="shared" si="8"/>
        <v>1252</v>
      </c>
      <c r="L276" s="12">
        <f>DATE(VALUE(RIGHT(Raw_Orders!E276,4)),VALUE(MID(Raw_Orders!E276,4,2)),VALUE(LEFT(Raw_Orders!E276,2)))</f>
        <v>44987</v>
      </c>
      <c r="M276" s="12">
        <f>DATE(VALUE(RIGHT(Raw_Orders!G276,4)),VALUE(MID(Raw_Orders!G276,4,2)),VALUE(LEFT(Raw_Orders!G276,2)))</f>
        <v>44990</v>
      </c>
      <c r="N276" s="7">
        <f t="shared" si="9"/>
        <v>3</v>
      </c>
      <c r="O276" s="7" t="str">
        <f>Raw_Orders!J276</f>
        <v>Holi</v>
      </c>
      <c r="P276" s="7" t="str">
        <f>Raw_Orders!I276</f>
        <v>Ranchi</v>
      </c>
    </row>
    <row r="277" spans="1:16">
      <c r="A277" s="7" t="str">
        <f>Raw_Orders!A277</f>
        <v>276</v>
      </c>
      <c r="B277" s="7" t="str">
        <f>Raw_Orders!B277</f>
        <v>C065</v>
      </c>
      <c r="C277" s="7" t="str">
        <f>INDEX(Raw_Customers!$B$2:$B$101,MATCH($B277,Raw_Customers!$A$2:$A$101,0))</f>
        <v>Badal Vora</v>
      </c>
      <c r="D277" s="7" t="str">
        <f>TRIM(INDEX(Raw_Customers!$C$2:$C$101,MATCH($B277,Raw_Customers!$A$2:$A$101,0)))</f>
        <v>North Dumdum</v>
      </c>
      <c r="E277" s="7" t="str">
        <f>"+91-"&amp;RIGHT("0000000000"&amp;INDEX(Raw_Customers!$D$2:$D$101,MATCH($B277,Raw_Customers!$A$2:$A$101,0)),10)</f>
        <v>+91-9753056313</v>
      </c>
      <c r="F277" s="7" t="str">
        <f>Raw_Orders!C277</f>
        <v>15</v>
      </c>
      <c r="G277" s="7" t="str">
        <f>INDEX(Raw_Products!$B$2:$B$71,MATCH($F277,Raw_Products!$A$2:$A$71,0))</f>
        <v>Repudiandae Box</v>
      </c>
      <c r="H277" s="7" t="str">
        <f>INDEX(Raw_Products!$C$2:$C$71,MATCH($F277,Raw_Products!$A$2:$A$71,0))</f>
        <v>Raksha Bandhan</v>
      </c>
      <c r="I277" s="7">
        <f>VALUE(Raw_Orders!D277)</f>
        <v>2</v>
      </c>
      <c r="J277" s="11" t="str">
        <f>INDEX(Raw_Products!$D$2:$D$71,MATCH($F277,Raw_Products!$A$2:$A$71,0))</f>
        <v>1488</v>
      </c>
      <c r="K277" s="11">
        <f t="shared" si="8"/>
        <v>2976</v>
      </c>
      <c r="L277" s="12">
        <f>DATE(VALUE(RIGHT(Raw_Orders!E277,4)),VALUE(MID(Raw_Orders!E277,4,2)),VALUE(LEFT(Raw_Orders!E277,2)))</f>
        <v>45074</v>
      </c>
      <c r="M277" s="12">
        <f>DATE(VALUE(RIGHT(Raw_Orders!G277,4)),VALUE(MID(Raw_Orders!G277,4,2)),VALUE(LEFT(Raw_Orders!G277,2)))</f>
        <v>45078</v>
      </c>
      <c r="N277" s="7">
        <f t="shared" si="9"/>
        <v>4</v>
      </c>
      <c r="O277" s="7" t="str">
        <f>Raw_Orders!J277</f>
        <v>Anniversary</v>
      </c>
      <c r="P277" s="7" t="str">
        <f>Raw_Orders!I277</f>
        <v>Muzaffarpur</v>
      </c>
    </row>
    <row r="278" spans="1:16">
      <c r="A278" s="7" t="str">
        <f>Raw_Orders!A278</f>
        <v>277</v>
      </c>
      <c r="B278" s="7" t="str">
        <f>Raw_Orders!B278</f>
        <v>C062</v>
      </c>
      <c r="C278" s="7" t="str">
        <f>INDEX(Raw_Customers!$B$2:$B$101,MATCH($B278,Raw_Customers!$A$2:$A$101,0))</f>
        <v>Inaaya  Sarraf</v>
      </c>
      <c r="D278" s="7" t="str">
        <f>TRIM(INDEX(Raw_Customers!$C$2:$C$101,MATCH($B278,Raw_Customers!$A$2:$A$101,0)))</f>
        <v>Nagpur</v>
      </c>
      <c r="E278" s="7" t="str">
        <f>"+91-"&amp;RIGHT("0000000000"&amp;INDEX(Raw_Customers!$D$2:$D$101,MATCH($B278,Raw_Customers!$A$2:$A$101,0)),10)</f>
        <v>+91-5915082470</v>
      </c>
      <c r="F278" s="7" t="str">
        <f>Raw_Orders!C278</f>
        <v>34</v>
      </c>
      <c r="G278" s="7" t="str">
        <f>INDEX(Raw_Products!$B$2:$B$71,MATCH($F278,Raw_Products!$A$2:$A$71,0))</f>
        <v>Placeat Pack</v>
      </c>
      <c r="H278" s="7" t="str">
        <f>INDEX(Raw_Products!$C$2:$C$71,MATCH($F278,Raw_Products!$A$2:$A$71,0))</f>
        <v>Soft Toys</v>
      </c>
      <c r="I278" s="7">
        <f>VALUE(Raw_Orders!D278)</f>
        <v>5</v>
      </c>
      <c r="J278" s="11" t="str">
        <f>INDEX(Raw_Products!$D$2:$D$71,MATCH($F278,Raw_Products!$A$2:$A$71,0))</f>
        <v>1335</v>
      </c>
      <c r="K278" s="11">
        <f t="shared" si="8"/>
        <v>6675</v>
      </c>
      <c r="L278" s="12">
        <f>DATE(VALUE(RIGHT(Raw_Orders!E278,4)),VALUE(MID(Raw_Orders!E278,4,2)),VALUE(LEFT(Raw_Orders!E278,2)))</f>
        <v>45161</v>
      </c>
      <c r="M278" s="12">
        <f>DATE(VALUE(RIGHT(Raw_Orders!G278,4)),VALUE(MID(Raw_Orders!G278,4,2)),VALUE(LEFT(Raw_Orders!G278,2)))</f>
        <v>45167</v>
      </c>
      <c r="N278" s="7">
        <f t="shared" si="9"/>
        <v>6</v>
      </c>
      <c r="O278" s="7" t="str">
        <f>Raw_Orders!J278</f>
        <v>Raksha Bandhan</v>
      </c>
      <c r="P278" s="7" t="str">
        <f>Raw_Orders!I278</f>
        <v>Bhilai</v>
      </c>
    </row>
    <row r="279" spans="1:16">
      <c r="A279" s="7" t="str">
        <f>Raw_Orders!A279</f>
        <v>278</v>
      </c>
      <c r="B279" s="7" t="str">
        <f>Raw_Orders!B279</f>
        <v>C044</v>
      </c>
      <c r="C279" s="7" t="str">
        <f>INDEX(Raw_Customers!$B$2:$B$101,MATCH($B279,Raw_Customers!$A$2:$A$101,0))</f>
        <v>Seher Mann</v>
      </c>
      <c r="D279" s="7" t="str">
        <f>TRIM(INDEX(Raw_Customers!$C$2:$C$101,MATCH($B279,Raw_Customers!$A$2:$A$101,0)))</f>
        <v>Agra</v>
      </c>
      <c r="E279" s="7" t="str">
        <f>"+91-"&amp;RIGHT("0000000000"&amp;INDEX(Raw_Customers!$D$2:$D$101,MATCH($B279,Raw_Customers!$A$2:$A$101,0)),10)</f>
        <v>+91-9843970658</v>
      </c>
      <c r="F279" s="7" t="str">
        <f>Raw_Orders!C279</f>
        <v>1</v>
      </c>
      <c r="G279" s="7" t="str">
        <f>INDEX(Raw_Products!$B$2:$B$71,MATCH($F279,Raw_Products!$A$2:$A$71,0))</f>
        <v>Magnam Set</v>
      </c>
      <c r="H279" s="7" t="str">
        <f>INDEX(Raw_Products!$C$2:$C$71,MATCH($F279,Raw_Products!$A$2:$A$71,0))</f>
        <v>Soft Toys</v>
      </c>
      <c r="I279" s="7">
        <f>VALUE(Raw_Orders!D279)</f>
        <v>2</v>
      </c>
      <c r="J279" s="11" t="str">
        <f>INDEX(Raw_Products!$D$2:$D$71,MATCH($F279,Raw_Products!$A$2:$A$71,0))</f>
        <v>1935</v>
      </c>
      <c r="K279" s="11">
        <f t="shared" si="8"/>
        <v>3870</v>
      </c>
      <c r="L279" s="12">
        <f>DATE(VALUE(RIGHT(Raw_Orders!E279,4)),VALUE(MID(Raw_Orders!E279,4,2)),VALUE(LEFT(Raw_Orders!E279,2)))</f>
        <v>45097</v>
      </c>
      <c r="M279" s="12">
        <f>DATE(VALUE(RIGHT(Raw_Orders!G279,4)),VALUE(MID(Raw_Orders!G279,4,2)),VALUE(LEFT(Raw_Orders!G279,2)))</f>
        <v>45101</v>
      </c>
      <c r="N279" s="7">
        <f t="shared" si="9"/>
        <v>4</v>
      </c>
      <c r="O279" s="7" t="str">
        <f>Raw_Orders!J279</f>
        <v>All Occasions</v>
      </c>
      <c r="P279" s="7" t="str">
        <f>Raw_Orders!I279</f>
        <v>Ballia</v>
      </c>
    </row>
    <row r="280" spans="1:16">
      <c r="A280" s="7" t="str">
        <f>Raw_Orders!A280</f>
        <v>279</v>
      </c>
      <c r="B280" s="7" t="str">
        <f>Raw_Orders!B280</f>
        <v>C067</v>
      </c>
      <c r="C280" s="7" t="str">
        <f>INDEX(Raw_Customers!$B$2:$B$101,MATCH($B280,Raw_Customers!$A$2:$A$101,0))</f>
        <v>Eva Sankaran</v>
      </c>
      <c r="D280" s="7" t="str">
        <f>TRIM(INDEX(Raw_Customers!$C$2:$C$101,MATCH($B280,Raw_Customers!$A$2:$A$101,0)))</f>
        <v>Anand</v>
      </c>
      <c r="E280" s="7" t="str">
        <f>"+91-"&amp;RIGHT("0000000000"&amp;INDEX(Raw_Customers!$D$2:$D$101,MATCH($B280,Raw_Customers!$A$2:$A$101,0)),10)</f>
        <v>+91-0407409251</v>
      </c>
      <c r="F280" s="7" t="str">
        <f>Raw_Orders!C280</f>
        <v>23</v>
      </c>
      <c r="G280" s="7" t="str">
        <f>INDEX(Raw_Products!$B$2:$B$71,MATCH($F280,Raw_Products!$A$2:$A$71,0))</f>
        <v>Dignissimos Pack</v>
      </c>
      <c r="H280" s="7" t="str">
        <f>INDEX(Raw_Products!$C$2:$C$71,MATCH($F280,Raw_Products!$A$2:$A$71,0))</f>
        <v>Sweets</v>
      </c>
      <c r="I280" s="7">
        <f>VALUE(Raw_Orders!D280)</f>
        <v>4</v>
      </c>
      <c r="J280" s="11" t="str">
        <f>INDEX(Raw_Products!$D$2:$D$71,MATCH($F280,Raw_Products!$A$2:$A$71,0))</f>
        <v>1098</v>
      </c>
      <c r="K280" s="11">
        <f t="shared" si="8"/>
        <v>4392</v>
      </c>
      <c r="L280" s="12">
        <f>DATE(VALUE(RIGHT(Raw_Orders!E280,4)),VALUE(MID(Raw_Orders!E280,4,2)),VALUE(LEFT(Raw_Orders!E280,2)))</f>
        <v>45254</v>
      </c>
      <c r="M280" s="12">
        <f>DATE(VALUE(RIGHT(Raw_Orders!G280,4)),VALUE(MID(Raw_Orders!G280,4,2)),VALUE(LEFT(Raw_Orders!G280,2)))</f>
        <v>45256</v>
      </c>
      <c r="N280" s="7">
        <f t="shared" si="9"/>
        <v>2</v>
      </c>
      <c r="O280" s="7" t="str">
        <f>Raw_Orders!J280</f>
        <v>Anniversary</v>
      </c>
      <c r="P280" s="7" t="str">
        <f>Raw_Orders!I280</f>
        <v>Chinsurah</v>
      </c>
    </row>
    <row r="281" spans="1:16">
      <c r="A281" s="7" t="str">
        <f>Raw_Orders!A281</f>
        <v>280</v>
      </c>
      <c r="B281" s="7" t="str">
        <f>Raw_Orders!B281</f>
        <v>C003</v>
      </c>
      <c r="C281" s="7" t="str">
        <f>INDEX(Raw_Customers!$B$2:$B$101,MATCH($B281,Raw_Customers!$A$2:$A$101,0))</f>
        <v>Jayesh Lanka</v>
      </c>
      <c r="D281" s="7" t="str">
        <f>TRIM(INDEX(Raw_Customers!$C$2:$C$101,MATCH($B281,Raw_Customers!$A$2:$A$101,0)))</f>
        <v>Bilaspur</v>
      </c>
      <c r="E281" s="7" t="str">
        <f>"+91-"&amp;RIGHT("0000000000"&amp;INDEX(Raw_Customers!$D$2:$D$101,MATCH($B281,Raw_Customers!$A$2:$A$101,0)),10)</f>
        <v>+91-7400208126</v>
      </c>
      <c r="F281" s="7" t="str">
        <f>Raw_Orders!C281</f>
        <v>19</v>
      </c>
      <c r="G281" s="7" t="str">
        <f>INDEX(Raw_Products!$B$2:$B$71,MATCH($F281,Raw_Products!$A$2:$A$71,0))</f>
        <v>Iure Gift</v>
      </c>
      <c r="H281" s="7" t="str">
        <f>INDEX(Raw_Products!$C$2:$C$71,MATCH($F281,Raw_Products!$A$2:$A$71,0))</f>
        <v>Mugs</v>
      </c>
      <c r="I281" s="7">
        <f>VALUE(Raw_Orders!D281)</f>
        <v>3</v>
      </c>
      <c r="J281" s="11" t="str">
        <f>INDEX(Raw_Products!$D$2:$D$71,MATCH($F281,Raw_Products!$A$2:$A$71,0))</f>
        <v>1234</v>
      </c>
      <c r="K281" s="11">
        <f t="shared" si="8"/>
        <v>3702</v>
      </c>
      <c r="L281" s="12">
        <f>DATE(VALUE(RIGHT(Raw_Orders!E281,4)),VALUE(MID(Raw_Orders!E281,4,2)),VALUE(LEFT(Raw_Orders!E281,2)))</f>
        <v>44964</v>
      </c>
      <c r="M281" s="12">
        <f>DATE(VALUE(RIGHT(Raw_Orders!G281,4)),VALUE(MID(Raw_Orders!G281,4,2)),VALUE(LEFT(Raw_Orders!G281,2)))</f>
        <v>44969</v>
      </c>
      <c r="N281" s="7">
        <f t="shared" si="9"/>
        <v>5</v>
      </c>
      <c r="O281" s="7" t="str">
        <f>Raw_Orders!J281</f>
        <v>Valentine's Day</v>
      </c>
      <c r="P281" s="7" t="str">
        <f>Raw_Orders!I281</f>
        <v>Mangalore</v>
      </c>
    </row>
    <row r="282" spans="1:16">
      <c r="A282" s="7" t="str">
        <f>Raw_Orders!A282</f>
        <v>281</v>
      </c>
      <c r="B282" s="7" t="str">
        <f>Raw_Orders!B282</f>
        <v>C008</v>
      </c>
      <c r="C282" s="7" t="str">
        <f>INDEX(Raw_Customers!$B$2:$B$101,MATCH($B282,Raw_Customers!$A$2:$A$101,0))</f>
        <v>Veer Ray</v>
      </c>
      <c r="D282" s="7" t="str">
        <f>TRIM(INDEX(Raw_Customers!$C$2:$C$101,MATCH($B282,Raw_Customers!$A$2:$A$101,0)))</f>
        <v>Chinsurah</v>
      </c>
      <c r="E282" s="7" t="str">
        <f>"+91-"&amp;RIGHT("0000000000"&amp;INDEX(Raw_Customers!$D$2:$D$101,MATCH($B282,Raw_Customers!$A$2:$A$101,0)),10)</f>
        <v>+91-7138085704</v>
      </c>
      <c r="F282" s="7" t="str">
        <f>Raw_Orders!C282</f>
        <v>15</v>
      </c>
      <c r="G282" s="7" t="str">
        <f>INDEX(Raw_Products!$B$2:$B$71,MATCH($F282,Raw_Products!$A$2:$A$71,0))</f>
        <v>Repudiandae Box</v>
      </c>
      <c r="H282" s="7" t="str">
        <f>INDEX(Raw_Products!$C$2:$C$71,MATCH($F282,Raw_Products!$A$2:$A$71,0))</f>
        <v>Raksha Bandhan</v>
      </c>
      <c r="I282" s="7">
        <f>VALUE(Raw_Orders!D282)</f>
        <v>3</v>
      </c>
      <c r="J282" s="11" t="str">
        <f>INDEX(Raw_Products!$D$2:$D$71,MATCH($F282,Raw_Products!$A$2:$A$71,0))</f>
        <v>1488</v>
      </c>
      <c r="K282" s="11">
        <f t="shared" si="8"/>
        <v>4464</v>
      </c>
      <c r="L282" s="12">
        <f>DATE(VALUE(RIGHT(Raw_Orders!E282,4)),VALUE(MID(Raw_Orders!E282,4,2)),VALUE(LEFT(Raw_Orders!E282,2)))</f>
        <v>45190</v>
      </c>
      <c r="M282" s="12">
        <f>DATE(VALUE(RIGHT(Raw_Orders!G282,4)),VALUE(MID(Raw_Orders!G282,4,2)),VALUE(LEFT(Raw_Orders!G282,2)))</f>
        <v>45194</v>
      </c>
      <c r="N282" s="7">
        <f t="shared" si="9"/>
        <v>4</v>
      </c>
      <c r="O282" s="7" t="str">
        <f>Raw_Orders!J282</f>
        <v>Anniversary</v>
      </c>
      <c r="P282" s="7" t="str">
        <f>Raw_Orders!I282</f>
        <v>Nellore</v>
      </c>
    </row>
    <row r="283" spans="1:16">
      <c r="A283" s="7" t="str">
        <f>Raw_Orders!A283</f>
        <v>282</v>
      </c>
      <c r="B283" s="7" t="str">
        <f>Raw_Orders!B283</f>
        <v>C092</v>
      </c>
      <c r="C283" s="7" t="str">
        <f>INDEX(Raw_Customers!$B$2:$B$101,MATCH($B283,Raw_Customers!$A$2:$A$101,0))</f>
        <v>Zoya Mani</v>
      </c>
      <c r="D283" s="7" t="str">
        <f>TRIM(INDEX(Raw_Customers!$C$2:$C$101,MATCH($B283,Raw_Customers!$A$2:$A$101,0)))</f>
        <v>Dibrugarh</v>
      </c>
      <c r="E283" s="7" t="str">
        <f>"+91-"&amp;RIGHT("0000000000"&amp;INDEX(Raw_Customers!$D$2:$D$101,MATCH($B283,Raw_Customers!$A$2:$A$101,0)),10)</f>
        <v>+91-8918356963</v>
      </c>
      <c r="F283" s="7" t="str">
        <f>Raw_Orders!C283</f>
        <v>41</v>
      </c>
      <c r="G283" s="7" t="str">
        <f>INDEX(Raw_Products!$B$2:$B$71,MATCH($F283,Raw_Products!$A$2:$A$71,0))</f>
        <v>Aut Box</v>
      </c>
      <c r="H283" s="7" t="str">
        <f>INDEX(Raw_Products!$C$2:$C$71,MATCH($F283,Raw_Products!$A$2:$A$71,0))</f>
        <v>Sweets</v>
      </c>
      <c r="I283" s="7">
        <f>VALUE(Raw_Orders!D283)</f>
        <v>2</v>
      </c>
      <c r="J283" s="11" t="str">
        <f>INDEX(Raw_Products!$D$2:$D$71,MATCH($F283,Raw_Products!$A$2:$A$71,0))</f>
        <v>1977</v>
      </c>
      <c r="K283" s="11">
        <f t="shared" si="8"/>
        <v>3954</v>
      </c>
      <c r="L283" s="12">
        <f>DATE(VALUE(RIGHT(Raw_Orders!E283,4)),VALUE(MID(Raw_Orders!E283,4,2)),VALUE(LEFT(Raw_Orders!E283,2)))</f>
        <v>45241</v>
      </c>
      <c r="M283" s="12">
        <f>DATE(VALUE(RIGHT(Raw_Orders!G283,4)),VALUE(MID(Raw_Orders!G283,4,2)),VALUE(LEFT(Raw_Orders!G283,2)))</f>
        <v>45249</v>
      </c>
      <c r="N283" s="7">
        <f t="shared" si="9"/>
        <v>8</v>
      </c>
      <c r="O283" s="7" t="str">
        <f>Raw_Orders!J283</f>
        <v>Diwali</v>
      </c>
      <c r="P283" s="7" t="str">
        <f>Raw_Orders!I283</f>
        <v>Mangalore</v>
      </c>
    </row>
    <row r="284" spans="1:16">
      <c r="A284" s="7" t="str">
        <f>Raw_Orders!A284</f>
        <v>283</v>
      </c>
      <c r="B284" s="7" t="str">
        <f>Raw_Orders!B284</f>
        <v>C086</v>
      </c>
      <c r="C284" s="7" t="str">
        <f>INDEX(Raw_Customers!$B$2:$B$101,MATCH($B284,Raw_Customers!$A$2:$A$101,0))</f>
        <v>Ivana Amble</v>
      </c>
      <c r="D284" s="7" t="str">
        <f>TRIM(INDEX(Raw_Customers!$C$2:$C$101,MATCH($B284,Raw_Customers!$A$2:$A$101,0)))</f>
        <v>Purnia</v>
      </c>
      <c r="E284" s="7" t="str">
        <f>"+91-"&amp;RIGHT("0000000000"&amp;INDEX(Raw_Customers!$D$2:$D$101,MATCH($B284,Raw_Customers!$A$2:$A$101,0)),10)</f>
        <v>+91-9628920018</v>
      </c>
      <c r="F284" s="7" t="str">
        <f>Raw_Orders!C284</f>
        <v>23</v>
      </c>
      <c r="G284" s="7" t="str">
        <f>INDEX(Raw_Products!$B$2:$B$71,MATCH($F284,Raw_Products!$A$2:$A$71,0))</f>
        <v>Dignissimos Pack</v>
      </c>
      <c r="H284" s="7" t="str">
        <f>INDEX(Raw_Products!$C$2:$C$71,MATCH($F284,Raw_Products!$A$2:$A$71,0))</f>
        <v>Sweets</v>
      </c>
      <c r="I284" s="7">
        <f>VALUE(Raw_Orders!D284)</f>
        <v>2</v>
      </c>
      <c r="J284" s="11" t="str">
        <f>INDEX(Raw_Products!$D$2:$D$71,MATCH($F284,Raw_Products!$A$2:$A$71,0))</f>
        <v>1098</v>
      </c>
      <c r="K284" s="11">
        <f t="shared" si="8"/>
        <v>2196</v>
      </c>
      <c r="L284" s="12">
        <f>DATE(VALUE(RIGHT(Raw_Orders!E284,4)),VALUE(MID(Raw_Orders!E284,4,2)),VALUE(LEFT(Raw_Orders!E284,2)))</f>
        <v>45253</v>
      </c>
      <c r="M284" s="12">
        <f>DATE(VALUE(RIGHT(Raw_Orders!G284,4)),VALUE(MID(Raw_Orders!G284,4,2)),VALUE(LEFT(Raw_Orders!G284,2)))</f>
        <v>45260</v>
      </c>
      <c r="N284" s="7">
        <f t="shared" si="9"/>
        <v>7</v>
      </c>
      <c r="O284" s="7" t="str">
        <f>Raw_Orders!J284</f>
        <v>Anniversary</v>
      </c>
      <c r="P284" s="7" t="str">
        <f>Raw_Orders!I284</f>
        <v>Erode</v>
      </c>
    </row>
    <row r="285" spans="1:16">
      <c r="A285" s="7" t="str">
        <f>Raw_Orders!A285</f>
        <v>284</v>
      </c>
      <c r="B285" s="7" t="str">
        <f>Raw_Orders!B285</f>
        <v>C057</v>
      </c>
      <c r="C285" s="7" t="str">
        <f>INDEX(Raw_Customers!$B$2:$B$101,MATCH($B285,Raw_Customers!$A$2:$A$101,0))</f>
        <v>Zain Hegde</v>
      </c>
      <c r="D285" s="7" t="str">
        <f>TRIM(INDEX(Raw_Customers!$C$2:$C$101,MATCH($B285,Raw_Customers!$A$2:$A$101,0)))</f>
        <v>Delhi</v>
      </c>
      <c r="E285" s="7" t="str">
        <f>"+91-"&amp;RIGHT("0000000000"&amp;INDEX(Raw_Customers!$D$2:$D$101,MATCH($B285,Raw_Customers!$A$2:$A$101,0)),10)</f>
        <v>+91-8736997123</v>
      </c>
      <c r="F285" s="7" t="str">
        <f>Raw_Orders!C285</f>
        <v>17</v>
      </c>
      <c r="G285" s="7" t="str">
        <f>INDEX(Raw_Products!$B$2:$B$71,MATCH($F285,Raw_Products!$A$2:$A$71,0))</f>
        <v>Delectus Gift</v>
      </c>
      <c r="H285" s="7" t="str">
        <f>INDEX(Raw_Products!$C$2:$C$71,MATCH($F285,Raw_Products!$A$2:$A$71,0))</f>
        <v>Soft Toys</v>
      </c>
      <c r="I285" s="7">
        <f>VALUE(Raw_Orders!D285)</f>
        <v>1</v>
      </c>
      <c r="J285" s="11" t="str">
        <f>INDEX(Raw_Products!$D$2:$D$71,MATCH($F285,Raw_Products!$A$2:$A$71,0))</f>
        <v>1899</v>
      </c>
      <c r="K285" s="11">
        <f t="shared" si="8"/>
        <v>1899</v>
      </c>
      <c r="L285" s="12">
        <f>DATE(VALUE(RIGHT(Raw_Orders!E285,4)),VALUE(MID(Raw_Orders!E285,4,2)),VALUE(LEFT(Raw_Orders!E285,2)))</f>
        <v>45148</v>
      </c>
      <c r="M285" s="12">
        <f>DATE(VALUE(RIGHT(Raw_Orders!G285,4)),VALUE(MID(Raw_Orders!G285,4,2)),VALUE(LEFT(Raw_Orders!G285,2)))</f>
        <v>45154</v>
      </c>
      <c r="N285" s="7">
        <f t="shared" si="9"/>
        <v>6</v>
      </c>
      <c r="O285" s="7" t="str">
        <f>Raw_Orders!J285</f>
        <v>Anniversary</v>
      </c>
      <c r="P285" s="7" t="str">
        <f>Raw_Orders!I285</f>
        <v>Aurangabad</v>
      </c>
    </row>
    <row r="286" spans="1:16">
      <c r="A286" s="7" t="str">
        <f>Raw_Orders!A286</f>
        <v>285</v>
      </c>
      <c r="B286" s="7" t="str">
        <f>Raw_Orders!B286</f>
        <v>C082</v>
      </c>
      <c r="C286" s="7" t="str">
        <f>INDEX(Raw_Customers!$B$2:$B$101,MATCH($B286,Raw_Customers!$A$2:$A$101,0))</f>
        <v>Anya Chaudhari</v>
      </c>
      <c r="D286" s="7" t="str">
        <f>TRIM(INDEX(Raw_Customers!$C$2:$C$101,MATCH($B286,Raw_Customers!$A$2:$A$101,0)))</f>
        <v>Ahmednagar</v>
      </c>
      <c r="E286" s="7" t="str">
        <f>"+91-"&amp;RIGHT("0000000000"&amp;INDEX(Raw_Customers!$D$2:$D$101,MATCH($B286,Raw_Customers!$A$2:$A$101,0)),10)</f>
        <v>+91-0813770782</v>
      </c>
      <c r="F286" s="7" t="str">
        <f>Raw_Orders!C286</f>
        <v>7</v>
      </c>
      <c r="G286" s="7" t="str">
        <f>INDEX(Raw_Products!$B$2:$B$71,MATCH($F286,Raw_Products!$A$2:$A$71,0))</f>
        <v>Quos Set</v>
      </c>
      <c r="H286" s="7" t="str">
        <f>INDEX(Raw_Products!$C$2:$C$71,MATCH($F286,Raw_Products!$A$2:$A$71,0))</f>
        <v>Soft Toys</v>
      </c>
      <c r="I286" s="7">
        <f>VALUE(Raw_Orders!D286)</f>
        <v>5</v>
      </c>
      <c r="J286" s="11" t="str">
        <f>INDEX(Raw_Products!$D$2:$D$71,MATCH($F286,Raw_Products!$A$2:$A$71,0))</f>
        <v>409</v>
      </c>
      <c r="K286" s="11">
        <f t="shared" si="8"/>
        <v>2045</v>
      </c>
      <c r="L286" s="12">
        <f>DATE(VALUE(RIGHT(Raw_Orders!E286,4)),VALUE(MID(Raw_Orders!E286,4,2)),VALUE(LEFT(Raw_Orders!E286,2)))</f>
        <v>44983</v>
      </c>
      <c r="M286" s="12">
        <f>DATE(VALUE(RIGHT(Raw_Orders!G286,4)),VALUE(MID(Raw_Orders!G286,4,2)),VALUE(LEFT(Raw_Orders!G286,2)))</f>
        <v>44986</v>
      </c>
      <c r="N286" s="7">
        <f t="shared" si="9"/>
        <v>3</v>
      </c>
      <c r="O286" s="7" t="str">
        <f>Raw_Orders!J286</f>
        <v>Holi</v>
      </c>
      <c r="P286" s="7" t="str">
        <f>Raw_Orders!I286</f>
        <v>Tirunelveli</v>
      </c>
    </row>
    <row r="287" spans="1:16">
      <c r="A287" s="7" t="str">
        <f>Raw_Orders!A287</f>
        <v>286</v>
      </c>
      <c r="B287" s="7" t="str">
        <f>Raw_Orders!B287</f>
        <v>C098</v>
      </c>
      <c r="C287" s="7" t="str">
        <f>INDEX(Raw_Customers!$B$2:$B$101,MATCH($B287,Raw_Customers!$A$2:$A$101,0))</f>
        <v>Navya Golla</v>
      </c>
      <c r="D287" s="7" t="str">
        <f>TRIM(INDEX(Raw_Customers!$C$2:$C$101,MATCH($B287,Raw_Customers!$A$2:$A$101,0)))</f>
        <v>Cuttack</v>
      </c>
      <c r="E287" s="7" t="str">
        <f>"+91-"&amp;RIGHT("0000000000"&amp;INDEX(Raw_Customers!$D$2:$D$101,MATCH($B287,Raw_Customers!$A$2:$A$101,0)),10)</f>
        <v>+91-4461213936</v>
      </c>
      <c r="F287" s="7" t="str">
        <f>Raw_Orders!C287</f>
        <v>50</v>
      </c>
      <c r="G287" s="7" t="str">
        <f>INDEX(Raw_Products!$B$2:$B$71,MATCH($F287,Raw_Products!$A$2:$A$71,0))</f>
        <v>Eligendi Set</v>
      </c>
      <c r="H287" s="7" t="str">
        <f>INDEX(Raw_Products!$C$2:$C$71,MATCH($F287,Raw_Products!$A$2:$A$71,0))</f>
        <v>Plants</v>
      </c>
      <c r="I287" s="7">
        <f>VALUE(Raw_Orders!D287)</f>
        <v>3</v>
      </c>
      <c r="J287" s="11" t="str">
        <f>INDEX(Raw_Products!$D$2:$D$71,MATCH($F287,Raw_Products!$A$2:$A$71,0))</f>
        <v>422</v>
      </c>
      <c r="K287" s="11">
        <f t="shared" si="8"/>
        <v>1266</v>
      </c>
      <c r="L287" s="12">
        <f>DATE(VALUE(RIGHT(Raw_Orders!E287,4)),VALUE(MID(Raw_Orders!E287,4,2)),VALUE(LEFT(Raw_Orders!E287,2)))</f>
        <v>44991</v>
      </c>
      <c r="M287" s="12">
        <f>DATE(VALUE(RIGHT(Raw_Orders!G287,4)),VALUE(MID(Raw_Orders!G287,4,2)),VALUE(LEFT(Raw_Orders!G287,2)))</f>
        <v>44997</v>
      </c>
      <c r="N287" s="7">
        <f t="shared" si="9"/>
        <v>6</v>
      </c>
      <c r="O287" s="7" t="str">
        <f>Raw_Orders!J287</f>
        <v>Holi</v>
      </c>
      <c r="P287" s="7" t="str">
        <f>Raw_Orders!I287</f>
        <v>Mango</v>
      </c>
    </row>
    <row r="288" spans="1:16">
      <c r="A288" s="7" t="str">
        <f>Raw_Orders!A288</f>
        <v>287</v>
      </c>
      <c r="B288" s="7" t="str">
        <f>Raw_Orders!B288</f>
        <v>C011</v>
      </c>
      <c r="C288" s="7" t="str">
        <f>INDEX(Raw_Customers!$B$2:$B$101,MATCH($B288,Raw_Customers!$A$2:$A$101,0))</f>
        <v>Lagan Kapoor</v>
      </c>
      <c r="D288" s="7" t="str">
        <f>TRIM(INDEX(Raw_Customers!$C$2:$C$101,MATCH($B288,Raw_Customers!$A$2:$A$101,0)))</f>
        <v>Orai</v>
      </c>
      <c r="E288" s="7" t="str">
        <f>"+91-"&amp;RIGHT("0000000000"&amp;INDEX(Raw_Customers!$D$2:$D$101,MATCH($B288,Raw_Customers!$A$2:$A$101,0)),10)</f>
        <v>+91-6173563562</v>
      </c>
      <c r="F288" s="7" t="str">
        <f>Raw_Orders!C288</f>
        <v>7</v>
      </c>
      <c r="G288" s="7" t="str">
        <f>INDEX(Raw_Products!$B$2:$B$71,MATCH($F288,Raw_Products!$A$2:$A$71,0))</f>
        <v>Quos Set</v>
      </c>
      <c r="H288" s="7" t="str">
        <f>INDEX(Raw_Products!$C$2:$C$71,MATCH($F288,Raw_Products!$A$2:$A$71,0))</f>
        <v>Soft Toys</v>
      </c>
      <c r="I288" s="7">
        <f>VALUE(Raw_Orders!D288)</f>
        <v>5</v>
      </c>
      <c r="J288" s="11" t="str">
        <f>INDEX(Raw_Products!$D$2:$D$71,MATCH($F288,Raw_Products!$A$2:$A$71,0))</f>
        <v>409</v>
      </c>
      <c r="K288" s="11">
        <f t="shared" si="8"/>
        <v>2045</v>
      </c>
      <c r="L288" s="12">
        <f>DATE(VALUE(RIGHT(Raw_Orders!E288,4)),VALUE(MID(Raw_Orders!E288,4,2)),VALUE(LEFT(Raw_Orders!E288,2)))</f>
        <v>44988</v>
      </c>
      <c r="M288" s="12">
        <f>DATE(VALUE(RIGHT(Raw_Orders!G288,4)),VALUE(MID(Raw_Orders!G288,4,2)),VALUE(LEFT(Raw_Orders!G288,2)))</f>
        <v>44991</v>
      </c>
      <c r="N288" s="7">
        <f t="shared" si="9"/>
        <v>3</v>
      </c>
      <c r="O288" s="7" t="str">
        <f>Raw_Orders!J288</f>
        <v>Holi</v>
      </c>
      <c r="P288" s="7" t="str">
        <f>Raw_Orders!I288</f>
        <v>Muzaffarnagar</v>
      </c>
    </row>
    <row r="289" spans="1:16">
      <c r="A289" s="7" t="str">
        <f>Raw_Orders!A289</f>
        <v>288</v>
      </c>
      <c r="B289" s="7" t="str">
        <f>Raw_Orders!B289</f>
        <v>C035</v>
      </c>
      <c r="C289" s="7" t="str">
        <f>INDEX(Raw_Customers!$B$2:$B$101,MATCH($B289,Raw_Customers!$A$2:$A$101,0))</f>
        <v>Ira Sarna</v>
      </c>
      <c r="D289" s="7" t="str">
        <f>TRIM(INDEX(Raw_Customers!$C$2:$C$101,MATCH($B289,Raw_Customers!$A$2:$A$101,0)))</f>
        <v>Vellore</v>
      </c>
      <c r="E289" s="7" t="str">
        <f>"+91-"&amp;RIGHT("0000000000"&amp;INDEX(Raw_Customers!$D$2:$D$101,MATCH($B289,Raw_Customers!$A$2:$A$101,0)),10)</f>
        <v>+91-6899648374</v>
      </c>
      <c r="F289" s="7" t="str">
        <f>Raw_Orders!C289</f>
        <v>34</v>
      </c>
      <c r="G289" s="7" t="str">
        <f>INDEX(Raw_Products!$B$2:$B$71,MATCH($F289,Raw_Products!$A$2:$A$71,0))</f>
        <v>Placeat Pack</v>
      </c>
      <c r="H289" s="7" t="str">
        <f>INDEX(Raw_Products!$C$2:$C$71,MATCH($F289,Raw_Products!$A$2:$A$71,0))</f>
        <v>Soft Toys</v>
      </c>
      <c r="I289" s="7">
        <f>VALUE(Raw_Orders!D289)</f>
        <v>2</v>
      </c>
      <c r="J289" s="11" t="str">
        <f>INDEX(Raw_Products!$D$2:$D$71,MATCH($F289,Raw_Products!$A$2:$A$71,0))</f>
        <v>1335</v>
      </c>
      <c r="K289" s="11">
        <f t="shared" si="8"/>
        <v>2670</v>
      </c>
      <c r="L289" s="12">
        <f>DATE(VALUE(RIGHT(Raw_Orders!E289,4)),VALUE(MID(Raw_Orders!E289,4,2)),VALUE(LEFT(Raw_Orders!E289,2)))</f>
        <v>45159</v>
      </c>
      <c r="M289" s="12">
        <f>DATE(VALUE(RIGHT(Raw_Orders!G289,4)),VALUE(MID(Raw_Orders!G289,4,2)),VALUE(LEFT(Raw_Orders!G289,2)))</f>
        <v>45161</v>
      </c>
      <c r="N289" s="7">
        <f t="shared" si="9"/>
        <v>2</v>
      </c>
      <c r="O289" s="7" t="str">
        <f>Raw_Orders!J289</f>
        <v>Raksha Bandhan</v>
      </c>
      <c r="P289" s="7" t="str">
        <f>Raw_Orders!I289</f>
        <v>Ballia</v>
      </c>
    </row>
    <row r="290" spans="1:16">
      <c r="A290" s="7" t="str">
        <f>Raw_Orders!A290</f>
        <v>289</v>
      </c>
      <c r="B290" s="7" t="str">
        <f>Raw_Orders!B290</f>
        <v>C018</v>
      </c>
      <c r="C290" s="7" t="str">
        <f>INDEX(Raw_Customers!$B$2:$B$101,MATCH($B290,Raw_Customers!$A$2:$A$101,0))</f>
        <v>Eva Vaidya</v>
      </c>
      <c r="D290" s="7" t="str">
        <f>TRIM(INDEX(Raw_Customers!$C$2:$C$101,MATCH($B290,Raw_Customers!$A$2:$A$101,0)))</f>
        <v>Nizamabad</v>
      </c>
      <c r="E290" s="7" t="str">
        <f>"+91-"&amp;RIGHT("0000000000"&amp;INDEX(Raw_Customers!$D$2:$D$101,MATCH($B290,Raw_Customers!$A$2:$A$101,0)),10)</f>
        <v>+91-9080029661</v>
      </c>
      <c r="F290" s="7" t="str">
        <f>Raw_Orders!C290</f>
        <v>30</v>
      </c>
      <c r="G290" s="7" t="str">
        <f>INDEX(Raw_Products!$B$2:$B$71,MATCH($F290,Raw_Products!$A$2:$A$71,0))</f>
        <v>Recusandae Pack</v>
      </c>
      <c r="H290" s="7" t="str">
        <f>INDEX(Raw_Products!$C$2:$C$71,MATCH($F290,Raw_Products!$A$2:$A$71,0))</f>
        <v>Colors</v>
      </c>
      <c r="I290" s="7">
        <f>VALUE(Raw_Orders!D290)</f>
        <v>4</v>
      </c>
      <c r="J290" s="11" t="str">
        <f>INDEX(Raw_Products!$D$2:$D$71,MATCH($F290,Raw_Products!$A$2:$A$71,0))</f>
        <v>751</v>
      </c>
      <c r="K290" s="11">
        <f t="shared" si="8"/>
        <v>3004</v>
      </c>
      <c r="L290" s="12">
        <f>DATE(VALUE(RIGHT(Raw_Orders!E290,4)),VALUE(MID(Raw_Orders!E290,4,2)),VALUE(LEFT(Raw_Orders!E290,2)))</f>
        <v>45167</v>
      </c>
      <c r="M290" s="12">
        <f>DATE(VALUE(RIGHT(Raw_Orders!G290,4)),VALUE(MID(Raw_Orders!G290,4,2)),VALUE(LEFT(Raw_Orders!G290,2)))</f>
        <v>45175</v>
      </c>
      <c r="N290" s="7">
        <f t="shared" si="9"/>
        <v>8</v>
      </c>
      <c r="O290" s="7" t="str">
        <f>Raw_Orders!J290</f>
        <v>Anniversary</v>
      </c>
      <c r="P290" s="7" t="str">
        <f>Raw_Orders!I290</f>
        <v>Imphal</v>
      </c>
    </row>
    <row r="291" spans="1:16">
      <c r="A291" s="7" t="str">
        <f>Raw_Orders!A291</f>
        <v>290</v>
      </c>
      <c r="B291" s="7" t="str">
        <f>Raw_Orders!B291</f>
        <v>C079</v>
      </c>
      <c r="C291" s="7" t="str">
        <f>INDEX(Raw_Customers!$B$2:$B$101,MATCH($B291,Raw_Customers!$A$2:$A$101,0))</f>
        <v>Vedika Sankaran</v>
      </c>
      <c r="D291" s="7" t="str">
        <f>TRIM(INDEX(Raw_Customers!$C$2:$C$101,MATCH($B291,Raw_Customers!$A$2:$A$101,0)))</f>
        <v>Bhilai</v>
      </c>
      <c r="E291" s="7" t="str">
        <f>"+91-"&amp;RIGHT("0000000000"&amp;INDEX(Raw_Customers!$D$2:$D$101,MATCH($B291,Raw_Customers!$A$2:$A$101,0)),10)</f>
        <v>+91-7606054646</v>
      </c>
      <c r="F291" s="7" t="str">
        <f>Raw_Orders!C291</f>
        <v>69</v>
      </c>
      <c r="G291" s="7" t="str">
        <f>INDEX(Raw_Products!$B$2:$B$71,MATCH($F291,Raw_Products!$A$2:$A$71,0))</f>
        <v>Id Box</v>
      </c>
      <c r="H291" s="7" t="str">
        <f>INDEX(Raw_Products!$C$2:$C$71,MATCH($F291,Raw_Products!$A$2:$A$71,0))</f>
        <v>Cake</v>
      </c>
      <c r="I291" s="7">
        <f>VALUE(Raw_Orders!D291)</f>
        <v>3</v>
      </c>
      <c r="J291" s="11" t="str">
        <f>INDEX(Raw_Products!$D$2:$D$71,MATCH($F291,Raw_Products!$A$2:$A$71,0))</f>
        <v>998</v>
      </c>
      <c r="K291" s="11">
        <f t="shared" si="8"/>
        <v>2994</v>
      </c>
      <c r="L291" s="12">
        <f>DATE(VALUE(RIGHT(Raw_Orders!E291,4)),VALUE(MID(Raw_Orders!E291,4,2)),VALUE(LEFT(Raw_Orders!E291,2)))</f>
        <v>44991</v>
      </c>
      <c r="M291" s="12">
        <f>DATE(VALUE(RIGHT(Raw_Orders!G291,4)),VALUE(MID(Raw_Orders!G291,4,2)),VALUE(LEFT(Raw_Orders!G291,2)))</f>
        <v>44995</v>
      </c>
      <c r="N291" s="7">
        <f t="shared" si="9"/>
        <v>4</v>
      </c>
      <c r="O291" s="7" t="str">
        <f>Raw_Orders!J291</f>
        <v>Holi</v>
      </c>
      <c r="P291" s="7" t="str">
        <f>Raw_Orders!I291</f>
        <v>Alwar</v>
      </c>
    </row>
    <row r="292" spans="1:16">
      <c r="A292" s="7" t="str">
        <f>Raw_Orders!A292</f>
        <v>291</v>
      </c>
      <c r="B292" s="7" t="str">
        <f>Raw_Orders!B292</f>
        <v>C072</v>
      </c>
      <c r="C292" s="7" t="str">
        <f>INDEX(Raw_Customers!$B$2:$B$101,MATCH($B292,Raw_Customers!$A$2:$A$101,0))</f>
        <v>Charvi Karnik</v>
      </c>
      <c r="D292" s="7" t="str">
        <f>TRIM(INDEX(Raw_Customers!$C$2:$C$101,MATCH($B292,Raw_Customers!$A$2:$A$101,0)))</f>
        <v>Hyderabad</v>
      </c>
      <c r="E292" s="7" t="str">
        <f>"+91-"&amp;RIGHT("0000000000"&amp;INDEX(Raw_Customers!$D$2:$D$101,MATCH($B292,Raw_Customers!$A$2:$A$101,0)),10)</f>
        <v>+91-7573085232</v>
      </c>
      <c r="F292" s="7" t="str">
        <f>Raw_Orders!C292</f>
        <v>49</v>
      </c>
      <c r="G292" s="7" t="str">
        <f>INDEX(Raw_Products!$B$2:$B$71,MATCH($F292,Raw_Products!$A$2:$A$71,0))</f>
        <v>Voluptate Pack</v>
      </c>
      <c r="H292" s="7" t="str">
        <f>INDEX(Raw_Products!$C$2:$C$71,MATCH($F292,Raw_Products!$A$2:$A$71,0))</f>
        <v>Colors</v>
      </c>
      <c r="I292" s="7">
        <f>VALUE(Raw_Orders!D292)</f>
        <v>2</v>
      </c>
      <c r="J292" s="11" t="str">
        <f>INDEX(Raw_Products!$D$2:$D$71,MATCH($F292,Raw_Products!$A$2:$A$71,0))</f>
        <v>903</v>
      </c>
      <c r="K292" s="11">
        <f t="shared" si="8"/>
        <v>1806</v>
      </c>
      <c r="L292" s="12">
        <f>DATE(VALUE(RIGHT(Raw_Orders!E292,4)),VALUE(MID(Raw_Orders!E292,4,2)),VALUE(LEFT(Raw_Orders!E292,2)))</f>
        <v>44967</v>
      </c>
      <c r="M292" s="12">
        <f>DATE(VALUE(RIGHT(Raw_Orders!G292,4)),VALUE(MID(Raw_Orders!G292,4,2)),VALUE(LEFT(Raw_Orders!G292,2)))</f>
        <v>44968</v>
      </c>
      <c r="N292" s="7">
        <f t="shared" si="9"/>
        <v>1</v>
      </c>
      <c r="O292" s="7" t="str">
        <f>Raw_Orders!J292</f>
        <v>Valentine's Day</v>
      </c>
      <c r="P292" s="7" t="str">
        <f>Raw_Orders!I292</f>
        <v>Nadiad</v>
      </c>
    </row>
    <row r="293" spans="1:16">
      <c r="A293" s="7" t="str">
        <f>Raw_Orders!A293</f>
        <v>292</v>
      </c>
      <c r="B293" s="7" t="str">
        <f>Raw_Orders!B293</f>
        <v>C053</v>
      </c>
      <c r="C293" s="7" t="str">
        <f>INDEX(Raw_Customers!$B$2:$B$101,MATCH($B293,Raw_Customers!$A$2:$A$101,0))</f>
        <v>Kismat Kapadia</v>
      </c>
      <c r="D293" s="7" t="str">
        <f>TRIM(INDEX(Raw_Customers!$C$2:$C$101,MATCH($B293,Raw_Customers!$A$2:$A$101,0)))</f>
        <v>Bharatpur</v>
      </c>
      <c r="E293" s="7" t="str">
        <f>"+91-"&amp;RIGHT("0000000000"&amp;INDEX(Raw_Customers!$D$2:$D$101,MATCH($B293,Raw_Customers!$A$2:$A$101,0)),10)</f>
        <v>+91-8068004996</v>
      </c>
      <c r="F293" s="7" t="str">
        <f>Raw_Orders!C293</f>
        <v>54</v>
      </c>
      <c r="G293" s="7" t="str">
        <f>INDEX(Raw_Products!$B$2:$B$71,MATCH($F293,Raw_Products!$A$2:$A$71,0))</f>
        <v>Occaecati Gift</v>
      </c>
      <c r="H293" s="7" t="str">
        <f>INDEX(Raw_Products!$C$2:$C$71,MATCH($F293,Raw_Products!$A$2:$A$71,0))</f>
        <v>Cake</v>
      </c>
      <c r="I293" s="7">
        <f>VALUE(Raw_Orders!D293)</f>
        <v>1</v>
      </c>
      <c r="J293" s="11" t="str">
        <f>INDEX(Raw_Products!$D$2:$D$71,MATCH($F293,Raw_Products!$A$2:$A$71,0))</f>
        <v>1236</v>
      </c>
      <c r="K293" s="11">
        <f t="shared" si="8"/>
        <v>1236</v>
      </c>
      <c r="L293" s="12">
        <f>DATE(VALUE(RIGHT(Raw_Orders!E293,4)),VALUE(MID(Raw_Orders!E293,4,2)),VALUE(LEFT(Raw_Orders!E293,2)))</f>
        <v>45196</v>
      </c>
      <c r="M293" s="12">
        <f>DATE(VALUE(RIGHT(Raw_Orders!G293,4)),VALUE(MID(Raw_Orders!G293,4,2)),VALUE(LEFT(Raw_Orders!G293,2)))</f>
        <v>45202</v>
      </c>
      <c r="N293" s="7">
        <f t="shared" si="9"/>
        <v>6</v>
      </c>
      <c r="O293" s="7" t="str">
        <f>Raw_Orders!J293</f>
        <v>Anniversary</v>
      </c>
      <c r="P293" s="7" t="str">
        <f>Raw_Orders!I293</f>
        <v>Howrah</v>
      </c>
    </row>
    <row r="294" spans="1:16">
      <c r="A294" s="7" t="str">
        <f>Raw_Orders!A294</f>
        <v>293</v>
      </c>
      <c r="B294" s="7" t="str">
        <f>Raw_Orders!B294</f>
        <v>C003</v>
      </c>
      <c r="C294" s="7" t="str">
        <f>INDEX(Raw_Customers!$B$2:$B$101,MATCH($B294,Raw_Customers!$A$2:$A$101,0))</f>
        <v>Jayesh Lanka</v>
      </c>
      <c r="D294" s="7" t="str">
        <f>TRIM(INDEX(Raw_Customers!$C$2:$C$101,MATCH($B294,Raw_Customers!$A$2:$A$101,0)))</f>
        <v>Bilaspur</v>
      </c>
      <c r="E294" s="7" t="str">
        <f>"+91-"&amp;RIGHT("0000000000"&amp;INDEX(Raw_Customers!$D$2:$D$101,MATCH($B294,Raw_Customers!$A$2:$A$101,0)),10)</f>
        <v>+91-7400208126</v>
      </c>
      <c r="F294" s="7" t="str">
        <f>Raw_Orders!C294</f>
        <v>1</v>
      </c>
      <c r="G294" s="7" t="str">
        <f>INDEX(Raw_Products!$B$2:$B$71,MATCH($F294,Raw_Products!$A$2:$A$71,0))</f>
        <v>Magnam Set</v>
      </c>
      <c r="H294" s="7" t="str">
        <f>INDEX(Raw_Products!$C$2:$C$71,MATCH($F294,Raw_Products!$A$2:$A$71,0))</f>
        <v>Soft Toys</v>
      </c>
      <c r="I294" s="7">
        <f>VALUE(Raw_Orders!D294)</f>
        <v>4</v>
      </c>
      <c r="J294" s="11" t="str">
        <f>INDEX(Raw_Products!$D$2:$D$71,MATCH($F294,Raw_Products!$A$2:$A$71,0))</f>
        <v>1935</v>
      </c>
      <c r="K294" s="11">
        <f t="shared" si="8"/>
        <v>7740</v>
      </c>
      <c r="L294" s="12">
        <f>DATE(VALUE(RIGHT(Raw_Orders!E294,4)),VALUE(MID(Raw_Orders!E294,4,2)),VALUE(LEFT(Raw_Orders!E294,2)))</f>
        <v>45173</v>
      </c>
      <c r="M294" s="12">
        <f>DATE(VALUE(RIGHT(Raw_Orders!G294,4)),VALUE(MID(Raw_Orders!G294,4,2)),VALUE(LEFT(Raw_Orders!G294,2)))</f>
        <v>45178</v>
      </c>
      <c r="N294" s="7">
        <f t="shared" si="9"/>
        <v>5</v>
      </c>
      <c r="O294" s="7" t="str">
        <f>Raw_Orders!J294</f>
        <v>All Occasions</v>
      </c>
      <c r="P294" s="7" t="str">
        <f>Raw_Orders!I294</f>
        <v>Tezpur</v>
      </c>
    </row>
    <row r="295" spans="1:16">
      <c r="A295" s="7" t="str">
        <f>Raw_Orders!A295</f>
        <v>294</v>
      </c>
      <c r="B295" s="7" t="str">
        <f>Raw_Orders!B295</f>
        <v>C047</v>
      </c>
      <c r="C295" s="7" t="str">
        <f>INDEX(Raw_Customers!$B$2:$B$101,MATCH($B295,Raw_Customers!$A$2:$A$101,0))</f>
        <v>Bhamini Ravi</v>
      </c>
      <c r="D295" s="7" t="str">
        <f>TRIM(INDEX(Raw_Customers!$C$2:$C$101,MATCH($B295,Raw_Customers!$A$2:$A$101,0)))</f>
        <v>Jorhat</v>
      </c>
      <c r="E295" s="7" t="str">
        <f>"+91-"&amp;RIGHT("0000000000"&amp;INDEX(Raw_Customers!$D$2:$D$101,MATCH($B295,Raw_Customers!$A$2:$A$101,0)),10)</f>
        <v>+91-0798274175</v>
      </c>
      <c r="F295" s="7" t="str">
        <f>Raw_Orders!C295</f>
        <v>26</v>
      </c>
      <c r="G295" s="7" t="str">
        <f>INDEX(Raw_Products!$B$2:$B$71,MATCH($F295,Raw_Products!$A$2:$A$71,0))</f>
        <v>Aliquam Box</v>
      </c>
      <c r="H295" s="7" t="str">
        <f>INDEX(Raw_Products!$C$2:$C$71,MATCH($F295,Raw_Products!$A$2:$A$71,0))</f>
        <v>Colors</v>
      </c>
      <c r="I295" s="7">
        <f>VALUE(Raw_Orders!D295)</f>
        <v>5</v>
      </c>
      <c r="J295" s="11" t="str">
        <f>INDEX(Raw_Products!$D$2:$D$71,MATCH($F295,Raw_Products!$A$2:$A$71,0))</f>
        <v>289</v>
      </c>
      <c r="K295" s="11">
        <f t="shared" si="8"/>
        <v>1445</v>
      </c>
      <c r="L295" s="12">
        <f>DATE(VALUE(RIGHT(Raw_Orders!E295,4)),VALUE(MID(Raw_Orders!E295,4,2)),VALUE(LEFT(Raw_Orders!E295,2)))</f>
        <v>44986</v>
      </c>
      <c r="M295" s="12">
        <f>DATE(VALUE(RIGHT(Raw_Orders!G295,4)),VALUE(MID(Raw_Orders!G295,4,2)),VALUE(LEFT(Raw_Orders!G295,2)))</f>
        <v>44988</v>
      </c>
      <c r="N295" s="7">
        <f t="shared" si="9"/>
        <v>2</v>
      </c>
      <c r="O295" s="7" t="str">
        <f>Raw_Orders!J295</f>
        <v>Holi</v>
      </c>
      <c r="P295" s="7" t="str">
        <f>Raw_Orders!I295</f>
        <v>Nagpur</v>
      </c>
    </row>
    <row r="296" spans="1:16">
      <c r="A296" s="7" t="str">
        <f>Raw_Orders!A296</f>
        <v>295</v>
      </c>
      <c r="B296" s="7" t="str">
        <f>Raw_Orders!B296</f>
        <v>C079</v>
      </c>
      <c r="C296" s="7" t="str">
        <f>INDEX(Raw_Customers!$B$2:$B$101,MATCH($B296,Raw_Customers!$A$2:$A$101,0))</f>
        <v>Vedika Sankaran</v>
      </c>
      <c r="D296" s="7" t="str">
        <f>TRIM(INDEX(Raw_Customers!$C$2:$C$101,MATCH($B296,Raw_Customers!$A$2:$A$101,0)))</f>
        <v>Bhilai</v>
      </c>
      <c r="E296" s="7" t="str">
        <f>"+91-"&amp;RIGHT("0000000000"&amp;INDEX(Raw_Customers!$D$2:$D$101,MATCH($B296,Raw_Customers!$A$2:$A$101,0)),10)</f>
        <v>+91-7606054646</v>
      </c>
      <c r="F296" s="7" t="str">
        <f>Raw_Orders!C296</f>
        <v>18</v>
      </c>
      <c r="G296" s="7" t="str">
        <f>INDEX(Raw_Products!$B$2:$B$71,MATCH($F296,Raw_Products!$A$2:$A$71,0))</f>
        <v>Nemo Set</v>
      </c>
      <c r="H296" s="7" t="str">
        <f>INDEX(Raw_Products!$C$2:$C$71,MATCH($F296,Raw_Products!$A$2:$A$71,0))</f>
        <v>Plants</v>
      </c>
      <c r="I296" s="7">
        <f>VALUE(Raw_Orders!D296)</f>
        <v>1</v>
      </c>
      <c r="J296" s="11" t="str">
        <f>INDEX(Raw_Products!$D$2:$D$71,MATCH($F296,Raw_Products!$A$2:$A$71,0))</f>
        <v>781</v>
      </c>
      <c r="K296" s="11">
        <f t="shared" si="8"/>
        <v>781</v>
      </c>
      <c r="L296" s="12">
        <f>DATE(VALUE(RIGHT(Raw_Orders!E296,4)),VALUE(MID(Raw_Orders!E296,4,2)),VALUE(LEFT(Raw_Orders!E296,2)))</f>
        <v>45075</v>
      </c>
      <c r="M296" s="12">
        <f>DATE(VALUE(RIGHT(Raw_Orders!G296,4)),VALUE(MID(Raw_Orders!G296,4,2)),VALUE(LEFT(Raw_Orders!G296,2)))</f>
        <v>45079</v>
      </c>
      <c r="N296" s="7">
        <f t="shared" si="9"/>
        <v>4</v>
      </c>
      <c r="O296" s="7" t="str">
        <f>Raw_Orders!J296</f>
        <v>Birthday</v>
      </c>
      <c r="P296" s="7" t="str">
        <f>Raw_Orders!I296</f>
        <v>Tadepalligudem</v>
      </c>
    </row>
    <row r="297" spans="1:16">
      <c r="A297" s="7" t="str">
        <f>Raw_Orders!A297</f>
        <v>296</v>
      </c>
      <c r="B297" s="7" t="str">
        <f>Raw_Orders!B297</f>
        <v>C081</v>
      </c>
      <c r="C297" s="7" t="str">
        <f>INDEX(Raw_Customers!$B$2:$B$101,MATCH($B297,Raw_Customers!$A$2:$A$101,0))</f>
        <v>Kaira Ramachandran</v>
      </c>
      <c r="D297" s="7" t="str">
        <f>TRIM(INDEX(Raw_Customers!$C$2:$C$101,MATCH($B297,Raw_Customers!$A$2:$A$101,0)))</f>
        <v>Ratlam</v>
      </c>
      <c r="E297" s="7" t="str">
        <f>"+91-"&amp;RIGHT("0000000000"&amp;INDEX(Raw_Customers!$D$2:$D$101,MATCH($B297,Raw_Customers!$A$2:$A$101,0)),10)</f>
        <v>+91-4987395025</v>
      </c>
      <c r="F297" s="7" t="str">
        <f>Raw_Orders!C297</f>
        <v>70</v>
      </c>
      <c r="G297" s="7" t="str">
        <f>INDEX(Raw_Products!$B$2:$B$71,MATCH($F297,Raw_Products!$A$2:$A$71,0))</f>
        <v>Error Gift</v>
      </c>
      <c r="H297" s="7" t="str">
        <f>INDEX(Raw_Products!$C$2:$C$71,MATCH($F297,Raw_Products!$A$2:$A$71,0))</f>
        <v>Sweets</v>
      </c>
      <c r="I297" s="7">
        <f>VALUE(Raw_Orders!D297)</f>
        <v>5</v>
      </c>
      <c r="J297" s="11" t="str">
        <f>INDEX(Raw_Products!$D$2:$D$71,MATCH($F297,Raw_Products!$A$2:$A$71,0))</f>
        <v>866</v>
      </c>
      <c r="K297" s="11">
        <f t="shared" si="8"/>
        <v>4330</v>
      </c>
      <c r="L297" s="12">
        <f>DATE(VALUE(RIGHT(Raw_Orders!E297,4)),VALUE(MID(Raw_Orders!E297,4,2)),VALUE(LEFT(Raw_Orders!E297,2)))</f>
        <v>45017</v>
      </c>
      <c r="M297" s="12">
        <f>DATE(VALUE(RIGHT(Raw_Orders!G297,4)),VALUE(MID(Raw_Orders!G297,4,2)),VALUE(LEFT(Raw_Orders!G297,2)))</f>
        <v>45027</v>
      </c>
      <c r="N297" s="7">
        <f t="shared" si="9"/>
        <v>10</v>
      </c>
      <c r="O297" s="7" t="str">
        <f>Raw_Orders!J297</f>
        <v>Birthday</v>
      </c>
      <c r="P297" s="7" t="str">
        <f>Raw_Orders!I297</f>
        <v>Tirunelveli</v>
      </c>
    </row>
    <row r="298" spans="1:16">
      <c r="A298" s="7" t="str">
        <f>Raw_Orders!A298</f>
        <v>297</v>
      </c>
      <c r="B298" s="7" t="str">
        <f>Raw_Orders!B298</f>
        <v>C047</v>
      </c>
      <c r="C298" s="7" t="str">
        <f>INDEX(Raw_Customers!$B$2:$B$101,MATCH($B298,Raw_Customers!$A$2:$A$101,0))</f>
        <v>Bhamini Ravi</v>
      </c>
      <c r="D298" s="7" t="str">
        <f>TRIM(INDEX(Raw_Customers!$C$2:$C$101,MATCH($B298,Raw_Customers!$A$2:$A$101,0)))</f>
        <v>Jorhat</v>
      </c>
      <c r="E298" s="7" t="str">
        <f>"+91-"&amp;RIGHT("0000000000"&amp;INDEX(Raw_Customers!$D$2:$D$101,MATCH($B298,Raw_Customers!$A$2:$A$101,0)),10)</f>
        <v>+91-0798274175</v>
      </c>
      <c r="F298" s="7" t="str">
        <f>Raw_Orders!C298</f>
        <v>13</v>
      </c>
      <c r="G298" s="7" t="str">
        <f>INDEX(Raw_Products!$B$2:$B$71,MATCH($F298,Raw_Products!$A$2:$A$71,0))</f>
        <v>Et Set</v>
      </c>
      <c r="H298" s="7" t="str">
        <f>INDEX(Raw_Products!$C$2:$C$71,MATCH($F298,Raw_Products!$A$2:$A$71,0))</f>
        <v>Mugs</v>
      </c>
      <c r="I298" s="7">
        <f>VALUE(Raw_Orders!D298)</f>
        <v>3</v>
      </c>
      <c r="J298" s="11" t="str">
        <f>INDEX(Raw_Products!$D$2:$D$71,MATCH($F298,Raw_Products!$A$2:$A$71,0))</f>
        <v>1141</v>
      </c>
      <c r="K298" s="11">
        <f t="shared" si="8"/>
        <v>3423</v>
      </c>
      <c r="L298" s="12">
        <f>DATE(VALUE(RIGHT(Raw_Orders!E298,4)),VALUE(MID(Raw_Orders!E298,4,2)),VALUE(LEFT(Raw_Orders!E298,2)))</f>
        <v>44985</v>
      </c>
      <c r="M298" s="12">
        <f>DATE(VALUE(RIGHT(Raw_Orders!G298,4)),VALUE(MID(Raw_Orders!G298,4,2)),VALUE(LEFT(Raw_Orders!G298,2)))</f>
        <v>44990</v>
      </c>
      <c r="N298" s="7">
        <f t="shared" si="9"/>
        <v>5</v>
      </c>
      <c r="O298" s="7" t="str">
        <f>Raw_Orders!J298</f>
        <v>Holi</v>
      </c>
      <c r="P298" s="7" t="str">
        <f>Raw_Orders!I298</f>
        <v>Phagwara</v>
      </c>
    </row>
    <row r="299" spans="1:16">
      <c r="A299" s="7" t="str">
        <f>Raw_Orders!A299</f>
        <v>298</v>
      </c>
      <c r="B299" s="7" t="str">
        <f>Raw_Orders!B299</f>
        <v>C057</v>
      </c>
      <c r="C299" s="7" t="str">
        <f>INDEX(Raw_Customers!$B$2:$B$101,MATCH($B299,Raw_Customers!$A$2:$A$101,0))</f>
        <v>Zain Hegde</v>
      </c>
      <c r="D299" s="7" t="str">
        <f>TRIM(INDEX(Raw_Customers!$C$2:$C$101,MATCH($B299,Raw_Customers!$A$2:$A$101,0)))</f>
        <v>Delhi</v>
      </c>
      <c r="E299" s="7" t="str">
        <f>"+91-"&amp;RIGHT("0000000000"&amp;INDEX(Raw_Customers!$D$2:$D$101,MATCH($B299,Raw_Customers!$A$2:$A$101,0)),10)</f>
        <v>+91-8736997123</v>
      </c>
      <c r="F299" s="7" t="str">
        <f>Raw_Orders!C299</f>
        <v>3</v>
      </c>
      <c r="G299" s="7" t="str">
        <f>INDEX(Raw_Products!$B$2:$B$71,MATCH($F299,Raw_Products!$A$2:$A$71,0))</f>
        <v>Eius Gift</v>
      </c>
      <c r="H299" s="7" t="str">
        <f>INDEX(Raw_Products!$C$2:$C$71,MATCH($F299,Raw_Products!$A$2:$A$71,0))</f>
        <v>Colors</v>
      </c>
      <c r="I299" s="7">
        <f>VALUE(Raw_Orders!D299)</f>
        <v>1</v>
      </c>
      <c r="J299" s="11" t="str">
        <f>INDEX(Raw_Products!$D$2:$D$71,MATCH($F299,Raw_Products!$A$2:$A$71,0))</f>
        <v>1534</v>
      </c>
      <c r="K299" s="11">
        <f t="shared" si="8"/>
        <v>1534</v>
      </c>
      <c r="L299" s="12">
        <f>DATE(VALUE(RIGHT(Raw_Orders!E299,4)),VALUE(MID(Raw_Orders!E299,4,2)),VALUE(LEFT(Raw_Orders!E299,2)))</f>
        <v>44968</v>
      </c>
      <c r="M299" s="12">
        <f>DATE(VALUE(RIGHT(Raw_Orders!G299,4)),VALUE(MID(Raw_Orders!G299,4,2)),VALUE(LEFT(Raw_Orders!G299,2)))</f>
        <v>44969</v>
      </c>
      <c r="N299" s="7">
        <f t="shared" si="9"/>
        <v>1</v>
      </c>
      <c r="O299" s="7" t="str">
        <f>Raw_Orders!J299</f>
        <v>Valentine's Day</v>
      </c>
      <c r="P299" s="7" t="str">
        <f>Raw_Orders!I299</f>
        <v>Bahraich</v>
      </c>
    </row>
    <row r="300" spans="1:16">
      <c r="A300" s="7" t="str">
        <f>Raw_Orders!A300</f>
        <v>299</v>
      </c>
      <c r="B300" s="7" t="str">
        <f>Raw_Orders!B300</f>
        <v>C091</v>
      </c>
      <c r="C300" s="7" t="str">
        <f>INDEX(Raw_Customers!$B$2:$B$101,MATCH($B300,Raw_Customers!$A$2:$A$101,0))</f>
        <v>Adira Rajan</v>
      </c>
      <c r="D300" s="7" t="str">
        <f>TRIM(INDEX(Raw_Customers!$C$2:$C$101,MATCH($B300,Raw_Customers!$A$2:$A$101,0)))</f>
        <v>New Delhi</v>
      </c>
      <c r="E300" s="7" t="str">
        <f>"+91-"&amp;RIGHT("0000000000"&amp;INDEX(Raw_Customers!$D$2:$D$101,MATCH($B300,Raw_Customers!$A$2:$A$101,0)),10)</f>
        <v>+91-5525478357</v>
      </c>
      <c r="F300" s="7" t="str">
        <f>Raw_Orders!C300</f>
        <v>8</v>
      </c>
      <c r="G300" s="7" t="str">
        <f>INDEX(Raw_Products!$B$2:$B$71,MATCH($F300,Raw_Products!$A$2:$A$71,0))</f>
        <v>Qui Box</v>
      </c>
      <c r="H300" s="7" t="str">
        <f>INDEX(Raw_Products!$C$2:$C$71,MATCH($F300,Raw_Products!$A$2:$A$71,0))</f>
        <v>Sweets</v>
      </c>
      <c r="I300" s="7">
        <f>VALUE(Raw_Orders!D300)</f>
        <v>5</v>
      </c>
      <c r="J300" s="11" t="str">
        <f>INDEX(Raw_Products!$D$2:$D$71,MATCH($F300,Raw_Products!$A$2:$A$71,0))</f>
        <v>252</v>
      </c>
      <c r="K300" s="11">
        <f t="shared" si="8"/>
        <v>1260</v>
      </c>
      <c r="L300" s="12">
        <f>DATE(VALUE(RIGHT(Raw_Orders!E300,4)),VALUE(MID(Raw_Orders!E300,4,2)),VALUE(LEFT(Raw_Orders!E300,2)))</f>
        <v>45238</v>
      </c>
      <c r="M300" s="12">
        <f>DATE(VALUE(RIGHT(Raw_Orders!G300,4)),VALUE(MID(Raw_Orders!G300,4,2)),VALUE(LEFT(Raw_Orders!G300,2)))</f>
        <v>45247</v>
      </c>
      <c r="N300" s="7">
        <f t="shared" si="9"/>
        <v>9</v>
      </c>
      <c r="O300" s="7" t="str">
        <f>Raw_Orders!J300</f>
        <v>Anniversary</v>
      </c>
      <c r="P300" s="7" t="str">
        <f>Raw_Orders!I300</f>
        <v>Vellore</v>
      </c>
    </row>
    <row r="301" spans="1:16">
      <c r="A301" s="7" t="str">
        <f>Raw_Orders!A301</f>
        <v>300</v>
      </c>
      <c r="B301" s="7" t="str">
        <f>Raw_Orders!B301</f>
        <v>C032</v>
      </c>
      <c r="C301" s="7" t="str">
        <f>INDEX(Raw_Customers!$B$2:$B$101,MATCH($B301,Raw_Customers!$A$2:$A$101,0))</f>
        <v>Mannat Anand</v>
      </c>
      <c r="D301" s="7" t="str">
        <f>TRIM(INDEX(Raw_Customers!$C$2:$C$101,MATCH($B301,Raw_Customers!$A$2:$A$101,0)))</f>
        <v>Surat</v>
      </c>
      <c r="E301" s="7" t="str">
        <f>"+91-"&amp;RIGHT("0000000000"&amp;INDEX(Raw_Customers!$D$2:$D$101,MATCH($B301,Raw_Customers!$A$2:$A$101,0)),10)</f>
        <v>+91-1611365500</v>
      </c>
      <c r="F301" s="7" t="str">
        <f>Raw_Orders!C301</f>
        <v>22</v>
      </c>
      <c r="G301" s="7" t="str">
        <f>INDEX(Raw_Products!$B$2:$B$71,MATCH($F301,Raw_Products!$A$2:$A$71,0))</f>
        <v>Exercitationem Pack</v>
      </c>
      <c r="H301" s="7" t="str">
        <f>INDEX(Raw_Products!$C$2:$C$71,MATCH($F301,Raw_Products!$A$2:$A$71,0))</f>
        <v>Soft Toys</v>
      </c>
      <c r="I301" s="7">
        <f>VALUE(Raw_Orders!D301)</f>
        <v>1</v>
      </c>
      <c r="J301" s="11" t="str">
        <f>INDEX(Raw_Products!$D$2:$D$71,MATCH($F301,Raw_Products!$A$2:$A$71,0))</f>
        <v>1639</v>
      </c>
      <c r="K301" s="11">
        <f t="shared" si="8"/>
        <v>1639</v>
      </c>
      <c r="L301" s="12">
        <f>DATE(VALUE(RIGHT(Raw_Orders!E301,4)),VALUE(MID(Raw_Orders!E301,4,2)),VALUE(LEFT(Raw_Orders!E301,2)))</f>
        <v>45167</v>
      </c>
      <c r="M301" s="12">
        <f>DATE(VALUE(RIGHT(Raw_Orders!G301,4)),VALUE(MID(Raw_Orders!G301,4,2)),VALUE(LEFT(Raw_Orders!G301,2)))</f>
        <v>45177</v>
      </c>
      <c r="N301" s="7">
        <f t="shared" si="9"/>
        <v>10</v>
      </c>
      <c r="O301" s="7" t="str">
        <f>Raw_Orders!J301</f>
        <v>All Occasions</v>
      </c>
      <c r="P301" s="7" t="str">
        <f>Raw_Orders!I301</f>
        <v>Tinsukia</v>
      </c>
    </row>
    <row r="302" spans="1:16">
      <c r="A302" s="7" t="str">
        <f>Raw_Orders!A302</f>
        <v>301</v>
      </c>
      <c r="B302" s="7" t="str">
        <f>Raw_Orders!B302</f>
        <v>C070</v>
      </c>
      <c r="C302" s="7" t="str">
        <f>INDEX(Raw_Customers!$B$2:$B$101,MATCH($B302,Raw_Customers!$A$2:$A$101,0))</f>
        <v>Emir Gokhale</v>
      </c>
      <c r="D302" s="7" t="str">
        <f>TRIM(INDEX(Raw_Customers!$C$2:$C$101,MATCH($B302,Raw_Customers!$A$2:$A$101,0)))</f>
        <v>Bhatpara</v>
      </c>
      <c r="E302" s="7" t="str">
        <f>"+91-"&amp;RIGHT("0000000000"&amp;INDEX(Raw_Customers!$D$2:$D$101,MATCH($B302,Raw_Customers!$A$2:$A$101,0)),10)</f>
        <v>+91-3859920805</v>
      </c>
      <c r="F302" s="7" t="str">
        <f>Raw_Orders!C302</f>
        <v>6</v>
      </c>
      <c r="G302" s="7" t="str">
        <f>INDEX(Raw_Products!$B$2:$B$71,MATCH($F302,Raw_Products!$A$2:$A$71,0))</f>
        <v>Quos Box</v>
      </c>
      <c r="H302" s="7" t="str">
        <f>INDEX(Raw_Products!$C$2:$C$71,MATCH($F302,Raw_Products!$A$2:$A$71,0))</f>
        <v>Cake</v>
      </c>
      <c r="I302" s="7">
        <f>VALUE(Raw_Orders!D302)</f>
        <v>3</v>
      </c>
      <c r="J302" s="11" t="str">
        <f>INDEX(Raw_Products!$D$2:$D$71,MATCH($F302,Raw_Products!$A$2:$A$71,0))</f>
        <v>1112</v>
      </c>
      <c r="K302" s="11">
        <f t="shared" si="8"/>
        <v>3336</v>
      </c>
      <c r="L302" s="12">
        <f>DATE(VALUE(RIGHT(Raw_Orders!E302,4)),VALUE(MID(Raw_Orders!E302,4,2)),VALUE(LEFT(Raw_Orders!E302,2)))</f>
        <v>44984</v>
      </c>
      <c r="M302" s="12">
        <f>DATE(VALUE(RIGHT(Raw_Orders!G302,4)),VALUE(MID(Raw_Orders!G302,4,2)),VALUE(LEFT(Raw_Orders!G302,2)))</f>
        <v>44989</v>
      </c>
      <c r="N302" s="7">
        <f t="shared" si="9"/>
        <v>5</v>
      </c>
      <c r="O302" s="7" t="str">
        <f>Raw_Orders!J302</f>
        <v>Holi</v>
      </c>
      <c r="P302" s="7" t="str">
        <f>Raw_Orders!I302</f>
        <v>Kota</v>
      </c>
    </row>
    <row r="303" spans="1:16">
      <c r="A303" s="7" t="str">
        <f>Raw_Orders!A303</f>
        <v>302</v>
      </c>
      <c r="B303" s="7" t="str">
        <f>Raw_Orders!B303</f>
        <v>C071</v>
      </c>
      <c r="C303" s="7" t="str">
        <f>INDEX(Raw_Customers!$B$2:$B$101,MATCH($B303,Raw_Customers!$A$2:$A$101,0))</f>
        <v>Purab Sheth</v>
      </c>
      <c r="D303" s="7" t="str">
        <f>TRIM(INDEX(Raw_Customers!$C$2:$C$101,MATCH($B303,Raw_Customers!$A$2:$A$101,0)))</f>
        <v>Tiruppur</v>
      </c>
      <c r="E303" s="7" t="str">
        <f>"+91-"&amp;RIGHT("0000000000"&amp;INDEX(Raw_Customers!$D$2:$D$101,MATCH($B303,Raw_Customers!$A$2:$A$101,0)),10)</f>
        <v>+91-8410472405</v>
      </c>
      <c r="F303" s="7" t="str">
        <f>Raw_Orders!C303</f>
        <v>25</v>
      </c>
      <c r="G303" s="7" t="str">
        <f>INDEX(Raw_Products!$B$2:$B$71,MATCH($F303,Raw_Products!$A$2:$A$71,0))</f>
        <v>Qui Gift</v>
      </c>
      <c r="H303" s="7" t="str">
        <f>INDEX(Raw_Products!$C$2:$C$71,MATCH($F303,Raw_Products!$A$2:$A$71,0))</f>
        <v>Plants</v>
      </c>
      <c r="I303" s="7">
        <f>VALUE(Raw_Orders!D303)</f>
        <v>4</v>
      </c>
      <c r="J303" s="11" t="str">
        <f>INDEX(Raw_Products!$D$2:$D$71,MATCH($F303,Raw_Products!$A$2:$A$71,0))</f>
        <v>1202</v>
      </c>
      <c r="K303" s="11">
        <f t="shared" si="8"/>
        <v>4808</v>
      </c>
      <c r="L303" s="12">
        <f>DATE(VALUE(RIGHT(Raw_Orders!E303,4)),VALUE(MID(Raw_Orders!E303,4,2)),VALUE(LEFT(Raw_Orders!E303,2)))</f>
        <v>45223</v>
      </c>
      <c r="M303" s="12">
        <f>DATE(VALUE(RIGHT(Raw_Orders!G303,4)),VALUE(MID(Raw_Orders!G303,4,2)),VALUE(LEFT(Raw_Orders!G303,2)))</f>
        <v>45224</v>
      </c>
      <c r="N303" s="7">
        <f t="shared" si="9"/>
        <v>1</v>
      </c>
      <c r="O303" s="7" t="str">
        <f>Raw_Orders!J303</f>
        <v>Anniversary</v>
      </c>
      <c r="P303" s="7" t="str">
        <f>Raw_Orders!I303</f>
        <v>Dhanbad</v>
      </c>
    </row>
    <row r="304" spans="1:16">
      <c r="A304" s="7" t="str">
        <f>Raw_Orders!A304</f>
        <v>303</v>
      </c>
      <c r="B304" s="7" t="str">
        <f>Raw_Orders!B304</f>
        <v>C051</v>
      </c>
      <c r="C304" s="7" t="str">
        <f>INDEX(Raw_Customers!$B$2:$B$101,MATCH($B304,Raw_Customers!$A$2:$A$101,0))</f>
        <v>Aradhya Batta</v>
      </c>
      <c r="D304" s="7" t="str">
        <f>TRIM(INDEX(Raw_Customers!$C$2:$C$101,MATCH($B304,Raw_Customers!$A$2:$A$101,0)))</f>
        <v>Kota</v>
      </c>
      <c r="E304" s="7" t="str">
        <f>"+91-"&amp;RIGHT("0000000000"&amp;INDEX(Raw_Customers!$D$2:$D$101,MATCH($B304,Raw_Customers!$A$2:$A$101,0)),10)</f>
        <v>+91-1200621501</v>
      </c>
      <c r="F304" s="7" t="str">
        <f>Raw_Orders!C304</f>
        <v>14</v>
      </c>
      <c r="G304" s="7" t="str">
        <f>INDEX(Raw_Products!$B$2:$B$71,MATCH($F304,Raw_Products!$A$2:$A$71,0))</f>
        <v>Deserunt Box</v>
      </c>
      <c r="H304" s="7" t="str">
        <f>INDEX(Raw_Products!$C$2:$C$71,MATCH($F304,Raw_Products!$A$2:$A$71,0))</f>
        <v>Colors</v>
      </c>
      <c r="I304" s="7">
        <f>VALUE(Raw_Orders!D304)</f>
        <v>1</v>
      </c>
      <c r="J304" s="11" t="str">
        <f>INDEX(Raw_Products!$D$2:$D$71,MATCH($F304,Raw_Products!$A$2:$A$71,0))</f>
        <v>1915</v>
      </c>
      <c r="K304" s="11">
        <f t="shared" si="8"/>
        <v>1915</v>
      </c>
      <c r="L304" s="12">
        <f>DATE(VALUE(RIGHT(Raw_Orders!E304,4)),VALUE(MID(Raw_Orders!E304,4,2)),VALUE(LEFT(Raw_Orders!E304,2)))</f>
        <v>45250</v>
      </c>
      <c r="M304" s="12">
        <f>DATE(VALUE(RIGHT(Raw_Orders!G304,4)),VALUE(MID(Raw_Orders!G304,4,2)),VALUE(LEFT(Raw_Orders!G304,2)))</f>
        <v>45259</v>
      </c>
      <c r="N304" s="7">
        <f t="shared" si="9"/>
        <v>9</v>
      </c>
      <c r="O304" s="7" t="str">
        <f>Raw_Orders!J304</f>
        <v>Birthday</v>
      </c>
      <c r="P304" s="7" t="str">
        <f>Raw_Orders!I304</f>
        <v>Narasaraopet</v>
      </c>
    </row>
    <row r="305" spans="1:16">
      <c r="A305" s="7" t="str">
        <f>Raw_Orders!A305</f>
        <v>304</v>
      </c>
      <c r="B305" s="7" t="str">
        <f>Raw_Orders!B305</f>
        <v>C088</v>
      </c>
      <c r="C305" s="7" t="str">
        <f>INDEX(Raw_Customers!$B$2:$B$101,MATCH($B305,Raw_Customers!$A$2:$A$101,0))</f>
        <v>Shalv Kulkarni</v>
      </c>
      <c r="D305" s="7" t="str">
        <f>TRIM(INDEX(Raw_Customers!$C$2:$C$101,MATCH($B305,Raw_Customers!$A$2:$A$101,0)))</f>
        <v>Khora</v>
      </c>
      <c r="E305" s="7" t="str">
        <f>"+91-"&amp;RIGHT("0000000000"&amp;INDEX(Raw_Customers!$D$2:$D$101,MATCH($B305,Raw_Customers!$A$2:$A$101,0)),10)</f>
        <v>+91-9113488461</v>
      </c>
      <c r="F305" s="7" t="str">
        <f>Raw_Orders!C305</f>
        <v>67</v>
      </c>
      <c r="G305" s="7" t="str">
        <f>INDEX(Raw_Products!$B$2:$B$71,MATCH($F305,Raw_Products!$A$2:$A$71,0))</f>
        <v>Maiores Box</v>
      </c>
      <c r="H305" s="7" t="str">
        <f>INDEX(Raw_Products!$C$2:$C$71,MATCH($F305,Raw_Products!$A$2:$A$71,0))</f>
        <v>Raksha Bandhan</v>
      </c>
      <c r="I305" s="7">
        <f>VALUE(Raw_Orders!D305)</f>
        <v>3</v>
      </c>
      <c r="J305" s="11" t="str">
        <f>INDEX(Raw_Products!$D$2:$D$71,MATCH($F305,Raw_Products!$A$2:$A$71,0))</f>
        <v>1374</v>
      </c>
      <c r="K305" s="11">
        <f t="shared" si="8"/>
        <v>4122</v>
      </c>
      <c r="L305" s="12">
        <f>DATE(VALUE(RIGHT(Raw_Orders!E305,4)),VALUE(MID(Raw_Orders!E305,4,2)),VALUE(LEFT(Raw_Orders!E305,2)))</f>
        <v>44997</v>
      </c>
      <c r="M305" s="12">
        <f>DATE(VALUE(RIGHT(Raw_Orders!G305,4)),VALUE(MID(Raw_Orders!G305,4,2)),VALUE(LEFT(Raw_Orders!G305,2)))</f>
        <v>45004</v>
      </c>
      <c r="N305" s="7">
        <f t="shared" si="9"/>
        <v>7</v>
      </c>
      <c r="O305" s="7" t="str">
        <f>Raw_Orders!J305</f>
        <v>Anniversary</v>
      </c>
      <c r="P305" s="7" t="str">
        <f>Raw_Orders!I305</f>
        <v>Tiruchirappalli</v>
      </c>
    </row>
    <row r="306" spans="1:16">
      <c r="A306" s="7" t="str">
        <f>Raw_Orders!A306</f>
        <v>305</v>
      </c>
      <c r="B306" s="7" t="str">
        <f>Raw_Orders!B306</f>
        <v>C003</v>
      </c>
      <c r="C306" s="7" t="str">
        <f>INDEX(Raw_Customers!$B$2:$B$101,MATCH($B306,Raw_Customers!$A$2:$A$101,0))</f>
        <v>Jayesh Lanka</v>
      </c>
      <c r="D306" s="7" t="str">
        <f>TRIM(INDEX(Raw_Customers!$C$2:$C$101,MATCH($B306,Raw_Customers!$A$2:$A$101,0)))</f>
        <v>Bilaspur</v>
      </c>
      <c r="E306" s="7" t="str">
        <f>"+91-"&amp;RIGHT("0000000000"&amp;INDEX(Raw_Customers!$D$2:$D$101,MATCH($B306,Raw_Customers!$A$2:$A$101,0)),10)</f>
        <v>+91-7400208126</v>
      </c>
      <c r="F306" s="7" t="str">
        <f>Raw_Orders!C306</f>
        <v>26</v>
      </c>
      <c r="G306" s="7" t="str">
        <f>INDEX(Raw_Products!$B$2:$B$71,MATCH($F306,Raw_Products!$A$2:$A$71,0))</f>
        <v>Aliquam Box</v>
      </c>
      <c r="H306" s="7" t="str">
        <f>INDEX(Raw_Products!$C$2:$C$71,MATCH($F306,Raw_Products!$A$2:$A$71,0))</f>
        <v>Colors</v>
      </c>
      <c r="I306" s="7">
        <f>VALUE(Raw_Orders!D306)</f>
        <v>1</v>
      </c>
      <c r="J306" s="11" t="str">
        <f>INDEX(Raw_Products!$D$2:$D$71,MATCH($F306,Raw_Products!$A$2:$A$71,0))</f>
        <v>289</v>
      </c>
      <c r="K306" s="11">
        <f t="shared" si="8"/>
        <v>289</v>
      </c>
      <c r="L306" s="12">
        <f>DATE(VALUE(RIGHT(Raw_Orders!E306,4)),VALUE(MID(Raw_Orders!E306,4,2)),VALUE(LEFT(Raw_Orders!E306,2)))</f>
        <v>44987</v>
      </c>
      <c r="M306" s="12">
        <f>DATE(VALUE(RIGHT(Raw_Orders!G306,4)),VALUE(MID(Raw_Orders!G306,4,2)),VALUE(LEFT(Raw_Orders!G306,2)))</f>
        <v>44995</v>
      </c>
      <c r="N306" s="7">
        <f t="shared" si="9"/>
        <v>8</v>
      </c>
      <c r="O306" s="7" t="str">
        <f>Raw_Orders!J306</f>
        <v>Holi</v>
      </c>
      <c r="P306" s="7" t="str">
        <f>Raw_Orders!I306</f>
        <v>Lucknow</v>
      </c>
    </row>
    <row r="307" spans="1:16">
      <c r="A307" s="7" t="str">
        <f>Raw_Orders!A307</f>
        <v>306</v>
      </c>
      <c r="B307" s="7" t="str">
        <f>Raw_Orders!B307</f>
        <v>C085</v>
      </c>
      <c r="C307" s="7" t="str">
        <f>INDEX(Raw_Customers!$B$2:$B$101,MATCH($B307,Raw_Customers!$A$2:$A$101,0))</f>
        <v>Bhamini Johal</v>
      </c>
      <c r="D307" s="7" t="str">
        <f>TRIM(INDEX(Raw_Customers!$C$2:$C$101,MATCH($B307,Raw_Customers!$A$2:$A$101,0)))</f>
        <v>Raipur</v>
      </c>
      <c r="E307" s="7" t="str">
        <f>"+91-"&amp;RIGHT("0000000000"&amp;INDEX(Raw_Customers!$D$2:$D$101,MATCH($B307,Raw_Customers!$A$2:$A$101,0)),10)</f>
        <v>+91-3129106402</v>
      </c>
      <c r="F307" s="7" t="str">
        <f>Raw_Orders!C307</f>
        <v>49</v>
      </c>
      <c r="G307" s="7" t="str">
        <f>INDEX(Raw_Products!$B$2:$B$71,MATCH($F307,Raw_Products!$A$2:$A$71,0))</f>
        <v>Voluptate Pack</v>
      </c>
      <c r="H307" s="7" t="str">
        <f>INDEX(Raw_Products!$C$2:$C$71,MATCH($F307,Raw_Products!$A$2:$A$71,0))</f>
        <v>Colors</v>
      </c>
      <c r="I307" s="7">
        <f>VALUE(Raw_Orders!D307)</f>
        <v>4</v>
      </c>
      <c r="J307" s="11" t="str">
        <f>INDEX(Raw_Products!$D$2:$D$71,MATCH($F307,Raw_Products!$A$2:$A$71,0))</f>
        <v>903</v>
      </c>
      <c r="K307" s="11">
        <f t="shared" si="8"/>
        <v>3612</v>
      </c>
      <c r="L307" s="12">
        <f>DATE(VALUE(RIGHT(Raw_Orders!E307,4)),VALUE(MID(Raw_Orders!E307,4,2)),VALUE(LEFT(Raw_Orders!E307,2)))</f>
        <v>44961</v>
      </c>
      <c r="M307" s="12">
        <f>DATE(VALUE(RIGHT(Raw_Orders!G307,4)),VALUE(MID(Raw_Orders!G307,4,2)),VALUE(LEFT(Raw_Orders!G307,2)))</f>
        <v>44969</v>
      </c>
      <c r="N307" s="7">
        <f t="shared" si="9"/>
        <v>8</v>
      </c>
      <c r="O307" s="7" t="str">
        <f>Raw_Orders!J307</f>
        <v>Valentine's Day</v>
      </c>
      <c r="P307" s="7" t="str">
        <f>Raw_Orders!I307</f>
        <v>Bellary</v>
      </c>
    </row>
    <row r="308" spans="1:16">
      <c r="A308" s="7" t="str">
        <f>Raw_Orders!A308</f>
        <v>307</v>
      </c>
      <c r="B308" s="7" t="str">
        <f>Raw_Orders!B308</f>
        <v>C042</v>
      </c>
      <c r="C308" s="7" t="str">
        <f>INDEX(Raw_Customers!$B$2:$B$101,MATCH($B308,Raw_Customers!$A$2:$A$101,0))</f>
        <v>Eshani Sharma</v>
      </c>
      <c r="D308" s="7" t="str">
        <f>TRIM(INDEX(Raw_Customers!$C$2:$C$101,MATCH($B308,Raw_Customers!$A$2:$A$101,0)))</f>
        <v>Ajmer</v>
      </c>
      <c r="E308" s="7" t="str">
        <f>"+91-"&amp;RIGHT("0000000000"&amp;INDEX(Raw_Customers!$D$2:$D$101,MATCH($B308,Raw_Customers!$A$2:$A$101,0)),10)</f>
        <v>+91-6843169694</v>
      </c>
      <c r="F308" s="7" t="str">
        <f>Raw_Orders!C308</f>
        <v>3</v>
      </c>
      <c r="G308" s="7" t="str">
        <f>INDEX(Raw_Products!$B$2:$B$71,MATCH($F308,Raw_Products!$A$2:$A$71,0))</f>
        <v>Eius Gift</v>
      </c>
      <c r="H308" s="7" t="str">
        <f>INDEX(Raw_Products!$C$2:$C$71,MATCH($F308,Raw_Products!$A$2:$A$71,0))</f>
        <v>Colors</v>
      </c>
      <c r="I308" s="7">
        <f>VALUE(Raw_Orders!D308)</f>
        <v>1</v>
      </c>
      <c r="J308" s="11" t="str">
        <f>INDEX(Raw_Products!$D$2:$D$71,MATCH($F308,Raw_Products!$A$2:$A$71,0))</f>
        <v>1534</v>
      </c>
      <c r="K308" s="11">
        <f t="shared" si="8"/>
        <v>1534</v>
      </c>
      <c r="L308" s="12">
        <f>DATE(VALUE(RIGHT(Raw_Orders!E308,4)),VALUE(MID(Raw_Orders!E308,4,2)),VALUE(LEFT(Raw_Orders!E308,2)))</f>
        <v>44961</v>
      </c>
      <c r="M308" s="12">
        <f>DATE(VALUE(RIGHT(Raw_Orders!G308,4)),VALUE(MID(Raw_Orders!G308,4,2)),VALUE(LEFT(Raw_Orders!G308,2)))</f>
        <v>44965</v>
      </c>
      <c r="N308" s="7">
        <f t="shared" si="9"/>
        <v>4</v>
      </c>
      <c r="O308" s="7" t="str">
        <f>Raw_Orders!J308</f>
        <v>Valentine's Day</v>
      </c>
      <c r="P308" s="7" t="str">
        <f>Raw_Orders!I308</f>
        <v>Durgapur</v>
      </c>
    </row>
    <row r="309" spans="1:16">
      <c r="A309" s="7" t="str">
        <f>Raw_Orders!A309</f>
        <v>308</v>
      </c>
      <c r="B309" s="7" t="str">
        <f>Raw_Orders!B309</f>
        <v>C005</v>
      </c>
      <c r="C309" s="7" t="str">
        <f>INDEX(Raw_Customers!$B$2:$B$101,MATCH($B309,Raw_Customers!$A$2:$A$101,0))</f>
        <v>Hiran Kaul</v>
      </c>
      <c r="D309" s="7" t="str">
        <f>TRIM(INDEX(Raw_Customers!$C$2:$C$101,MATCH($B309,Raw_Customers!$A$2:$A$101,0)))</f>
        <v>Kottayam</v>
      </c>
      <c r="E309" s="7" t="str">
        <f>"+91-"&amp;RIGHT("0000000000"&amp;INDEX(Raw_Customers!$D$2:$D$101,MATCH($B309,Raw_Customers!$A$2:$A$101,0)),10)</f>
        <v>+91-2207644242</v>
      </c>
      <c r="F309" s="7" t="str">
        <f>Raw_Orders!C309</f>
        <v>57</v>
      </c>
      <c r="G309" s="7" t="str">
        <f>INDEX(Raw_Products!$B$2:$B$71,MATCH($F309,Raw_Products!$A$2:$A$71,0))</f>
        <v>Voluptatem Box</v>
      </c>
      <c r="H309" s="7" t="str">
        <f>INDEX(Raw_Products!$C$2:$C$71,MATCH($F309,Raw_Products!$A$2:$A$71,0))</f>
        <v>Colors</v>
      </c>
      <c r="I309" s="7">
        <f>VALUE(Raw_Orders!D309)</f>
        <v>1</v>
      </c>
      <c r="J309" s="11" t="str">
        <f>INDEX(Raw_Products!$D$2:$D$71,MATCH($F309,Raw_Products!$A$2:$A$71,0))</f>
        <v>1582</v>
      </c>
      <c r="K309" s="11">
        <f t="shared" si="8"/>
        <v>1582</v>
      </c>
      <c r="L309" s="12">
        <f>DATE(VALUE(RIGHT(Raw_Orders!E309,4)),VALUE(MID(Raw_Orders!E309,4,2)),VALUE(LEFT(Raw_Orders!E309,2)))</f>
        <v>44994</v>
      </c>
      <c r="M309" s="12">
        <f>DATE(VALUE(RIGHT(Raw_Orders!G309,4)),VALUE(MID(Raw_Orders!G309,4,2)),VALUE(LEFT(Raw_Orders!G309,2)))</f>
        <v>44997</v>
      </c>
      <c r="N309" s="7">
        <f t="shared" si="9"/>
        <v>3</v>
      </c>
      <c r="O309" s="7" t="str">
        <f>Raw_Orders!J309</f>
        <v>Birthday</v>
      </c>
      <c r="P309" s="7" t="str">
        <f>Raw_Orders!I309</f>
        <v>Haldia</v>
      </c>
    </row>
    <row r="310" spans="1:16">
      <c r="A310" s="7" t="str">
        <f>Raw_Orders!A310</f>
        <v>309</v>
      </c>
      <c r="B310" s="7" t="str">
        <f>Raw_Orders!B310</f>
        <v>C071</v>
      </c>
      <c r="C310" s="7" t="str">
        <f>INDEX(Raw_Customers!$B$2:$B$101,MATCH($B310,Raw_Customers!$A$2:$A$101,0))</f>
        <v>Purab Sheth</v>
      </c>
      <c r="D310" s="7" t="str">
        <f>TRIM(INDEX(Raw_Customers!$C$2:$C$101,MATCH($B310,Raw_Customers!$A$2:$A$101,0)))</f>
        <v>Tiruppur</v>
      </c>
      <c r="E310" s="7" t="str">
        <f>"+91-"&amp;RIGHT("0000000000"&amp;INDEX(Raw_Customers!$D$2:$D$101,MATCH($B310,Raw_Customers!$A$2:$A$101,0)),10)</f>
        <v>+91-8410472405</v>
      </c>
      <c r="F310" s="7" t="str">
        <f>Raw_Orders!C310</f>
        <v>60</v>
      </c>
      <c r="G310" s="7" t="str">
        <f>INDEX(Raw_Products!$B$2:$B$71,MATCH($F310,Raw_Products!$A$2:$A$71,0))</f>
        <v>Ea Set</v>
      </c>
      <c r="H310" s="7" t="str">
        <f>INDEX(Raw_Products!$C$2:$C$71,MATCH($F310,Raw_Products!$A$2:$A$71,0))</f>
        <v>Sweets</v>
      </c>
      <c r="I310" s="7">
        <f>VALUE(Raw_Orders!D310)</f>
        <v>4</v>
      </c>
      <c r="J310" s="11" t="str">
        <f>INDEX(Raw_Products!$D$2:$D$71,MATCH($F310,Raw_Products!$A$2:$A$71,0))</f>
        <v>827</v>
      </c>
      <c r="K310" s="11">
        <f t="shared" si="8"/>
        <v>3308</v>
      </c>
      <c r="L310" s="12">
        <f>DATE(VALUE(RIGHT(Raw_Orders!E310,4)),VALUE(MID(Raw_Orders!E310,4,2)),VALUE(LEFT(Raw_Orders!E310,2)))</f>
        <v>45240</v>
      </c>
      <c r="M310" s="12">
        <f>DATE(VALUE(RIGHT(Raw_Orders!G310,4)),VALUE(MID(Raw_Orders!G310,4,2)),VALUE(LEFT(Raw_Orders!G310,2)))</f>
        <v>45243</v>
      </c>
      <c r="N310" s="7">
        <f t="shared" si="9"/>
        <v>3</v>
      </c>
      <c r="O310" s="7" t="str">
        <f>Raw_Orders!J310</f>
        <v>Diwali</v>
      </c>
      <c r="P310" s="7" t="str">
        <f>Raw_Orders!I310</f>
        <v>Mangalore</v>
      </c>
    </row>
    <row r="311" spans="1:16">
      <c r="A311" s="7" t="str">
        <f>Raw_Orders!A311</f>
        <v>310</v>
      </c>
      <c r="B311" s="7" t="str">
        <f>Raw_Orders!B311</f>
        <v>C061</v>
      </c>
      <c r="C311" s="7" t="str">
        <f>INDEX(Raw_Customers!$B$2:$B$101,MATCH($B311,Raw_Customers!$A$2:$A$101,0))</f>
        <v>Akarsh Ramesh</v>
      </c>
      <c r="D311" s="7" t="str">
        <f>TRIM(INDEX(Raw_Customers!$C$2:$C$101,MATCH($B311,Raw_Customers!$A$2:$A$101,0)))</f>
        <v>Kavali</v>
      </c>
      <c r="E311" s="7" t="str">
        <f>"+91-"&amp;RIGHT("0000000000"&amp;INDEX(Raw_Customers!$D$2:$D$101,MATCH($B311,Raw_Customers!$A$2:$A$101,0)),10)</f>
        <v>+91-4318554567</v>
      </c>
      <c r="F311" s="7" t="str">
        <f>Raw_Orders!C311</f>
        <v>38</v>
      </c>
      <c r="G311" s="7" t="str">
        <f>INDEX(Raw_Products!$B$2:$B$71,MATCH($F311,Raw_Products!$A$2:$A$71,0))</f>
        <v>Mollitia Set</v>
      </c>
      <c r="H311" s="7" t="str">
        <f>INDEX(Raw_Products!$C$2:$C$71,MATCH($F311,Raw_Products!$A$2:$A$71,0))</f>
        <v>Cake</v>
      </c>
      <c r="I311" s="7">
        <f>VALUE(Raw_Orders!D311)</f>
        <v>3</v>
      </c>
      <c r="J311" s="11" t="str">
        <f>INDEX(Raw_Products!$D$2:$D$71,MATCH($F311,Raw_Products!$A$2:$A$71,0))</f>
        <v>562</v>
      </c>
      <c r="K311" s="11">
        <f t="shared" si="8"/>
        <v>1686</v>
      </c>
      <c r="L311" s="12">
        <f>DATE(VALUE(RIGHT(Raw_Orders!E311,4)),VALUE(MID(Raw_Orders!E311,4,2)),VALUE(LEFT(Raw_Orders!E311,2)))</f>
        <v>45158</v>
      </c>
      <c r="M311" s="12">
        <f>DATE(VALUE(RIGHT(Raw_Orders!G311,4)),VALUE(MID(Raw_Orders!G311,4,2)),VALUE(LEFT(Raw_Orders!G311,2)))</f>
        <v>45162</v>
      </c>
      <c r="N311" s="7">
        <f t="shared" si="9"/>
        <v>4</v>
      </c>
      <c r="O311" s="7" t="str">
        <f>Raw_Orders!J311</f>
        <v>Birthday</v>
      </c>
      <c r="P311" s="7" t="str">
        <f>Raw_Orders!I311</f>
        <v>Bhalswa Jahangir Pur</v>
      </c>
    </row>
    <row r="312" spans="1:16">
      <c r="A312" s="7" t="str">
        <f>Raw_Orders!A312</f>
        <v>311</v>
      </c>
      <c r="B312" s="7" t="str">
        <f>Raw_Orders!B312</f>
        <v>C051</v>
      </c>
      <c r="C312" s="7" t="str">
        <f>INDEX(Raw_Customers!$B$2:$B$101,MATCH($B312,Raw_Customers!$A$2:$A$101,0))</f>
        <v>Aradhya Batta</v>
      </c>
      <c r="D312" s="7" t="str">
        <f>TRIM(INDEX(Raw_Customers!$C$2:$C$101,MATCH($B312,Raw_Customers!$A$2:$A$101,0)))</f>
        <v>Kota</v>
      </c>
      <c r="E312" s="7" t="str">
        <f>"+91-"&amp;RIGHT("0000000000"&amp;INDEX(Raw_Customers!$D$2:$D$101,MATCH($B312,Raw_Customers!$A$2:$A$101,0)),10)</f>
        <v>+91-1200621501</v>
      </c>
      <c r="F312" s="7" t="str">
        <f>Raw_Orders!C312</f>
        <v>39</v>
      </c>
      <c r="G312" s="7" t="str">
        <f>INDEX(Raw_Products!$B$2:$B$71,MATCH($F312,Raw_Products!$A$2:$A$71,0))</f>
        <v>Voluptate Set</v>
      </c>
      <c r="H312" s="7" t="str">
        <f>INDEX(Raw_Products!$C$2:$C$71,MATCH($F312,Raw_Products!$A$2:$A$71,0))</f>
        <v>Mugs</v>
      </c>
      <c r="I312" s="7">
        <f>VALUE(Raw_Orders!D312)</f>
        <v>2</v>
      </c>
      <c r="J312" s="11" t="str">
        <f>INDEX(Raw_Products!$D$2:$D$71,MATCH($F312,Raw_Products!$A$2:$A$71,0))</f>
        <v>387</v>
      </c>
      <c r="K312" s="11">
        <f t="shared" si="8"/>
        <v>774</v>
      </c>
      <c r="L312" s="12">
        <f>DATE(VALUE(RIGHT(Raw_Orders!E312,4)),VALUE(MID(Raw_Orders!E312,4,2)),VALUE(LEFT(Raw_Orders!E312,2)))</f>
        <v>45171</v>
      </c>
      <c r="M312" s="12">
        <f>DATE(VALUE(RIGHT(Raw_Orders!G312,4)),VALUE(MID(Raw_Orders!G312,4,2)),VALUE(LEFT(Raw_Orders!G312,2)))</f>
        <v>45181</v>
      </c>
      <c r="N312" s="7">
        <f t="shared" si="9"/>
        <v>10</v>
      </c>
      <c r="O312" s="7" t="str">
        <f>Raw_Orders!J312</f>
        <v>All Occasions</v>
      </c>
      <c r="P312" s="7" t="str">
        <f>Raw_Orders!I312</f>
        <v>Mehsana</v>
      </c>
    </row>
    <row r="313" spans="1:16">
      <c r="A313" s="7" t="str">
        <f>Raw_Orders!A313</f>
        <v>312</v>
      </c>
      <c r="B313" s="7" t="str">
        <f>Raw_Orders!B313</f>
        <v>C044</v>
      </c>
      <c r="C313" s="7" t="str">
        <f>INDEX(Raw_Customers!$B$2:$B$101,MATCH($B313,Raw_Customers!$A$2:$A$101,0))</f>
        <v>Seher Mann</v>
      </c>
      <c r="D313" s="7" t="str">
        <f>TRIM(INDEX(Raw_Customers!$C$2:$C$101,MATCH($B313,Raw_Customers!$A$2:$A$101,0)))</f>
        <v>Agra</v>
      </c>
      <c r="E313" s="7" t="str">
        <f>"+91-"&amp;RIGHT("0000000000"&amp;INDEX(Raw_Customers!$D$2:$D$101,MATCH($B313,Raw_Customers!$A$2:$A$101,0)),10)</f>
        <v>+91-9843970658</v>
      </c>
      <c r="F313" s="7" t="str">
        <f>Raw_Orders!C313</f>
        <v>9</v>
      </c>
      <c r="G313" s="7" t="str">
        <f>INDEX(Raw_Products!$B$2:$B$71,MATCH($F313,Raw_Products!$A$2:$A$71,0))</f>
        <v>Aperiam Box</v>
      </c>
      <c r="H313" s="7" t="str">
        <f>INDEX(Raw_Products!$C$2:$C$71,MATCH($F313,Raw_Products!$A$2:$A$71,0))</f>
        <v>Colors</v>
      </c>
      <c r="I313" s="7">
        <f>VALUE(Raw_Orders!D313)</f>
        <v>1</v>
      </c>
      <c r="J313" s="11" t="str">
        <f>INDEX(Raw_Products!$D$2:$D$71,MATCH($F313,Raw_Products!$A$2:$A$71,0))</f>
        <v>1605</v>
      </c>
      <c r="K313" s="11">
        <f t="shared" si="8"/>
        <v>1605</v>
      </c>
      <c r="L313" s="12">
        <f>DATE(VALUE(RIGHT(Raw_Orders!E313,4)),VALUE(MID(Raw_Orders!E313,4,2)),VALUE(LEFT(Raw_Orders!E313,2)))</f>
        <v>45160</v>
      </c>
      <c r="M313" s="12">
        <f>DATE(VALUE(RIGHT(Raw_Orders!G313,4)),VALUE(MID(Raw_Orders!G313,4,2)),VALUE(LEFT(Raw_Orders!G313,2)))</f>
        <v>45165</v>
      </c>
      <c r="N313" s="7">
        <f t="shared" si="9"/>
        <v>5</v>
      </c>
      <c r="O313" s="7" t="str">
        <f>Raw_Orders!J313</f>
        <v>Raksha Bandhan</v>
      </c>
      <c r="P313" s="7" t="str">
        <f>Raw_Orders!I313</f>
        <v>Akola</v>
      </c>
    </row>
    <row r="314" spans="1:16">
      <c r="A314" s="7" t="str">
        <f>Raw_Orders!A314</f>
        <v>313</v>
      </c>
      <c r="B314" s="7" t="str">
        <f>Raw_Orders!B314</f>
        <v>C056</v>
      </c>
      <c r="C314" s="7" t="str">
        <f>INDEX(Raw_Customers!$B$2:$B$101,MATCH($B314,Raw_Customers!$A$2:$A$101,0))</f>
        <v>Pihu Choudhury</v>
      </c>
      <c r="D314" s="7" t="str">
        <f>TRIM(INDEX(Raw_Customers!$C$2:$C$101,MATCH($B314,Raw_Customers!$A$2:$A$101,0)))</f>
        <v>Haridwar</v>
      </c>
      <c r="E314" s="7" t="str">
        <f>"+91-"&amp;RIGHT("0000000000"&amp;INDEX(Raw_Customers!$D$2:$D$101,MATCH($B314,Raw_Customers!$A$2:$A$101,0)),10)</f>
        <v>+91-9732644810</v>
      </c>
      <c r="F314" s="7" t="str">
        <f>Raw_Orders!C314</f>
        <v>30</v>
      </c>
      <c r="G314" s="7" t="str">
        <f>INDEX(Raw_Products!$B$2:$B$71,MATCH($F314,Raw_Products!$A$2:$A$71,0))</f>
        <v>Recusandae Pack</v>
      </c>
      <c r="H314" s="7" t="str">
        <f>INDEX(Raw_Products!$C$2:$C$71,MATCH($F314,Raw_Products!$A$2:$A$71,0))</f>
        <v>Colors</v>
      </c>
      <c r="I314" s="7">
        <f>VALUE(Raw_Orders!D314)</f>
        <v>2</v>
      </c>
      <c r="J314" s="11" t="str">
        <f>INDEX(Raw_Products!$D$2:$D$71,MATCH($F314,Raw_Products!$A$2:$A$71,0))</f>
        <v>751</v>
      </c>
      <c r="K314" s="11">
        <f t="shared" si="8"/>
        <v>1502</v>
      </c>
      <c r="L314" s="12">
        <f>DATE(VALUE(RIGHT(Raw_Orders!E314,4)),VALUE(MID(Raw_Orders!E314,4,2)),VALUE(LEFT(Raw_Orders!E314,2)))</f>
        <v>45129</v>
      </c>
      <c r="M314" s="12">
        <f>DATE(VALUE(RIGHT(Raw_Orders!G314,4)),VALUE(MID(Raw_Orders!G314,4,2)),VALUE(LEFT(Raw_Orders!G314,2)))</f>
        <v>45133</v>
      </c>
      <c r="N314" s="7">
        <f t="shared" si="9"/>
        <v>4</v>
      </c>
      <c r="O314" s="7" t="str">
        <f>Raw_Orders!J314</f>
        <v>Anniversary</v>
      </c>
      <c r="P314" s="7" t="str">
        <f>Raw_Orders!I314</f>
        <v>Thane</v>
      </c>
    </row>
    <row r="315" spans="1:16">
      <c r="A315" s="7" t="str">
        <f>Raw_Orders!A315</f>
        <v>314</v>
      </c>
      <c r="B315" s="7" t="str">
        <f>Raw_Orders!B315</f>
        <v>C029</v>
      </c>
      <c r="C315" s="7" t="str">
        <f>INDEX(Raw_Customers!$B$2:$B$101,MATCH($B315,Raw_Customers!$A$2:$A$101,0))</f>
        <v>Badal Sathe</v>
      </c>
      <c r="D315" s="7" t="str">
        <f>TRIM(INDEX(Raw_Customers!$C$2:$C$101,MATCH($B315,Raw_Customers!$A$2:$A$101,0)))</f>
        <v>Haridwar</v>
      </c>
      <c r="E315" s="7" t="str">
        <f>"+91-"&amp;RIGHT("0000000000"&amp;INDEX(Raw_Customers!$D$2:$D$101,MATCH($B315,Raw_Customers!$A$2:$A$101,0)),10)</f>
        <v>+91-2454360885</v>
      </c>
      <c r="F315" s="7" t="str">
        <f>Raw_Orders!C315</f>
        <v>43</v>
      </c>
      <c r="G315" s="7" t="str">
        <f>INDEX(Raw_Products!$B$2:$B$71,MATCH($F315,Raw_Products!$A$2:$A$71,0))</f>
        <v>Quisquam Pack</v>
      </c>
      <c r="H315" s="7" t="str">
        <f>INDEX(Raw_Products!$C$2:$C$71,MATCH($F315,Raw_Products!$A$2:$A$71,0))</f>
        <v>Raksha Bandhan</v>
      </c>
      <c r="I315" s="7">
        <f>VALUE(Raw_Orders!D315)</f>
        <v>4</v>
      </c>
      <c r="J315" s="11" t="str">
        <f>INDEX(Raw_Products!$D$2:$D$71,MATCH($F315,Raw_Products!$A$2:$A$71,0))</f>
        <v>750</v>
      </c>
      <c r="K315" s="11">
        <f t="shared" si="8"/>
        <v>3000</v>
      </c>
      <c r="L315" s="12">
        <f>DATE(VALUE(RIGHT(Raw_Orders!E315,4)),VALUE(MID(Raw_Orders!E315,4,2)),VALUE(LEFT(Raw_Orders!E315,2)))</f>
        <v>45235</v>
      </c>
      <c r="M315" s="12">
        <f>DATE(VALUE(RIGHT(Raw_Orders!G315,4)),VALUE(MID(Raw_Orders!G315,4,2)),VALUE(LEFT(Raw_Orders!G315,2)))</f>
        <v>45245</v>
      </c>
      <c r="N315" s="7">
        <f t="shared" si="9"/>
        <v>10</v>
      </c>
      <c r="O315" s="7" t="str">
        <f>Raw_Orders!J315</f>
        <v>Diwali</v>
      </c>
      <c r="P315" s="7" t="str">
        <f>Raw_Orders!I315</f>
        <v>Patiala</v>
      </c>
    </row>
    <row r="316" spans="1:16">
      <c r="A316" s="7" t="str">
        <f>Raw_Orders!A316</f>
        <v>315</v>
      </c>
      <c r="B316" s="7" t="str">
        <f>Raw_Orders!B316</f>
        <v>C063</v>
      </c>
      <c r="C316" s="7" t="str">
        <f>INDEX(Raw_Customers!$B$2:$B$101,MATCH($B316,Raw_Customers!$A$2:$A$101,0))</f>
        <v>Arhaan Ahluwalia</v>
      </c>
      <c r="D316" s="7" t="str">
        <f>TRIM(INDEX(Raw_Customers!$C$2:$C$101,MATCH($B316,Raw_Customers!$A$2:$A$101,0)))</f>
        <v>Jamnagar</v>
      </c>
      <c r="E316" s="7" t="str">
        <f>"+91-"&amp;RIGHT("0000000000"&amp;INDEX(Raw_Customers!$D$2:$D$101,MATCH($B316,Raw_Customers!$A$2:$A$101,0)),10)</f>
        <v>+91-5287021467</v>
      </c>
      <c r="F316" s="7" t="str">
        <f>Raw_Orders!C316</f>
        <v>26</v>
      </c>
      <c r="G316" s="7" t="str">
        <f>INDEX(Raw_Products!$B$2:$B$71,MATCH($F316,Raw_Products!$A$2:$A$71,0))</f>
        <v>Aliquam Box</v>
      </c>
      <c r="H316" s="7" t="str">
        <f>INDEX(Raw_Products!$C$2:$C$71,MATCH($F316,Raw_Products!$A$2:$A$71,0))</f>
        <v>Colors</v>
      </c>
      <c r="I316" s="7">
        <f>VALUE(Raw_Orders!D316)</f>
        <v>5</v>
      </c>
      <c r="J316" s="11" t="str">
        <f>INDEX(Raw_Products!$D$2:$D$71,MATCH($F316,Raw_Products!$A$2:$A$71,0))</f>
        <v>289</v>
      </c>
      <c r="K316" s="11">
        <f t="shared" si="8"/>
        <v>1445</v>
      </c>
      <c r="L316" s="12">
        <f>DATE(VALUE(RIGHT(Raw_Orders!E316,4)),VALUE(MID(Raw_Orders!E316,4,2)),VALUE(LEFT(Raw_Orders!E316,2)))</f>
        <v>44991</v>
      </c>
      <c r="M316" s="12">
        <f>DATE(VALUE(RIGHT(Raw_Orders!G316,4)),VALUE(MID(Raw_Orders!G316,4,2)),VALUE(LEFT(Raw_Orders!G316,2)))</f>
        <v>44994</v>
      </c>
      <c r="N316" s="7">
        <f t="shared" si="9"/>
        <v>3</v>
      </c>
      <c r="O316" s="7" t="str">
        <f>Raw_Orders!J316</f>
        <v>Holi</v>
      </c>
      <c r="P316" s="7" t="str">
        <f>Raw_Orders!I316</f>
        <v>Ambattur</v>
      </c>
    </row>
    <row r="317" spans="1:16">
      <c r="A317" s="7" t="str">
        <f>Raw_Orders!A317</f>
        <v>316</v>
      </c>
      <c r="B317" s="7" t="str">
        <f>Raw_Orders!B317</f>
        <v>C048</v>
      </c>
      <c r="C317" s="7" t="str">
        <f>INDEX(Raw_Customers!$B$2:$B$101,MATCH($B317,Raw_Customers!$A$2:$A$101,0))</f>
        <v>Aradhya Kale</v>
      </c>
      <c r="D317" s="7" t="str">
        <f>TRIM(INDEX(Raw_Customers!$C$2:$C$101,MATCH($B317,Raw_Customers!$A$2:$A$101,0)))</f>
        <v>Guntakal</v>
      </c>
      <c r="E317" s="7" t="str">
        <f>"+91-"&amp;RIGHT("0000000000"&amp;INDEX(Raw_Customers!$D$2:$D$101,MATCH($B317,Raw_Customers!$A$2:$A$101,0)),10)</f>
        <v>+91-7979926231</v>
      </c>
      <c r="F317" s="7" t="str">
        <f>Raw_Orders!C317</f>
        <v>2</v>
      </c>
      <c r="G317" s="7" t="str">
        <f>INDEX(Raw_Products!$B$2:$B$71,MATCH($F317,Raw_Products!$A$2:$A$71,0))</f>
        <v>Voluptas Box</v>
      </c>
      <c r="H317" s="7" t="str">
        <f>INDEX(Raw_Products!$C$2:$C$71,MATCH($F317,Raw_Products!$A$2:$A$71,0))</f>
        <v>Plants</v>
      </c>
      <c r="I317" s="7">
        <f>VALUE(Raw_Orders!D317)</f>
        <v>5</v>
      </c>
      <c r="J317" s="11" t="str">
        <f>INDEX(Raw_Products!$D$2:$D$71,MATCH($F317,Raw_Products!$A$2:$A$71,0))</f>
        <v>441</v>
      </c>
      <c r="K317" s="11">
        <f t="shared" si="8"/>
        <v>2205</v>
      </c>
      <c r="L317" s="12">
        <f>DATE(VALUE(RIGHT(Raw_Orders!E317,4)),VALUE(MID(Raw_Orders!E317,4,2)),VALUE(LEFT(Raw_Orders!E317,2)))</f>
        <v>44968</v>
      </c>
      <c r="M317" s="12">
        <f>DATE(VALUE(RIGHT(Raw_Orders!G317,4)),VALUE(MID(Raw_Orders!G317,4,2)),VALUE(LEFT(Raw_Orders!G317,2)))</f>
        <v>44972</v>
      </c>
      <c r="N317" s="7">
        <f t="shared" si="9"/>
        <v>4</v>
      </c>
      <c r="O317" s="7" t="str">
        <f>Raw_Orders!J317</f>
        <v>Valentine's Day</v>
      </c>
      <c r="P317" s="7" t="str">
        <f>Raw_Orders!I317</f>
        <v>Muzaffarnagar</v>
      </c>
    </row>
    <row r="318" spans="1:16">
      <c r="A318" s="7" t="str">
        <f>Raw_Orders!A318</f>
        <v>317</v>
      </c>
      <c r="B318" s="7" t="str">
        <f>Raw_Orders!B318</f>
        <v>C014</v>
      </c>
      <c r="C318" s="7" t="str">
        <f>INDEX(Raw_Customers!$B$2:$B$101,MATCH($B318,Raw_Customers!$A$2:$A$101,0))</f>
        <v>Indrans Shukla</v>
      </c>
      <c r="D318" s="7" t="str">
        <f>TRIM(INDEX(Raw_Customers!$C$2:$C$101,MATCH($B318,Raw_Customers!$A$2:$A$101,0)))</f>
        <v>Panvel</v>
      </c>
      <c r="E318" s="7" t="str">
        <f>"+91-"&amp;RIGHT("0000000000"&amp;INDEX(Raw_Customers!$D$2:$D$101,MATCH($B318,Raw_Customers!$A$2:$A$101,0)),10)</f>
        <v>+91-2717671919</v>
      </c>
      <c r="F318" s="7" t="str">
        <f>Raw_Orders!C318</f>
        <v>29</v>
      </c>
      <c r="G318" s="7" t="str">
        <f>INDEX(Raw_Products!$B$2:$B$71,MATCH($F318,Raw_Products!$A$2:$A$71,0))</f>
        <v>In Set</v>
      </c>
      <c r="H318" s="7" t="str">
        <f>INDEX(Raw_Products!$C$2:$C$71,MATCH($F318,Raw_Products!$A$2:$A$71,0))</f>
        <v>Colors</v>
      </c>
      <c r="I318" s="7">
        <f>VALUE(Raw_Orders!D318)</f>
        <v>3</v>
      </c>
      <c r="J318" s="11" t="str">
        <f>INDEX(Raw_Products!$D$2:$D$71,MATCH($F318,Raw_Products!$A$2:$A$71,0))</f>
        <v>1252</v>
      </c>
      <c r="K318" s="11">
        <f t="shared" si="8"/>
        <v>3756</v>
      </c>
      <c r="L318" s="12">
        <f>DATE(VALUE(RIGHT(Raw_Orders!E318,4)),VALUE(MID(Raw_Orders!E318,4,2)),VALUE(LEFT(Raw_Orders!E318,2)))</f>
        <v>44992</v>
      </c>
      <c r="M318" s="12">
        <f>DATE(VALUE(RIGHT(Raw_Orders!G318,4)),VALUE(MID(Raw_Orders!G318,4,2)),VALUE(LEFT(Raw_Orders!G318,2)))</f>
        <v>45000</v>
      </c>
      <c r="N318" s="7">
        <f t="shared" si="9"/>
        <v>8</v>
      </c>
      <c r="O318" s="7" t="str">
        <f>Raw_Orders!J318</f>
        <v>Holi</v>
      </c>
      <c r="P318" s="7" t="str">
        <f>Raw_Orders!I318</f>
        <v>Ahmednagar</v>
      </c>
    </row>
    <row r="319" spans="1:16">
      <c r="A319" s="7" t="str">
        <f>Raw_Orders!A319</f>
        <v>318</v>
      </c>
      <c r="B319" s="7" t="str">
        <f>Raw_Orders!B319</f>
        <v>C038</v>
      </c>
      <c r="C319" s="7" t="str">
        <f>INDEX(Raw_Customers!$B$2:$B$101,MATCH($B319,Raw_Customers!$A$2:$A$101,0))</f>
        <v>Yakshit Shah</v>
      </c>
      <c r="D319" s="7" t="str">
        <f>TRIM(INDEX(Raw_Customers!$C$2:$C$101,MATCH($B319,Raw_Customers!$A$2:$A$101,0)))</f>
        <v>Aizawl</v>
      </c>
      <c r="E319" s="7" t="str">
        <f>"+91-"&amp;RIGHT("0000000000"&amp;INDEX(Raw_Customers!$D$2:$D$101,MATCH($B319,Raw_Customers!$A$2:$A$101,0)),10)</f>
        <v>+91-2847411902</v>
      </c>
      <c r="F319" s="7" t="str">
        <f>Raw_Orders!C319</f>
        <v>26</v>
      </c>
      <c r="G319" s="7" t="str">
        <f>INDEX(Raw_Products!$B$2:$B$71,MATCH($F319,Raw_Products!$A$2:$A$71,0))</f>
        <v>Aliquam Box</v>
      </c>
      <c r="H319" s="7" t="str">
        <f>INDEX(Raw_Products!$C$2:$C$71,MATCH($F319,Raw_Products!$A$2:$A$71,0))</f>
        <v>Colors</v>
      </c>
      <c r="I319" s="7">
        <f>VALUE(Raw_Orders!D319)</f>
        <v>5</v>
      </c>
      <c r="J319" s="11" t="str">
        <f>INDEX(Raw_Products!$D$2:$D$71,MATCH($F319,Raw_Products!$A$2:$A$71,0))</f>
        <v>289</v>
      </c>
      <c r="K319" s="11">
        <f t="shared" si="8"/>
        <v>1445</v>
      </c>
      <c r="L319" s="12">
        <f>DATE(VALUE(RIGHT(Raw_Orders!E319,4)),VALUE(MID(Raw_Orders!E319,4,2)),VALUE(LEFT(Raw_Orders!E319,2)))</f>
        <v>44992</v>
      </c>
      <c r="M319" s="12">
        <f>DATE(VALUE(RIGHT(Raw_Orders!G319,4)),VALUE(MID(Raw_Orders!G319,4,2)),VALUE(LEFT(Raw_Orders!G319,2)))</f>
        <v>44996</v>
      </c>
      <c r="N319" s="7">
        <f t="shared" si="9"/>
        <v>4</v>
      </c>
      <c r="O319" s="7" t="str">
        <f>Raw_Orders!J319</f>
        <v>Holi</v>
      </c>
      <c r="P319" s="7" t="str">
        <f>Raw_Orders!I319</f>
        <v>Hosur</v>
      </c>
    </row>
    <row r="320" spans="1:16">
      <c r="A320" s="7" t="str">
        <f>Raw_Orders!A320</f>
        <v>319</v>
      </c>
      <c r="B320" s="7" t="str">
        <f>Raw_Orders!B320</f>
        <v>C044</v>
      </c>
      <c r="C320" s="7" t="str">
        <f>INDEX(Raw_Customers!$B$2:$B$101,MATCH($B320,Raw_Customers!$A$2:$A$101,0))</f>
        <v>Seher Mann</v>
      </c>
      <c r="D320" s="7" t="str">
        <f>TRIM(INDEX(Raw_Customers!$C$2:$C$101,MATCH($B320,Raw_Customers!$A$2:$A$101,0)))</f>
        <v>Agra</v>
      </c>
      <c r="E320" s="7" t="str">
        <f>"+91-"&amp;RIGHT("0000000000"&amp;INDEX(Raw_Customers!$D$2:$D$101,MATCH($B320,Raw_Customers!$A$2:$A$101,0)),10)</f>
        <v>+91-9843970658</v>
      </c>
      <c r="F320" s="7" t="str">
        <f>Raw_Orders!C320</f>
        <v>64</v>
      </c>
      <c r="G320" s="7" t="str">
        <f>INDEX(Raw_Products!$B$2:$B$71,MATCH($F320,Raw_Products!$A$2:$A$71,0))</f>
        <v>Nostrum Box</v>
      </c>
      <c r="H320" s="7" t="str">
        <f>INDEX(Raw_Products!$C$2:$C$71,MATCH($F320,Raw_Products!$A$2:$A$71,0))</f>
        <v>Soft Toys</v>
      </c>
      <c r="I320" s="7">
        <f>VALUE(Raw_Orders!D320)</f>
        <v>1</v>
      </c>
      <c r="J320" s="11" t="str">
        <f>INDEX(Raw_Products!$D$2:$D$71,MATCH($F320,Raw_Products!$A$2:$A$71,0))</f>
        <v>1878</v>
      </c>
      <c r="K320" s="11">
        <f t="shared" si="8"/>
        <v>1878</v>
      </c>
      <c r="L320" s="12">
        <f>DATE(VALUE(RIGHT(Raw_Orders!E320,4)),VALUE(MID(Raw_Orders!E320,4,2)),VALUE(LEFT(Raw_Orders!E320,2)))</f>
        <v>45158</v>
      </c>
      <c r="M320" s="12">
        <f>DATE(VALUE(RIGHT(Raw_Orders!G320,4)),VALUE(MID(Raw_Orders!G320,4,2)),VALUE(LEFT(Raw_Orders!G320,2)))</f>
        <v>45164</v>
      </c>
      <c r="N320" s="7">
        <f t="shared" si="9"/>
        <v>6</v>
      </c>
      <c r="O320" s="7" t="str">
        <f>Raw_Orders!J320</f>
        <v>Raksha Bandhan</v>
      </c>
      <c r="P320" s="7" t="str">
        <f>Raw_Orders!I320</f>
        <v>Bikaner</v>
      </c>
    </row>
    <row r="321" spans="1:16">
      <c r="A321" s="7" t="str">
        <f>Raw_Orders!A321</f>
        <v>320</v>
      </c>
      <c r="B321" s="7" t="str">
        <f>Raw_Orders!B321</f>
        <v>C007</v>
      </c>
      <c r="C321" s="7" t="str">
        <f>INDEX(Raw_Customers!$B$2:$B$101,MATCH($B321,Raw_Customers!$A$2:$A$101,0))</f>
        <v>Jayant Kamdar</v>
      </c>
      <c r="D321" s="7" t="str">
        <f>TRIM(INDEX(Raw_Customers!$C$2:$C$101,MATCH($B321,Raw_Customers!$A$2:$A$101,0)))</f>
        <v>Berhampore</v>
      </c>
      <c r="E321" s="7" t="str">
        <f>"+91-"&amp;RIGHT("0000000000"&amp;INDEX(Raw_Customers!$D$2:$D$101,MATCH($B321,Raw_Customers!$A$2:$A$101,0)),10)</f>
        <v>+91-8576675504</v>
      </c>
      <c r="F321" s="7" t="str">
        <f>Raw_Orders!C321</f>
        <v>13</v>
      </c>
      <c r="G321" s="7" t="str">
        <f>INDEX(Raw_Products!$B$2:$B$71,MATCH($F321,Raw_Products!$A$2:$A$71,0))</f>
        <v>Et Set</v>
      </c>
      <c r="H321" s="7" t="str">
        <f>INDEX(Raw_Products!$C$2:$C$71,MATCH($F321,Raw_Products!$A$2:$A$71,0))</f>
        <v>Mugs</v>
      </c>
      <c r="I321" s="7">
        <f>VALUE(Raw_Orders!D321)</f>
        <v>1</v>
      </c>
      <c r="J321" s="11" t="str">
        <f>INDEX(Raw_Products!$D$2:$D$71,MATCH($F321,Raw_Products!$A$2:$A$71,0))</f>
        <v>1141</v>
      </c>
      <c r="K321" s="11">
        <f t="shared" si="8"/>
        <v>1141</v>
      </c>
      <c r="L321" s="12">
        <f>DATE(VALUE(RIGHT(Raw_Orders!E321,4)),VALUE(MID(Raw_Orders!E321,4,2)),VALUE(LEFT(Raw_Orders!E321,2)))</f>
        <v>44986</v>
      </c>
      <c r="M321" s="12">
        <f>DATE(VALUE(RIGHT(Raw_Orders!G321,4)),VALUE(MID(Raw_Orders!G321,4,2)),VALUE(LEFT(Raw_Orders!G321,2)))</f>
        <v>44993</v>
      </c>
      <c r="N321" s="7">
        <f t="shared" si="9"/>
        <v>7</v>
      </c>
      <c r="O321" s="7" t="str">
        <f>Raw_Orders!J321</f>
        <v>Holi</v>
      </c>
      <c r="P321" s="7" t="str">
        <f>Raw_Orders!I321</f>
        <v>Bijapur</v>
      </c>
    </row>
    <row r="322" spans="1:16">
      <c r="A322" s="7" t="str">
        <f>Raw_Orders!A322</f>
        <v>321</v>
      </c>
      <c r="B322" s="7" t="str">
        <f>Raw_Orders!B322</f>
        <v>C049</v>
      </c>
      <c r="C322" s="7" t="str">
        <f>INDEX(Raw_Customers!$B$2:$B$101,MATCH($B322,Raw_Customers!$A$2:$A$101,0))</f>
        <v>Aarush Balasubramanian</v>
      </c>
      <c r="D322" s="7" t="str">
        <f>TRIM(INDEX(Raw_Customers!$C$2:$C$101,MATCH($B322,Raw_Customers!$A$2:$A$101,0)))</f>
        <v>Imphal</v>
      </c>
      <c r="E322" s="7" t="str">
        <f>"+91-"&amp;RIGHT("0000000000"&amp;INDEX(Raw_Customers!$D$2:$D$101,MATCH($B322,Raw_Customers!$A$2:$A$101,0)),10)</f>
        <v>+91-1436426958</v>
      </c>
      <c r="F322" s="7" t="str">
        <f>Raw_Orders!C322</f>
        <v>12</v>
      </c>
      <c r="G322" s="7" t="str">
        <f>INDEX(Raw_Products!$B$2:$B$71,MATCH($F322,Raw_Products!$A$2:$A$71,0))</f>
        <v>Non Set</v>
      </c>
      <c r="H322" s="7" t="str">
        <f>INDEX(Raw_Products!$C$2:$C$71,MATCH($F322,Raw_Products!$A$2:$A$71,0))</f>
        <v>Plants</v>
      </c>
      <c r="I322" s="7">
        <f>VALUE(Raw_Orders!D322)</f>
        <v>5</v>
      </c>
      <c r="J322" s="11" t="str">
        <f>INDEX(Raw_Products!$D$2:$D$71,MATCH($F322,Raw_Products!$A$2:$A$71,0))</f>
        <v>672</v>
      </c>
      <c r="K322" s="11">
        <f t="shared" ref="K322:K385" si="10">I322*J322</f>
        <v>3360</v>
      </c>
      <c r="L322" s="12">
        <f>DATE(VALUE(RIGHT(Raw_Orders!E322,4)),VALUE(MID(Raw_Orders!E322,4,2)),VALUE(LEFT(Raw_Orders!E322,2)))</f>
        <v>44993</v>
      </c>
      <c r="M322" s="12">
        <f>DATE(VALUE(RIGHT(Raw_Orders!G322,4)),VALUE(MID(Raw_Orders!G322,4,2)),VALUE(LEFT(Raw_Orders!G322,2)))</f>
        <v>45002</v>
      </c>
      <c r="N322" s="7">
        <f t="shared" ref="N322:N385" si="11">M322-L322</f>
        <v>9</v>
      </c>
      <c r="O322" s="7" t="str">
        <f>Raw_Orders!J322</f>
        <v>Anniversary</v>
      </c>
      <c r="P322" s="7" t="str">
        <f>Raw_Orders!I322</f>
        <v>Rampur</v>
      </c>
    </row>
    <row r="323" spans="1:16">
      <c r="A323" s="7" t="str">
        <f>Raw_Orders!A323</f>
        <v>322</v>
      </c>
      <c r="B323" s="7" t="str">
        <f>Raw_Orders!B323</f>
        <v>C056</v>
      </c>
      <c r="C323" s="7" t="str">
        <f>INDEX(Raw_Customers!$B$2:$B$101,MATCH($B323,Raw_Customers!$A$2:$A$101,0))</f>
        <v>Pihu Choudhury</v>
      </c>
      <c r="D323" s="7" t="str">
        <f>TRIM(INDEX(Raw_Customers!$C$2:$C$101,MATCH($B323,Raw_Customers!$A$2:$A$101,0)))</f>
        <v>Haridwar</v>
      </c>
      <c r="E323" s="7" t="str">
        <f>"+91-"&amp;RIGHT("0000000000"&amp;INDEX(Raw_Customers!$D$2:$D$101,MATCH($B323,Raw_Customers!$A$2:$A$101,0)),10)</f>
        <v>+91-9732644810</v>
      </c>
      <c r="F323" s="7" t="str">
        <f>Raw_Orders!C323</f>
        <v>15</v>
      </c>
      <c r="G323" s="7" t="str">
        <f>INDEX(Raw_Products!$B$2:$B$71,MATCH($F323,Raw_Products!$A$2:$A$71,0))</f>
        <v>Repudiandae Box</v>
      </c>
      <c r="H323" s="7" t="str">
        <f>INDEX(Raw_Products!$C$2:$C$71,MATCH($F323,Raw_Products!$A$2:$A$71,0))</f>
        <v>Raksha Bandhan</v>
      </c>
      <c r="I323" s="7">
        <f>VALUE(Raw_Orders!D323)</f>
        <v>1</v>
      </c>
      <c r="J323" s="11" t="str">
        <f>INDEX(Raw_Products!$D$2:$D$71,MATCH($F323,Raw_Products!$A$2:$A$71,0))</f>
        <v>1488</v>
      </c>
      <c r="K323" s="11">
        <f t="shared" si="10"/>
        <v>1488</v>
      </c>
      <c r="L323" s="12">
        <f>DATE(VALUE(RIGHT(Raw_Orders!E323,4)),VALUE(MID(Raw_Orders!E323,4,2)),VALUE(LEFT(Raw_Orders!E323,2)))</f>
        <v>45027</v>
      </c>
      <c r="M323" s="12">
        <f>DATE(VALUE(RIGHT(Raw_Orders!G323,4)),VALUE(MID(Raw_Orders!G323,4,2)),VALUE(LEFT(Raw_Orders!G323,2)))</f>
        <v>45031</v>
      </c>
      <c r="N323" s="7">
        <f t="shared" si="11"/>
        <v>4</v>
      </c>
      <c r="O323" s="7" t="str">
        <f>Raw_Orders!J323</f>
        <v>Anniversary</v>
      </c>
      <c r="P323" s="7" t="str">
        <f>Raw_Orders!I323</f>
        <v>Udaipur</v>
      </c>
    </row>
    <row r="324" spans="1:16">
      <c r="A324" s="7" t="str">
        <f>Raw_Orders!A324</f>
        <v>323</v>
      </c>
      <c r="B324" s="7" t="str">
        <f>Raw_Orders!B324</f>
        <v>C013</v>
      </c>
      <c r="C324" s="7" t="str">
        <f>INDEX(Raw_Customers!$B$2:$B$101,MATCH($B324,Raw_Customers!$A$2:$A$101,0))</f>
        <v>Manikya Goswami</v>
      </c>
      <c r="D324" s="7" t="str">
        <f>TRIM(INDEX(Raw_Customers!$C$2:$C$101,MATCH($B324,Raw_Customers!$A$2:$A$101,0)))</f>
        <v>Mangalore</v>
      </c>
      <c r="E324" s="7" t="str">
        <f>"+91-"&amp;RIGHT("0000000000"&amp;INDEX(Raw_Customers!$D$2:$D$101,MATCH($B324,Raw_Customers!$A$2:$A$101,0)),10)</f>
        <v>+91-2112817503</v>
      </c>
      <c r="F324" s="7" t="str">
        <f>Raw_Orders!C324</f>
        <v>23</v>
      </c>
      <c r="G324" s="7" t="str">
        <f>INDEX(Raw_Products!$B$2:$B$71,MATCH($F324,Raw_Products!$A$2:$A$71,0))</f>
        <v>Dignissimos Pack</v>
      </c>
      <c r="H324" s="7" t="str">
        <f>INDEX(Raw_Products!$C$2:$C$71,MATCH($F324,Raw_Products!$A$2:$A$71,0))</f>
        <v>Sweets</v>
      </c>
      <c r="I324" s="7">
        <f>VALUE(Raw_Orders!D324)</f>
        <v>2</v>
      </c>
      <c r="J324" s="11" t="str">
        <f>INDEX(Raw_Products!$D$2:$D$71,MATCH($F324,Raw_Products!$A$2:$A$71,0))</f>
        <v>1098</v>
      </c>
      <c r="K324" s="11">
        <f t="shared" si="10"/>
        <v>2196</v>
      </c>
      <c r="L324" s="12">
        <f>DATE(VALUE(RIGHT(Raw_Orders!E324,4)),VALUE(MID(Raw_Orders!E324,4,2)),VALUE(LEFT(Raw_Orders!E324,2)))</f>
        <v>44966</v>
      </c>
      <c r="M324" s="12">
        <f>DATE(VALUE(RIGHT(Raw_Orders!G324,4)),VALUE(MID(Raw_Orders!G324,4,2)),VALUE(LEFT(Raw_Orders!G324,2)))</f>
        <v>44967</v>
      </c>
      <c r="N324" s="7">
        <f t="shared" si="11"/>
        <v>1</v>
      </c>
      <c r="O324" s="7" t="str">
        <f>Raw_Orders!J324</f>
        <v>Anniversary</v>
      </c>
      <c r="P324" s="7" t="str">
        <f>Raw_Orders!I324</f>
        <v>Khora </v>
      </c>
    </row>
    <row r="325" spans="1:16">
      <c r="A325" s="7" t="str">
        <f>Raw_Orders!A325</f>
        <v>324</v>
      </c>
      <c r="B325" s="7" t="str">
        <f>Raw_Orders!B325</f>
        <v>C073</v>
      </c>
      <c r="C325" s="7" t="str">
        <f>INDEX(Raw_Customers!$B$2:$B$101,MATCH($B325,Raw_Customers!$A$2:$A$101,0))</f>
        <v>Zeeshan Tailor</v>
      </c>
      <c r="D325" s="7" t="str">
        <f>TRIM(INDEX(Raw_Customers!$C$2:$C$101,MATCH($B325,Raw_Customers!$A$2:$A$101,0)))</f>
        <v>Parbhani</v>
      </c>
      <c r="E325" s="7" t="str">
        <f>"+91-"&amp;RIGHT("0000000000"&amp;INDEX(Raw_Customers!$D$2:$D$101,MATCH($B325,Raw_Customers!$A$2:$A$101,0)),10)</f>
        <v>+91-8037721297</v>
      </c>
      <c r="F325" s="7" t="str">
        <f>Raw_Orders!C325</f>
        <v>14</v>
      </c>
      <c r="G325" s="7" t="str">
        <f>INDEX(Raw_Products!$B$2:$B$71,MATCH($F325,Raw_Products!$A$2:$A$71,0))</f>
        <v>Deserunt Box</v>
      </c>
      <c r="H325" s="7" t="str">
        <f>INDEX(Raw_Products!$C$2:$C$71,MATCH($F325,Raw_Products!$A$2:$A$71,0))</f>
        <v>Colors</v>
      </c>
      <c r="I325" s="7">
        <f>VALUE(Raw_Orders!D325)</f>
        <v>2</v>
      </c>
      <c r="J325" s="11" t="str">
        <f>INDEX(Raw_Products!$D$2:$D$71,MATCH($F325,Raw_Products!$A$2:$A$71,0))</f>
        <v>1915</v>
      </c>
      <c r="K325" s="11">
        <f t="shared" si="10"/>
        <v>3830</v>
      </c>
      <c r="L325" s="12">
        <f>DATE(VALUE(RIGHT(Raw_Orders!E325,4)),VALUE(MID(Raw_Orders!E325,4,2)),VALUE(LEFT(Raw_Orders!E325,2)))</f>
        <v>44959</v>
      </c>
      <c r="M325" s="12">
        <f>DATE(VALUE(RIGHT(Raw_Orders!G325,4)),VALUE(MID(Raw_Orders!G325,4,2)),VALUE(LEFT(Raw_Orders!G325,2)))</f>
        <v>44968</v>
      </c>
      <c r="N325" s="7">
        <f t="shared" si="11"/>
        <v>9</v>
      </c>
      <c r="O325" s="7" t="str">
        <f>Raw_Orders!J325</f>
        <v>Birthday</v>
      </c>
      <c r="P325" s="7" t="str">
        <f>Raw_Orders!I325</f>
        <v>North Dumdum</v>
      </c>
    </row>
    <row r="326" spans="1:16">
      <c r="A326" s="7" t="str">
        <f>Raw_Orders!A326</f>
        <v>325</v>
      </c>
      <c r="B326" s="7" t="str">
        <f>Raw_Orders!B326</f>
        <v>C091</v>
      </c>
      <c r="C326" s="7" t="str">
        <f>INDEX(Raw_Customers!$B$2:$B$101,MATCH($B326,Raw_Customers!$A$2:$A$101,0))</f>
        <v>Adira Rajan</v>
      </c>
      <c r="D326" s="7" t="str">
        <f>TRIM(INDEX(Raw_Customers!$C$2:$C$101,MATCH($B326,Raw_Customers!$A$2:$A$101,0)))</f>
        <v>New Delhi</v>
      </c>
      <c r="E326" s="7" t="str">
        <f>"+91-"&amp;RIGHT("0000000000"&amp;INDEX(Raw_Customers!$D$2:$D$101,MATCH($B326,Raw_Customers!$A$2:$A$101,0)),10)</f>
        <v>+91-5525478357</v>
      </c>
      <c r="F326" s="7" t="str">
        <f>Raw_Orders!C326</f>
        <v>27</v>
      </c>
      <c r="G326" s="7" t="str">
        <f>INDEX(Raw_Products!$B$2:$B$71,MATCH($F326,Raw_Products!$A$2:$A$71,0))</f>
        <v>Architecto Gift</v>
      </c>
      <c r="H326" s="7" t="str">
        <f>INDEX(Raw_Products!$C$2:$C$71,MATCH($F326,Raw_Products!$A$2:$A$71,0))</f>
        <v>Cake</v>
      </c>
      <c r="I326" s="7">
        <f>VALUE(Raw_Orders!D326)</f>
        <v>5</v>
      </c>
      <c r="J326" s="11" t="str">
        <f>INDEX(Raw_Products!$D$2:$D$71,MATCH($F326,Raw_Products!$A$2:$A$71,0))</f>
        <v>548</v>
      </c>
      <c r="K326" s="11">
        <f t="shared" si="10"/>
        <v>2740</v>
      </c>
      <c r="L326" s="12">
        <f>DATE(VALUE(RIGHT(Raw_Orders!E326,4)),VALUE(MID(Raw_Orders!E326,4,2)),VALUE(LEFT(Raw_Orders!E326,2)))</f>
        <v>45163</v>
      </c>
      <c r="M326" s="12">
        <f>DATE(VALUE(RIGHT(Raw_Orders!G326,4)),VALUE(MID(Raw_Orders!G326,4,2)),VALUE(LEFT(Raw_Orders!G326,2)))</f>
        <v>45173</v>
      </c>
      <c r="N326" s="7">
        <f t="shared" si="11"/>
        <v>10</v>
      </c>
      <c r="O326" s="7" t="str">
        <f>Raw_Orders!J326</f>
        <v>Raksha Bandhan</v>
      </c>
      <c r="P326" s="7" t="str">
        <f>Raw_Orders!I326</f>
        <v>Amritsar</v>
      </c>
    </row>
    <row r="327" spans="1:16">
      <c r="A327" s="7" t="str">
        <f>Raw_Orders!A327</f>
        <v>326</v>
      </c>
      <c r="B327" s="7" t="str">
        <f>Raw_Orders!B327</f>
        <v>C088</v>
      </c>
      <c r="C327" s="7" t="str">
        <f>INDEX(Raw_Customers!$B$2:$B$101,MATCH($B327,Raw_Customers!$A$2:$A$101,0))</f>
        <v>Shalv Kulkarni</v>
      </c>
      <c r="D327" s="7" t="str">
        <f>TRIM(INDEX(Raw_Customers!$C$2:$C$101,MATCH($B327,Raw_Customers!$A$2:$A$101,0)))</f>
        <v>Khora</v>
      </c>
      <c r="E327" s="7" t="str">
        <f>"+91-"&amp;RIGHT("0000000000"&amp;INDEX(Raw_Customers!$D$2:$D$101,MATCH($B327,Raw_Customers!$A$2:$A$101,0)),10)</f>
        <v>+91-9113488461</v>
      </c>
      <c r="F327" s="7" t="str">
        <f>Raw_Orders!C327</f>
        <v>34</v>
      </c>
      <c r="G327" s="7" t="str">
        <f>INDEX(Raw_Products!$B$2:$B$71,MATCH($F327,Raw_Products!$A$2:$A$71,0))</f>
        <v>Placeat Pack</v>
      </c>
      <c r="H327" s="7" t="str">
        <f>INDEX(Raw_Products!$C$2:$C$71,MATCH($F327,Raw_Products!$A$2:$A$71,0))</f>
        <v>Soft Toys</v>
      </c>
      <c r="I327" s="7">
        <f>VALUE(Raw_Orders!D327)</f>
        <v>3</v>
      </c>
      <c r="J327" s="11" t="str">
        <f>INDEX(Raw_Products!$D$2:$D$71,MATCH($F327,Raw_Products!$A$2:$A$71,0))</f>
        <v>1335</v>
      </c>
      <c r="K327" s="11">
        <f t="shared" si="10"/>
        <v>4005</v>
      </c>
      <c r="L327" s="12">
        <f>DATE(VALUE(RIGHT(Raw_Orders!E327,4)),VALUE(MID(Raw_Orders!E327,4,2)),VALUE(LEFT(Raw_Orders!E327,2)))</f>
        <v>45165</v>
      </c>
      <c r="M327" s="12">
        <f>DATE(VALUE(RIGHT(Raw_Orders!G327,4)),VALUE(MID(Raw_Orders!G327,4,2)),VALUE(LEFT(Raw_Orders!G327,2)))</f>
        <v>45172</v>
      </c>
      <c r="N327" s="7">
        <f t="shared" si="11"/>
        <v>7</v>
      </c>
      <c r="O327" s="7" t="str">
        <f>Raw_Orders!J327</f>
        <v>Raksha Bandhan</v>
      </c>
      <c r="P327" s="7" t="str">
        <f>Raw_Orders!I327</f>
        <v>Panchkula</v>
      </c>
    </row>
    <row r="328" spans="1:16">
      <c r="A328" s="7" t="str">
        <f>Raw_Orders!A328</f>
        <v>327</v>
      </c>
      <c r="B328" s="7" t="str">
        <f>Raw_Orders!B328</f>
        <v>C048</v>
      </c>
      <c r="C328" s="7" t="str">
        <f>INDEX(Raw_Customers!$B$2:$B$101,MATCH($B328,Raw_Customers!$A$2:$A$101,0))</f>
        <v>Aradhya Kale</v>
      </c>
      <c r="D328" s="7" t="str">
        <f>TRIM(INDEX(Raw_Customers!$C$2:$C$101,MATCH($B328,Raw_Customers!$A$2:$A$101,0)))</f>
        <v>Guntakal</v>
      </c>
      <c r="E328" s="7" t="str">
        <f>"+91-"&amp;RIGHT("0000000000"&amp;INDEX(Raw_Customers!$D$2:$D$101,MATCH($B328,Raw_Customers!$A$2:$A$101,0)),10)</f>
        <v>+91-7979926231</v>
      </c>
      <c r="F328" s="7" t="str">
        <f>Raw_Orders!C328</f>
        <v>51</v>
      </c>
      <c r="G328" s="7" t="str">
        <f>INDEX(Raw_Products!$B$2:$B$71,MATCH($F328,Raw_Products!$A$2:$A$71,0))</f>
        <v>Fugit Set</v>
      </c>
      <c r="H328" s="7" t="str">
        <f>INDEX(Raw_Products!$C$2:$C$71,MATCH($F328,Raw_Products!$A$2:$A$71,0))</f>
        <v>Soft Toys</v>
      </c>
      <c r="I328" s="7">
        <f>VALUE(Raw_Orders!D328)</f>
        <v>1</v>
      </c>
      <c r="J328" s="11" t="str">
        <f>INDEX(Raw_Products!$D$2:$D$71,MATCH($F328,Raw_Products!$A$2:$A$71,0))</f>
        <v>1084</v>
      </c>
      <c r="K328" s="11">
        <f t="shared" si="10"/>
        <v>1084</v>
      </c>
      <c r="L328" s="12">
        <f>DATE(VALUE(RIGHT(Raw_Orders!E328,4)),VALUE(MID(Raw_Orders!E328,4,2)),VALUE(LEFT(Raw_Orders!E328,2)))</f>
        <v>45193</v>
      </c>
      <c r="M328" s="12">
        <f>DATE(VALUE(RIGHT(Raw_Orders!G328,4)),VALUE(MID(Raw_Orders!G328,4,2)),VALUE(LEFT(Raw_Orders!G328,2)))</f>
        <v>45195</v>
      </c>
      <c r="N328" s="7">
        <f t="shared" si="11"/>
        <v>2</v>
      </c>
      <c r="O328" s="7" t="str">
        <f>Raw_Orders!J328</f>
        <v>All Occasions</v>
      </c>
      <c r="P328" s="7" t="str">
        <f>Raw_Orders!I328</f>
        <v>Muzaffarnagar</v>
      </c>
    </row>
    <row r="329" spans="1:16">
      <c r="A329" s="7" t="str">
        <f>Raw_Orders!A329</f>
        <v>328</v>
      </c>
      <c r="B329" s="7" t="str">
        <f>Raw_Orders!B329</f>
        <v>C024</v>
      </c>
      <c r="C329" s="7" t="str">
        <f>INDEX(Raw_Customers!$B$2:$B$101,MATCH($B329,Raw_Customers!$A$2:$A$101,0))</f>
        <v>Jhanvi Chowdhury</v>
      </c>
      <c r="D329" s="7" t="str">
        <f>TRIM(INDEX(Raw_Customers!$C$2:$C$101,MATCH($B329,Raw_Customers!$A$2:$A$101,0)))</f>
        <v>Kavali</v>
      </c>
      <c r="E329" s="7" t="str">
        <f>"+91-"&amp;RIGHT("0000000000"&amp;INDEX(Raw_Customers!$D$2:$D$101,MATCH($B329,Raw_Customers!$A$2:$A$101,0)),10)</f>
        <v>+91-0316756360</v>
      </c>
      <c r="F329" s="7" t="str">
        <f>Raw_Orders!C329</f>
        <v>23</v>
      </c>
      <c r="G329" s="7" t="str">
        <f>INDEX(Raw_Products!$B$2:$B$71,MATCH($F329,Raw_Products!$A$2:$A$71,0))</f>
        <v>Dignissimos Pack</v>
      </c>
      <c r="H329" s="7" t="str">
        <f>INDEX(Raw_Products!$C$2:$C$71,MATCH($F329,Raw_Products!$A$2:$A$71,0))</f>
        <v>Sweets</v>
      </c>
      <c r="I329" s="7">
        <f>VALUE(Raw_Orders!D329)</f>
        <v>3</v>
      </c>
      <c r="J329" s="11" t="str">
        <f>INDEX(Raw_Products!$D$2:$D$71,MATCH($F329,Raw_Products!$A$2:$A$71,0))</f>
        <v>1098</v>
      </c>
      <c r="K329" s="11">
        <f t="shared" si="10"/>
        <v>3294</v>
      </c>
      <c r="L329" s="12">
        <f>DATE(VALUE(RIGHT(Raw_Orders!E329,4)),VALUE(MID(Raw_Orders!E329,4,2)),VALUE(LEFT(Raw_Orders!E329,2)))</f>
        <v>45033</v>
      </c>
      <c r="M329" s="12">
        <f>DATE(VALUE(RIGHT(Raw_Orders!G329,4)),VALUE(MID(Raw_Orders!G329,4,2)),VALUE(LEFT(Raw_Orders!G329,2)))</f>
        <v>45038</v>
      </c>
      <c r="N329" s="7">
        <f t="shared" si="11"/>
        <v>5</v>
      </c>
      <c r="O329" s="7" t="str">
        <f>Raw_Orders!J329</f>
        <v>Anniversary</v>
      </c>
      <c r="P329" s="7" t="str">
        <f>Raw_Orders!I329</f>
        <v>Maheshtala</v>
      </c>
    </row>
    <row r="330" spans="1:16">
      <c r="A330" s="7" t="str">
        <f>Raw_Orders!A330</f>
        <v>329</v>
      </c>
      <c r="B330" s="7" t="str">
        <f>Raw_Orders!B330</f>
        <v>C095</v>
      </c>
      <c r="C330" s="7" t="str">
        <f>INDEX(Raw_Customers!$B$2:$B$101,MATCH($B330,Raw_Customers!$A$2:$A$101,0))</f>
        <v>Mahika Cherian</v>
      </c>
      <c r="D330" s="7" t="str">
        <f>TRIM(INDEX(Raw_Customers!$C$2:$C$101,MATCH($B330,Raw_Customers!$A$2:$A$101,0)))</f>
        <v>Warangal</v>
      </c>
      <c r="E330" s="7" t="str">
        <f>"+91-"&amp;RIGHT("0000000000"&amp;INDEX(Raw_Customers!$D$2:$D$101,MATCH($B330,Raw_Customers!$A$2:$A$101,0)),10)</f>
        <v>+91-2769457161</v>
      </c>
      <c r="F330" s="7" t="str">
        <f>Raw_Orders!C330</f>
        <v>17</v>
      </c>
      <c r="G330" s="7" t="str">
        <f>INDEX(Raw_Products!$B$2:$B$71,MATCH($F330,Raw_Products!$A$2:$A$71,0))</f>
        <v>Delectus Gift</v>
      </c>
      <c r="H330" s="7" t="str">
        <f>INDEX(Raw_Products!$C$2:$C$71,MATCH($F330,Raw_Products!$A$2:$A$71,0))</f>
        <v>Soft Toys</v>
      </c>
      <c r="I330" s="7">
        <f>VALUE(Raw_Orders!D330)</f>
        <v>3</v>
      </c>
      <c r="J330" s="11" t="str">
        <f>INDEX(Raw_Products!$D$2:$D$71,MATCH($F330,Raw_Products!$A$2:$A$71,0))</f>
        <v>1899</v>
      </c>
      <c r="K330" s="11">
        <f t="shared" si="10"/>
        <v>5697</v>
      </c>
      <c r="L330" s="12">
        <f>DATE(VALUE(RIGHT(Raw_Orders!E330,4)),VALUE(MID(Raw_Orders!E330,4,2)),VALUE(LEFT(Raw_Orders!E330,2)))</f>
        <v>45164</v>
      </c>
      <c r="M330" s="12">
        <f>DATE(VALUE(RIGHT(Raw_Orders!G330,4)),VALUE(MID(Raw_Orders!G330,4,2)),VALUE(LEFT(Raw_Orders!G330,2)))</f>
        <v>45173</v>
      </c>
      <c r="N330" s="7">
        <f t="shared" si="11"/>
        <v>9</v>
      </c>
      <c r="O330" s="7" t="str">
        <f>Raw_Orders!J330</f>
        <v>Anniversary</v>
      </c>
      <c r="P330" s="7" t="str">
        <f>Raw_Orders!I330</f>
        <v>Nashik</v>
      </c>
    </row>
    <row r="331" spans="1:16">
      <c r="A331" s="7" t="str">
        <f>Raw_Orders!A331</f>
        <v>330</v>
      </c>
      <c r="B331" s="7" t="str">
        <f>Raw_Orders!B331</f>
        <v>C059</v>
      </c>
      <c r="C331" s="7" t="str">
        <f>INDEX(Raw_Customers!$B$2:$B$101,MATCH($B331,Raw_Customers!$A$2:$A$101,0))</f>
        <v>Nirvi Wagle</v>
      </c>
      <c r="D331" s="7" t="str">
        <f>TRIM(INDEX(Raw_Customers!$C$2:$C$101,MATCH($B331,Raw_Customers!$A$2:$A$101,0)))</f>
        <v>Kalyan-Dombivli</v>
      </c>
      <c r="E331" s="7" t="str">
        <f>"+91-"&amp;RIGHT("0000000000"&amp;INDEX(Raw_Customers!$D$2:$D$101,MATCH($B331,Raw_Customers!$A$2:$A$101,0)),10)</f>
        <v>+91-5869821393</v>
      </c>
      <c r="F331" s="7" t="str">
        <f>Raw_Orders!C331</f>
        <v>59</v>
      </c>
      <c r="G331" s="7" t="str">
        <f>INDEX(Raw_Products!$B$2:$B$71,MATCH($F331,Raw_Products!$A$2:$A$71,0))</f>
        <v>Pariatur Box</v>
      </c>
      <c r="H331" s="7" t="str">
        <f>INDEX(Raw_Products!$C$2:$C$71,MATCH($F331,Raw_Products!$A$2:$A$71,0))</f>
        <v>Cake</v>
      </c>
      <c r="I331" s="7">
        <f>VALUE(Raw_Orders!D331)</f>
        <v>2</v>
      </c>
      <c r="J331" s="11" t="str">
        <f>INDEX(Raw_Products!$D$2:$D$71,MATCH($F331,Raw_Products!$A$2:$A$71,0))</f>
        <v>811</v>
      </c>
      <c r="K331" s="11">
        <f t="shared" si="10"/>
        <v>1622</v>
      </c>
      <c r="L331" s="12">
        <f>DATE(VALUE(RIGHT(Raw_Orders!E331,4)),VALUE(MID(Raw_Orders!E331,4,2)),VALUE(LEFT(Raw_Orders!E331,2)))</f>
        <v>45162</v>
      </c>
      <c r="M331" s="12">
        <f>DATE(VALUE(RIGHT(Raw_Orders!G331,4)),VALUE(MID(Raw_Orders!G331,4,2)),VALUE(LEFT(Raw_Orders!G331,2)))</f>
        <v>45170</v>
      </c>
      <c r="N331" s="7">
        <f t="shared" si="11"/>
        <v>8</v>
      </c>
      <c r="O331" s="7" t="str">
        <f>Raw_Orders!J331</f>
        <v>Raksha Bandhan</v>
      </c>
      <c r="P331" s="7" t="str">
        <f>Raw_Orders!I331</f>
        <v>Shahjahanpur</v>
      </c>
    </row>
    <row r="332" spans="1:16">
      <c r="A332" s="7" t="str">
        <f>Raw_Orders!A332</f>
        <v>331</v>
      </c>
      <c r="B332" s="7" t="str">
        <f>Raw_Orders!B332</f>
        <v>C023</v>
      </c>
      <c r="C332" s="7" t="str">
        <f>INDEX(Raw_Customers!$B$2:$B$101,MATCH($B332,Raw_Customers!$A$2:$A$101,0))</f>
        <v>Abram Sandhu</v>
      </c>
      <c r="D332" s="7" t="str">
        <f>TRIM(INDEX(Raw_Customers!$C$2:$C$101,MATCH($B332,Raw_Customers!$A$2:$A$101,0)))</f>
        <v>Bidhannagar</v>
      </c>
      <c r="E332" s="7" t="str">
        <f>"+91-"&amp;RIGHT("0000000000"&amp;INDEX(Raw_Customers!$D$2:$D$101,MATCH($B332,Raw_Customers!$A$2:$A$101,0)),10)</f>
        <v>+91-7196287267</v>
      </c>
      <c r="F332" s="7" t="str">
        <f>Raw_Orders!C332</f>
        <v>41</v>
      </c>
      <c r="G332" s="7" t="str">
        <f>INDEX(Raw_Products!$B$2:$B$71,MATCH($F332,Raw_Products!$A$2:$A$71,0))</f>
        <v>Aut Box</v>
      </c>
      <c r="H332" s="7" t="str">
        <f>INDEX(Raw_Products!$C$2:$C$71,MATCH($F332,Raw_Products!$A$2:$A$71,0))</f>
        <v>Sweets</v>
      </c>
      <c r="I332" s="7">
        <f>VALUE(Raw_Orders!D332)</f>
        <v>5</v>
      </c>
      <c r="J332" s="11" t="str">
        <f>INDEX(Raw_Products!$D$2:$D$71,MATCH($F332,Raw_Products!$A$2:$A$71,0))</f>
        <v>1977</v>
      </c>
      <c r="K332" s="11">
        <f t="shared" si="10"/>
        <v>9885</v>
      </c>
      <c r="L332" s="12">
        <f>DATE(VALUE(RIGHT(Raw_Orders!E332,4)),VALUE(MID(Raw_Orders!E332,4,2)),VALUE(LEFT(Raw_Orders!E332,2)))</f>
        <v>45234</v>
      </c>
      <c r="M332" s="12">
        <f>DATE(VALUE(RIGHT(Raw_Orders!G332,4)),VALUE(MID(Raw_Orders!G332,4,2)),VALUE(LEFT(Raw_Orders!G332,2)))</f>
        <v>45235</v>
      </c>
      <c r="N332" s="7">
        <f t="shared" si="11"/>
        <v>1</v>
      </c>
      <c r="O332" s="7" t="str">
        <f>Raw_Orders!J332</f>
        <v>Diwali</v>
      </c>
      <c r="P332" s="7" t="str">
        <f>Raw_Orders!I332</f>
        <v>Patna</v>
      </c>
    </row>
    <row r="333" spans="1:16">
      <c r="A333" s="7" t="str">
        <f>Raw_Orders!A333</f>
        <v>332</v>
      </c>
      <c r="B333" s="7" t="str">
        <f>Raw_Orders!B333</f>
        <v>C052</v>
      </c>
      <c r="C333" s="7" t="str">
        <f>INDEX(Raw_Customers!$B$2:$B$101,MATCH($B333,Raw_Customers!$A$2:$A$101,0))</f>
        <v>Vardaniya Apte</v>
      </c>
      <c r="D333" s="7" t="str">
        <f>TRIM(INDEX(Raw_Customers!$C$2:$C$101,MATCH($B333,Raw_Customers!$A$2:$A$101,0)))</f>
        <v>Dhanbad</v>
      </c>
      <c r="E333" s="7" t="str">
        <f>"+91-"&amp;RIGHT("0000000000"&amp;INDEX(Raw_Customers!$D$2:$D$101,MATCH($B333,Raw_Customers!$A$2:$A$101,0)),10)</f>
        <v>+91-5846932069</v>
      </c>
      <c r="F333" s="7" t="str">
        <f>Raw_Orders!C333</f>
        <v>20</v>
      </c>
      <c r="G333" s="7" t="str">
        <f>INDEX(Raw_Products!$B$2:$B$71,MATCH($F333,Raw_Products!$A$2:$A$71,0))</f>
        <v>Reiciendis Box</v>
      </c>
      <c r="H333" s="7" t="str">
        <f>INDEX(Raw_Products!$C$2:$C$71,MATCH($F333,Raw_Products!$A$2:$A$71,0))</f>
        <v>Colors</v>
      </c>
      <c r="I333" s="7">
        <f>VALUE(Raw_Orders!D333)</f>
        <v>5</v>
      </c>
      <c r="J333" s="11" t="str">
        <f>INDEX(Raw_Products!$D$2:$D$71,MATCH($F333,Raw_Products!$A$2:$A$71,0))</f>
        <v>697</v>
      </c>
      <c r="K333" s="11">
        <f t="shared" si="10"/>
        <v>3485</v>
      </c>
      <c r="L333" s="12">
        <f>DATE(VALUE(RIGHT(Raw_Orders!E333,4)),VALUE(MID(Raw_Orders!E333,4,2)),VALUE(LEFT(Raw_Orders!E333,2)))</f>
        <v>45027</v>
      </c>
      <c r="M333" s="12">
        <f>DATE(VALUE(RIGHT(Raw_Orders!G333,4)),VALUE(MID(Raw_Orders!G333,4,2)),VALUE(LEFT(Raw_Orders!G333,2)))</f>
        <v>45034</v>
      </c>
      <c r="N333" s="7">
        <f t="shared" si="11"/>
        <v>7</v>
      </c>
      <c r="O333" s="7" t="str">
        <f>Raw_Orders!J333</f>
        <v>Anniversary</v>
      </c>
      <c r="P333" s="7" t="str">
        <f>Raw_Orders!I333</f>
        <v>Khammam</v>
      </c>
    </row>
    <row r="334" spans="1:16">
      <c r="A334" s="7" t="str">
        <f>Raw_Orders!A334</f>
        <v>333</v>
      </c>
      <c r="B334" s="7" t="str">
        <f>Raw_Orders!B334</f>
        <v>C100</v>
      </c>
      <c r="C334" s="7" t="str">
        <f>INDEX(Raw_Customers!$B$2:$B$101,MATCH($B334,Raw_Customers!$A$2:$A$101,0))</f>
        <v>Pranay Chaudhary</v>
      </c>
      <c r="D334" s="7" t="str">
        <f>TRIM(INDEX(Raw_Customers!$C$2:$C$101,MATCH($B334,Raw_Customers!$A$2:$A$101,0)))</f>
        <v>Phagwara</v>
      </c>
      <c r="E334" s="7" t="str">
        <f>"+91-"&amp;RIGHT("0000000000"&amp;INDEX(Raw_Customers!$D$2:$D$101,MATCH($B334,Raw_Customers!$A$2:$A$101,0)),10)</f>
        <v>+91-9478540370</v>
      </c>
      <c r="F334" s="7" t="str">
        <f>Raw_Orders!C334</f>
        <v>22</v>
      </c>
      <c r="G334" s="7" t="str">
        <f>INDEX(Raw_Products!$B$2:$B$71,MATCH($F334,Raw_Products!$A$2:$A$71,0))</f>
        <v>Exercitationem Pack</v>
      </c>
      <c r="H334" s="7" t="str">
        <f>INDEX(Raw_Products!$C$2:$C$71,MATCH($F334,Raw_Products!$A$2:$A$71,0))</f>
        <v>Soft Toys</v>
      </c>
      <c r="I334" s="7">
        <f>VALUE(Raw_Orders!D334)</f>
        <v>5</v>
      </c>
      <c r="J334" s="11" t="str">
        <f>INDEX(Raw_Products!$D$2:$D$71,MATCH($F334,Raw_Products!$A$2:$A$71,0))</f>
        <v>1639</v>
      </c>
      <c r="K334" s="11">
        <f t="shared" si="10"/>
        <v>8195</v>
      </c>
      <c r="L334" s="12">
        <f>DATE(VALUE(RIGHT(Raw_Orders!E334,4)),VALUE(MID(Raw_Orders!E334,4,2)),VALUE(LEFT(Raw_Orders!E334,2)))</f>
        <v>44966</v>
      </c>
      <c r="M334" s="12">
        <f>DATE(VALUE(RIGHT(Raw_Orders!G334,4)),VALUE(MID(Raw_Orders!G334,4,2)),VALUE(LEFT(Raw_Orders!G334,2)))</f>
        <v>44967</v>
      </c>
      <c r="N334" s="7">
        <f t="shared" si="11"/>
        <v>1</v>
      </c>
      <c r="O334" s="7" t="str">
        <f>Raw_Orders!J334</f>
        <v>All Occasions</v>
      </c>
      <c r="P334" s="7" t="str">
        <f>Raw_Orders!I334</f>
        <v>South Dumdum</v>
      </c>
    </row>
    <row r="335" spans="1:16">
      <c r="A335" s="7" t="str">
        <f>Raw_Orders!A335</f>
        <v>334</v>
      </c>
      <c r="B335" s="7" t="str">
        <f>Raw_Orders!B335</f>
        <v>C066</v>
      </c>
      <c r="C335" s="7" t="str">
        <f>INDEX(Raw_Customers!$B$2:$B$101,MATCH($B335,Raw_Customers!$A$2:$A$101,0))</f>
        <v>Eshani Buch</v>
      </c>
      <c r="D335" s="7" t="str">
        <f>TRIM(INDEX(Raw_Customers!$C$2:$C$101,MATCH($B335,Raw_Customers!$A$2:$A$101,0)))</f>
        <v>Malegaon</v>
      </c>
      <c r="E335" s="7" t="str">
        <f>"+91-"&amp;RIGHT("0000000000"&amp;INDEX(Raw_Customers!$D$2:$D$101,MATCH($B335,Raw_Customers!$A$2:$A$101,0)),10)</f>
        <v>+91-7436178055</v>
      </c>
      <c r="F335" s="7" t="str">
        <f>Raw_Orders!C335</f>
        <v>53</v>
      </c>
      <c r="G335" s="7" t="str">
        <f>INDEX(Raw_Products!$B$2:$B$71,MATCH($F335,Raw_Products!$A$2:$A$71,0))</f>
        <v>Ipsam Set</v>
      </c>
      <c r="H335" s="7" t="str">
        <f>INDEX(Raw_Products!$C$2:$C$71,MATCH($F335,Raw_Products!$A$2:$A$71,0))</f>
        <v>Sweets</v>
      </c>
      <c r="I335" s="7">
        <f>VALUE(Raw_Orders!D335)</f>
        <v>1</v>
      </c>
      <c r="J335" s="11" t="str">
        <f>INDEX(Raw_Products!$D$2:$D$71,MATCH($F335,Raw_Products!$A$2:$A$71,0))</f>
        <v>1672</v>
      </c>
      <c r="K335" s="11">
        <f t="shared" si="10"/>
        <v>1672</v>
      </c>
      <c r="L335" s="12">
        <f>DATE(VALUE(RIGHT(Raw_Orders!E335,4)),VALUE(MID(Raw_Orders!E335,4,2)),VALUE(LEFT(Raw_Orders!E335,2)))</f>
        <v>45166</v>
      </c>
      <c r="M335" s="12">
        <f>DATE(VALUE(RIGHT(Raw_Orders!G335,4)),VALUE(MID(Raw_Orders!G335,4,2)),VALUE(LEFT(Raw_Orders!G335,2)))</f>
        <v>45170</v>
      </c>
      <c r="N335" s="7">
        <f t="shared" si="11"/>
        <v>4</v>
      </c>
      <c r="O335" s="7" t="str">
        <f>Raw_Orders!J335</f>
        <v>Raksha Bandhan</v>
      </c>
      <c r="P335" s="7" t="str">
        <f>Raw_Orders!I335</f>
        <v>Patiala</v>
      </c>
    </row>
    <row r="336" spans="1:16">
      <c r="A336" s="7" t="str">
        <f>Raw_Orders!A336</f>
        <v>335</v>
      </c>
      <c r="B336" s="7" t="str">
        <f>Raw_Orders!B336</f>
        <v>C013</v>
      </c>
      <c r="C336" s="7" t="str">
        <f>INDEX(Raw_Customers!$B$2:$B$101,MATCH($B336,Raw_Customers!$A$2:$A$101,0))</f>
        <v>Manikya Goswami</v>
      </c>
      <c r="D336" s="7" t="str">
        <f>TRIM(INDEX(Raw_Customers!$C$2:$C$101,MATCH($B336,Raw_Customers!$A$2:$A$101,0)))</f>
        <v>Mangalore</v>
      </c>
      <c r="E336" s="7" t="str">
        <f>"+91-"&amp;RIGHT("0000000000"&amp;INDEX(Raw_Customers!$D$2:$D$101,MATCH($B336,Raw_Customers!$A$2:$A$101,0)),10)</f>
        <v>+91-2112817503</v>
      </c>
      <c r="F336" s="7" t="str">
        <f>Raw_Orders!C336</f>
        <v>17</v>
      </c>
      <c r="G336" s="7" t="str">
        <f>INDEX(Raw_Products!$B$2:$B$71,MATCH($F336,Raw_Products!$A$2:$A$71,0))</f>
        <v>Delectus Gift</v>
      </c>
      <c r="H336" s="7" t="str">
        <f>INDEX(Raw_Products!$C$2:$C$71,MATCH($F336,Raw_Products!$A$2:$A$71,0))</f>
        <v>Soft Toys</v>
      </c>
      <c r="I336" s="7">
        <f>VALUE(Raw_Orders!D336)</f>
        <v>2</v>
      </c>
      <c r="J336" s="11" t="str">
        <f>INDEX(Raw_Products!$D$2:$D$71,MATCH($F336,Raw_Products!$A$2:$A$71,0))</f>
        <v>1899</v>
      </c>
      <c r="K336" s="11">
        <f t="shared" si="10"/>
        <v>3798</v>
      </c>
      <c r="L336" s="12">
        <f>DATE(VALUE(RIGHT(Raw_Orders!E336,4)),VALUE(MID(Raw_Orders!E336,4,2)),VALUE(LEFT(Raw_Orders!E336,2)))</f>
        <v>45236</v>
      </c>
      <c r="M336" s="12">
        <f>DATE(VALUE(RIGHT(Raw_Orders!G336,4)),VALUE(MID(Raw_Orders!G336,4,2)),VALUE(LEFT(Raw_Orders!G336,2)))</f>
        <v>45238</v>
      </c>
      <c r="N336" s="7">
        <f t="shared" si="11"/>
        <v>2</v>
      </c>
      <c r="O336" s="7" t="str">
        <f>Raw_Orders!J336</f>
        <v>Anniversary</v>
      </c>
      <c r="P336" s="7" t="str">
        <f>Raw_Orders!I336</f>
        <v>Sri Ganganagar</v>
      </c>
    </row>
    <row r="337" spans="1:16">
      <c r="A337" s="7" t="str">
        <f>Raw_Orders!A337</f>
        <v>336</v>
      </c>
      <c r="B337" s="7" t="str">
        <f>Raw_Orders!B337</f>
        <v>C069</v>
      </c>
      <c r="C337" s="7" t="str">
        <f>INDEX(Raw_Customers!$B$2:$B$101,MATCH($B337,Raw_Customers!$A$2:$A$101,0))</f>
        <v>Hunar Tripathi</v>
      </c>
      <c r="D337" s="7" t="str">
        <f>TRIM(INDEX(Raw_Customers!$C$2:$C$101,MATCH($B337,Raw_Customers!$A$2:$A$101,0)))</f>
        <v>Madhyamgram</v>
      </c>
      <c r="E337" s="7" t="str">
        <f>"+91-"&amp;RIGHT("0000000000"&amp;INDEX(Raw_Customers!$D$2:$D$101,MATCH($B337,Raw_Customers!$A$2:$A$101,0)),10)</f>
        <v>+91-1440411271</v>
      </c>
      <c r="F337" s="7" t="str">
        <f>Raw_Orders!C337</f>
        <v>53</v>
      </c>
      <c r="G337" s="7" t="str">
        <f>INDEX(Raw_Products!$B$2:$B$71,MATCH($F337,Raw_Products!$A$2:$A$71,0))</f>
        <v>Ipsam Set</v>
      </c>
      <c r="H337" s="7" t="str">
        <f>INDEX(Raw_Products!$C$2:$C$71,MATCH($F337,Raw_Products!$A$2:$A$71,0))</f>
        <v>Sweets</v>
      </c>
      <c r="I337" s="7">
        <f>VALUE(Raw_Orders!D337)</f>
        <v>1</v>
      </c>
      <c r="J337" s="11" t="str">
        <f>INDEX(Raw_Products!$D$2:$D$71,MATCH($F337,Raw_Products!$A$2:$A$71,0))</f>
        <v>1672</v>
      </c>
      <c r="K337" s="11">
        <f t="shared" si="10"/>
        <v>1672</v>
      </c>
      <c r="L337" s="12">
        <f>DATE(VALUE(RIGHT(Raw_Orders!E337,4)),VALUE(MID(Raw_Orders!E337,4,2)),VALUE(LEFT(Raw_Orders!E337,2)))</f>
        <v>45158</v>
      </c>
      <c r="M337" s="12">
        <f>DATE(VALUE(RIGHT(Raw_Orders!G337,4)),VALUE(MID(Raw_Orders!G337,4,2)),VALUE(LEFT(Raw_Orders!G337,2)))</f>
        <v>45163</v>
      </c>
      <c r="N337" s="7">
        <f t="shared" si="11"/>
        <v>5</v>
      </c>
      <c r="O337" s="7" t="str">
        <f>Raw_Orders!J337</f>
        <v>Raksha Bandhan</v>
      </c>
      <c r="P337" s="7" t="str">
        <f>Raw_Orders!I337</f>
        <v>Tiruchirappalli</v>
      </c>
    </row>
    <row r="338" spans="1:16">
      <c r="A338" s="7" t="str">
        <f>Raw_Orders!A338</f>
        <v>337</v>
      </c>
      <c r="B338" s="7" t="str">
        <f>Raw_Orders!B338</f>
        <v>C008</v>
      </c>
      <c r="C338" s="7" t="str">
        <f>INDEX(Raw_Customers!$B$2:$B$101,MATCH($B338,Raw_Customers!$A$2:$A$101,0))</f>
        <v>Veer Ray</v>
      </c>
      <c r="D338" s="7" t="str">
        <f>TRIM(INDEX(Raw_Customers!$C$2:$C$101,MATCH($B338,Raw_Customers!$A$2:$A$101,0)))</f>
        <v>Chinsurah</v>
      </c>
      <c r="E338" s="7" t="str">
        <f>"+91-"&amp;RIGHT("0000000000"&amp;INDEX(Raw_Customers!$D$2:$D$101,MATCH($B338,Raw_Customers!$A$2:$A$101,0)),10)</f>
        <v>+91-7138085704</v>
      </c>
      <c r="F338" s="7" t="str">
        <f>Raw_Orders!C338</f>
        <v>24</v>
      </c>
      <c r="G338" s="7" t="str">
        <f>INDEX(Raw_Products!$B$2:$B$71,MATCH($F338,Raw_Products!$A$2:$A$71,0))</f>
        <v>Ad Box</v>
      </c>
      <c r="H338" s="7" t="str">
        <f>INDEX(Raw_Products!$C$2:$C$71,MATCH($F338,Raw_Products!$A$2:$A$71,0))</f>
        <v>Mugs</v>
      </c>
      <c r="I338" s="7">
        <f>VALUE(Raw_Orders!D338)</f>
        <v>3</v>
      </c>
      <c r="J338" s="11" t="str">
        <f>INDEX(Raw_Products!$D$2:$D$71,MATCH($F338,Raw_Products!$A$2:$A$71,0))</f>
        <v>535</v>
      </c>
      <c r="K338" s="11">
        <f t="shared" si="10"/>
        <v>1605</v>
      </c>
      <c r="L338" s="12">
        <f>DATE(VALUE(RIGHT(Raw_Orders!E338,4)),VALUE(MID(Raw_Orders!E338,4,2)),VALUE(LEFT(Raw_Orders!E338,2)))</f>
        <v>45062</v>
      </c>
      <c r="M338" s="12">
        <f>DATE(VALUE(RIGHT(Raw_Orders!G338,4)),VALUE(MID(Raw_Orders!G338,4,2)),VALUE(LEFT(Raw_Orders!G338,2)))</f>
        <v>45068</v>
      </c>
      <c r="N338" s="7">
        <f t="shared" si="11"/>
        <v>6</v>
      </c>
      <c r="O338" s="7" t="str">
        <f>Raw_Orders!J338</f>
        <v>Birthday</v>
      </c>
      <c r="P338" s="7" t="str">
        <f>Raw_Orders!I338</f>
        <v>Siwan</v>
      </c>
    </row>
    <row r="339" spans="1:16">
      <c r="A339" s="7" t="str">
        <f>Raw_Orders!A339</f>
        <v>338</v>
      </c>
      <c r="B339" s="7" t="str">
        <f>Raw_Orders!B339</f>
        <v>C087</v>
      </c>
      <c r="C339" s="7" t="str">
        <f>INDEX(Raw_Customers!$B$2:$B$101,MATCH($B339,Raw_Customers!$A$2:$A$101,0))</f>
        <v>Rania Bhatt</v>
      </c>
      <c r="D339" s="7" t="str">
        <f>TRIM(INDEX(Raw_Customers!$C$2:$C$101,MATCH($B339,Raw_Customers!$A$2:$A$101,0)))</f>
        <v>North Dumdum</v>
      </c>
      <c r="E339" s="7" t="str">
        <f>"+91-"&amp;RIGHT("0000000000"&amp;INDEX(Raw_Customers!$D$2:$D$101,MATCH($B339,Raw_Customers!$A$2:$A$101,0)),10)</f>
        <v>+91-2112404207</v>
      </c>
      <c r="F339" s="7" t="str">
        <f>Raw_Orders!C339</f>
        <v>21</v>
      </c>
      <c r="G339" s="7" t="str">
        <f>INDEX(Raw_Products!$B$2:$B$71,MATCH($F339,Raw_Products!$A$2:$A$71,0))</f>
        <v>Quia Gift</v>
      </c>
      <c r="H339" s="7" t="str">
        <f>INDEX(Raw_Products!$C$2:$C$71,MATCH($F339,Raw_Products!$A$2:$A$71,0))</f>
        <v>Colors</v>
      </c>
      <c r="I339" s="7">
        <f>VALUE(Raw_Orders!D339)</f>
        <v>3</v>
      </c>
      <c r="J339" s="11" t="str">
        <f>INDEX(Raw_Products!$D$2:$D$71,MATCH($F339,Raw_Products!$A$2:$A$71,0))</f>
        <v>1561</v>
      </c>
      <c r="K339" s="11">
        <f t="shared" si="10"/>
        <v>4683</v>
      </c>
      <c r="L339" s="12">
        <f>DATE(VALUE(RIGHT(Raw_Orders!E339,4)),VALUE(MID(Raw_Orders!E339,4,2)),VALUE(LEFT(Raw_Orders!E339,2)))</f>
        <v>45158</v>
      </c>
      <c r="M339" s="12">
        <f>DATE(VALUE(RIGHT(Raw_Orders!G339,4)),VALUE(MID(Raw_Orders!G339,4,2)),VALUE(LEFT(Raw_Orders!G339,2)))</f>
        <v>45166</v>
      </c>
      <c r="N339" s="7">
        <f t="shared" si="11"/>
        <v>8</v>
      </c>
      <c r="O339" s="7" t="str">
        <f>Raw_Orders!J339</f>
        <v>Raksha Bandhan</v>
      </c>
      <c r="P339" s="7" t="str">
        <f>Raw_Orders!I339</f>
        <v>Panchkula</v>
      </c>
    </row>
    <row r="340" spans="1:16">
      <c r="A340" s="7" t="str">
        <f>Raw_Orders!A340</f>
        <v>339</v>
      </c>
      <c r="B340" s="7" t="str">
        <f>Raw_Orders!B340</f>
        <v>C083</v>
      </c>
      <c r="C340" s="7" t="str">
        <f>INDEX(Raw_Customers!$B$2:$B$101,MATCH($B340,Raw_Customers!$A$2:$A$101,0))</f>
        <v>Aaryahi Sodhi</v>
      </c>
      <c r="D340" s="7" t="str">
        <f>TRIM(INDEX(Raw_Customers!$C$2:$C$101,MATCH($B340,Raw_Customers!$A$2:$A$101,0)))</f>
        <v>Raurkela Industrial Township</v>
      </c>
      <c r="E340" s="7" t="str">
        <f>"+91-"&amp;RIGHT("0000000000"&amp;INDEX(Raw_Customers!$D$2:$D$101,MATCH($B340,Raw_Customers!$A$2:$A$101,0)),10)</f>
        <v>+91-2690208110</v>
      </c>
      <c r="F340" s="7" t="str">
        <f>Raw_Orders!C340</f>
        <v>8</v>
      </c>
      <c r="G340" s="7" t="str">
        <f>INDEX(Raw_Products!$B$2:$B$71,MATCH($F340,Raw_Products!$A$2:$A$71,0))</f>
        <v>Qui Box</v>
      </c>
      <c r="H340" s="7" t="str">
        <f>INDEX(Raw_Products!$C$2:$C$71,MATCH($F340,Raw_Products!$A$2:$A$71,0))</f>
        <v>Sweets</v>
      </c>
      <c r="I340" s="7">
        <f>VALUE(Raw_Orders!D340)</f>
        <v>1</v>
      </c>
      <c r="J340" s="11" t="str">
        <f>INDEX(Raw_Products!$D$2:$D$71,MATCH($F340,Raw_Products!$A$2:$A$71,0))</f>
        <v>252</v>
      </c>
      <c r="K340" s="11">
        <f t="shared" si="10"/>
        <v>252</v>
      </c>
      <c r="L340" s="12">
        <f>DATE(VALUE(RIGHT(Raw_Orders!E340,4)),VALUE(MID(Raw_Orders!E340,4,2)),VALUE(LEFT(Raw_Orders!E340,2)))</f>
        <v>45189</v>
      </c>
      <c r="M340" s="12">
        <f>DATE(VALUE(RIGHT(Raw_Orders!G340,4)),VALUE(MID(Raw_Orders!G340,4,2)),VALUE(LEFT(Raw_Orders!G340,2)))</f>
        <v>45198</v>
      </c>
      <c r="N340" s="7">
        <f t="shared" si="11"/>
        <v>9</v>
      </c>
      <c r="O340" s="7" t="str">
        <f>Raw_Orders!J340</f>
        <v>Anniversary</v>
      </c>
      <c r="P340" s="7" t="str">
        <f>Raw_Orders!I340</f>
        <v>Sirsa</v>
      </c>
    </row>
    <row r="341" spans="1:16">
      <c r="A341" s="7" t="str">
        <f>Raw_Orders!A341</f>
        <v>340</v>
      </c>
      <c r="B341" s="7" t="str">
        <f>Raw_Orders!B341</f>
        <v>C076</v>
      </c>
      <c r="C341" s="7" t="str">
        <f>INDEX(Raw_Customers!$B$2:$B$101,MATCH($B341,Raw_Customers!$A$2:$A$101,0))</f>
        <v>Oorja Dayal</v>
      </c>
      <c r="D341" s="7" t="str">
        <f>TRIM(INDEX(Raw_Customers!$C$2:$C$101,MATCH($B341,Raw_Customers!$A$2:$A$101,0)))</f>
        <v>Gaya</v>
      </c>
      <c r="E341" s="7" t="str">
        <f>"+91-"&amp;RIGHT("0000000000"&amp;INDEX(Raw_Customers!$D$2:$D$101,MATCH($B341,Raw_Customers!$A$2:$A$101,0)),10)</f>
        <v>+91-6936516442</v>
      </c>
      <c r="F341" s="7" t="str">
        <f>Raw_Orders!C341</f>
        <v>38</v>
      </c>
      <c r="G341" s="7" t="str">
        <f>INDEX(Raw_Products!$B$2:$B$71,MATCH($F341,Raw_Products!$A$2:$A$71,0))</f>
        <v>Mollitia Set</v>
      </c>
      <c r="H341" s="7" t="str">
        <f>INDEX(Raw_Products!$C$2:$C$71,MATCH($F341,Raw_Products!$A$2:$A$71,0))</f>
        <v>Cake</v>
      </c>
      <c r="I341" s="7">
        <f>VALUE(Raw_Orders!D341)</f>
        <v>3</v>
      </c>
      <c r="J341" s="11" t="str">
        <f>INDEX(Raw_Products!$D$2:$D$71,MATCH($F341,Raw_Products!$A$2:$A$71,0))</f>
        <v>562</v>
      </c>
      <c r="K341" s="11">
        <f t="shared" si="10"/>
        <v>1686</v>
      </c>
      <c r="L341" s="12">
        <f>DATE(VALUE(RIGHT(Raw_Orders!E341,4)),VALUE(MID(Raw_Orders!E341,4,2)),VALUE(LEFT(Raw_Orders!E341,2)))</f>
        <v>45121</v>
      </c>
      <c r="M341" s="12">
        <f>DATE(VALUE(RIGHT(Raw_Orders!G341,4)),VALUE(MID(Raw_Orders!G341,4,2)),VALUE(LEFT(Raw_Orders!G341,2)))</f>
        <v>45129</v>
      </c>
      <c r="N341" s="7">
        <f t="shared" si="11"/>
        <v>8</v>
      </c>
      <c r="O341" s="7" t="str">
        <f>Raw_Orders!J341</f>
        <v>Birthday</v>
      </c>
      <c r="P341" s="7" t="str">
        <f>Raw_Orders!I341</f>
        <v>Davanagere</v>
      </c>
    </row>
    <row r="342" spans="1:16">
      <c r="A342" s="7" t="str">
        <f>Raw_Orders!A342</f>
        <v>341</v>
      </c>
      <c r="B342" s="7" t="str">
        <f>Raw_Orders!B342</f>
        <v>C028</v>
      </c>
      <c r="C342" s="7" t="str">
        <f>INDEX(Raw_Customers!$B$2:$B$101,MATCH($B342,Raw_Customers!$A$2:$A$101,0))</f>
        <v>Hridaan Rajagopalan</v>
      </c>
      <c r="D342" s="7" t="str">
        <f>TRIM(INDEX(Raw_Customers!$C$2:$C$101,MATCH($B342,Raw_Customers!$A$2:$A$101,0)))</f>
        <v>Noida</v>
      </c>
      <c r="E342" s="7" t="str">
        <f>"+91-"&amp;RIGHT("0000000000"&amp;INDEX(Raw_Customers!$D$2:$D$101,MATCH($B342,Raw_Customers!$A$2:$A$101,0)),10)</f>
        <v>+91-2539728317</v>
      </c>
      <c r="F342" s="7" t="str">
        <f>Raw_Orders!C342</f>
        <v>9</v>
      </c>
      <c r="G342" s="7" t="str">
        <f>INDEX(Raw_Products!$B$2:$B$71,MATCH($F342,Raw_Products!$A$2:$A$71,0))</f>
        <v>Aperiam Box</v>
      </c>
      <c r="H342" s="7" t="str">
        <f>INDEX(Raw_Products!$C$2:$C$71,MATCH($F342,Raw_Products!$A$2:$A$71,0))</f>
        <v>Colors</v>
      </c>
      <c r="I342" s="7">
        <f>VALUE(Raw_Orders!D342)</f>
        <v>2</v>
      </c>
      <c r="J342" s="11" t="str">
        <f>INDEX(Raw_Products!$D$2:$D$71,MATCH($F342,Raw_Products!$A$2:$A$71,0))</f>
        <v>1605</v>
      </c>
      <c r="K342" s="11">
        <f t="shared" si="10"/>
        <v>3210</v>
      </c>
      <c r="L342" s="12">
        <f>DATE(VALUE(RIGHT(Raw_Orders!E342,4)),VALUE(MID(Raw_Orders!E342,4,2)),VALUE(LEFT(Raw_Orders!E342,2)))</f>
        <v>45158</v>
      </c>
      <c r="M342" s="12">
        <f>DATE(VALUE(RIGHT(Raw_Orders!G342,4)),VALUE(MID(Raw_Orders!G342,4,2)),VALUE(LEFT(Raw_Orders!G342,2)))</f>
        <v>45168</v>
      </c>
      <c r="N342" s="7">
        <f t="shared" si="11"/>
        <v>10</v>
      </c>
      <c r="O342" s="7" t="str">
        <f>Raw_Orders!J342</f>
        <v>Raksha Bandhan</v>
      </c>
      <c r="P342" s="7" t="str">
        <f>Raw_Orders!I342</f>
        <v>Ongole</v>
      </c>
    </row>
    <row r="343" spans="1:16">
      <c r="A343" s="7" t="str">
        <f>Raw_Orders!A343</f>
        <v>342</v>
      </c>
      <c r="B343" s="7" t="str">
        <f>Raw_Orders!B343</f>
        <v>C062</v>
      </c>
      <c r="C343" s="7" t="str">
        <f>INDEX(Raw_Customers!$B$2:$B$101,MATCH($B343,Raw_Customers!$A$2:$A$101,0))</f>
        <v>Inaaya  Sarraf</v>
      </c>
      <c r="D343" s="7" t="str">
        <f>TRIM(INDEX(Raw_Customers!$C$2:$C$101,MATCH($B343,Raw_Customers!$A$2:$A$101,0)))</f>
        <v>Nagpur</v>
      </c>
      <c r="E343" s="7" t="str">
        <f>"+91-"&amp;RIGHT("0000000000"&amp;INDEX(Raw_Customers!$D$2:$D$101,MATCH($B343,Raw_Customers!$A$2:$A$101,0)),10)</f>
        <v>+91-5915082470</v>
      </c>
      <c r="F343" s="7" t="str">
        <f>Raw_Orders!C343</f>
        <v>36</v>
      </c>
      <c r="G343" s="7" t="str">
        <f>INDEX(Raw_Products!$B$2:$B$71,MATCH($F343,Raw_Products!$A$2:$A$71,0))</f>
        <v>Cum Gift</v>
      </c>
      <c r="H343" s="7" t="str">
        <f>INDEX(Raw_Products!$C$2:$C$71,MATCH($F343,Raw_Products!$A$2:$A$71,0))</f>
        <v>Plants</v>
      </c>
      <c r="I343" s="7">
        <f>VALUE(Raw_Orders!D343)</f>
        <v>5</v>
      </c>
      <c r="J343" s="11" t="str">
        <f>INDEX(Raw_Products!$D$2:$D$71,MATCH($F343,Raw_Products!$A$2:$A$71,0))</f>
        <v>203</v>
      </c>
      <c r="K343" s="11">
        <f t="shared" si="10"/>
        <v>1015</v>
      </c>
      <c r="L343" s="12">
        <f>DATE(VALUE(RIGHT(Raw_Orders!E343,4)),VALUE(MID(Raw_Orders!E343,4,2)),VALUE(LEFT(Raw_Orders!E343,2)))</f>
        <v>45233</v>
      </c>
      <c r="M343" s="12">
        <f>DATE(VALUE(RIGHT(Raw_Orders!G343,4)),VALUE(MID(Raw_Orders!G343,4,2)),VALUE(LEFT(Raw_Orders!G343,2)))</f>
        <v>45238</v>
      </c>
      <c r="N343" s="7">
        <f t="shared" si="11"/>
        <v>5</v>
      </c>
      <c r="O343" s="7" t="str">
        <f>Raw_Orders!J343</f>
        <v>Birthday</v>
      </c>
      <c r="P343" s="7" t="str">
        <f>Raw_Orders!I343</f>
        <v>Salem</v>
      </c>
    </row>
    <row r="344" spans="1:16">
      <c r="A344" s="7" t="str">
        <f>Raw_Orders!A344</f>
        <v>343</v>
      </c>
      <c r="B344" s="7" t="str">
        <f>Raw_Orders!B344</f>
        <v>C006</v>
      </c>
      <c r="C344" s="7" t="str">
        <f>INDEX(Raw_Customers!$B$2:$B$101,MATCH($B344,Raw_Customers!$A$2:$A$101,0))</f>
        <v>Rania Mann</v>
      </c>
      <c r="D344" s="7" t="str">
        <f>TRIM(INDEX(Raw_Customers!$C$2:$C$101,MATCH($B344,Raw_Customers!$A$2:$A$101,0)))</f>
        <v>Karimnagar</v>
      </c>
      <c r="E344" s="7" t="str">
        <f>"+91-"&amp;RIGHT("0000000000"&amp;INDEX(Raw_Customers!$D$2:$D$101,MATCH($B344,Raw_Customers!$A$2:$A$101,0)),10)</f>
        <v>+91-9363577179</v>
      </c>
      <c r="F344" s="7" t="str">
        <f>Raw_Orders!C344</f>
        <v>66</v>
      </c>
      <c r="G344" s="7" t="str">
        <f>INDEX(Raw_Products!$B$2:$B$71,MATCH($F344,Raw_Products!$A$2:$A$71,0))</f>
        <v>Quas Box</v>
      </c>
      <c r="H344" s="7" t="str">
        <f>INDEX(Raw_Products!$C$2:$C$71,MATCH($F344,Raw_Products!$A$2:$A$71,0))</f>
        <v>Colors</v>
      </c>
      <c r="I344" s="7">
        <f>VALUE(Raw_Orders!D344)</f>
        <v>3</v>
      </c>
      <c r="J344" s="11" t="str">
        <f>INDEX(Raw_Products!$D$2:$D$71,MATCH($F344,Raw_Products!$A$2:$A$71,0))</f>
        <v>610</v>
      </c>
      <c r="K344" s="11">
        <f t="shared" si="10"/>
        <v>1830</v>
      </c>
      <c r="L344" s="12">
        <f>DATE(VALUE(RIGHT(Raw_Orders!E344,4)),VALUE(MID(Raw_Orders!E344,4,2)),VALUE(LEFT(Raw_Orders!E344,2)))</f>
        <v>44991</v>
      </c>
      <c r="M344" s="12">
        <f>DATE(VALUE(RIGHT(Raw_Orders!G344,4)),VALUE(MID(Raw_Orders!G344,4,2)),VALUE(LEFT(Raw_Orders!G344,2)))</f>
        <v>44994</v>
      </c>
      <c r="N344" s="7">
        <f t="shared" si="11"/>
        <v>3</v>
      </c>
      <c r="O344" s="7" t="str">
        <f>Raw_Orders!J344</f>
        <v>Holi</v>
      </c>
      <c r="P344" s="7" t="str">
        <f>Raw_Orders!I344</f>
        <v>Parbhani</v>
      </c>
    </row>
    <row r="345" spans="1:16">
      <c r="A345" s="7" t="str">
        <f>Raw_Orders!A345</f>
        <v>344</v>
      </c>
      <c r="B345" s="7" t="str">
        <f>Raw_Orders!B345</f>
        <v>C020</v>
      </c>
      <c r="C345" s="7" t="str">
        <f>INDEX(Raw_Customers!$B$2:$B$101,MATCH($B345,Raw_Customers!$A$2:$A$101,0))</f>
        <v>Samaira Ganesh</v>
      </c>
      <c r="D345" s="7" t="str">
        <f>TRIM(INDEX(Raw_Customers!$C$2:$C$101,MATCH($B345,Raw_Customers!$A$2:$A$101,0)))</f>
        <v>Machilipatnam</v>
      </c>
      <c r="E345" s="7" t="str">
        <f>"+91-"&amp;RIGHT("0000000000"&amp;INDEX(Raw_Customers!$D$2:$D$101,MATCH($B345,Raw_Customers!$A$2:$A$101,0)),10)</f>
        <v>+91-1731643700</v>
      </c>
      <c r="F345" s="7" t="str">
        <f>Raw_Orders!C345</f>
        <v>28</v>
      </c>
      <c r="G345" s="7" t="str">
        <f>INDEX(Raw_Products!$B$2:$B$71,MATCH($F345,Raw_Products!$A$2:$A$71,0))</f>
        <v>Velit Set</v>
      </c>
      <c r="H345" s="7" t="str">
        <f>INDEX(Raw_Products!$C$2:$C$71,MATCH($F345,Raw_Products!$A$2:$A$71,0))</f>
        <v>Sweets</v>
      </c>
      <c r="I345" s="7">
        <f>VALUE(Raw_Orders!D345)</f>
        <v>5</v>
      </c>
      <c r="J345" s="11" t="str">
        <f>INDEX(Raw_Products!$D$2:$D$71,MATCH($F345,Raw_Products!$A$2:$A$71,0))</f>
        <v>1778</v>
      </c>
      <c r="K345" s="11">
        <f t="shared" si="10"/>
        <v>8890</v>
      </c>
      <c r="L345" s="12">
        <f>DATE(VALUE(RIGHT(Raw_Orders!E345,4)),VALUE(MID(Raw_Orders!E345,4,2)),VALUE(LEFT(Raw_Orders!E345,2)))</f>
        <v>45167</v>
      </c>
      <c r="M345" s="12">
        <f>DATE(VALUE(RIGHT(Raw_Orders!G345,4)),VALUE(MID(Raw_Orders!G345,4,2)),VALUE(LEFT(Raw_Orders!G345,2)))</f>
        <v>45172</v>
      </c>
      <c r="N345" s="7">
        <f t="shared" si="11"/>
        <v>5</v>
      </c>
      <c r="O345" s="7" t="str">
        <f>Raw_Orders!J345</f>
        <v>Raksha Bandhan</v>
      </c>
      <c r="P345" s="7" t="str">
        <f>Raw_Orders!I345</f>
        <v>Tiruvottiyur</v>
      </c>
    </row>
    <row r="346" spans="1:16">
      <c r="A346" s="7" t="str">
        <f>Raw_Orders!A346</f>
        <v>345</v>
      </c>
      <c r="B346" s="7" t="str">
        <f>Raw_Orders!B346</f>
        <v>C056</v>
      </c>
      <c r="C346" s="7" t="str">
        <f>INDEX(Raw_Customers!$B$2:$B$101,MATCH($B346,Raw_Customers!$A$2:$A$101,0))</f>
        <v>Pihu Choudhury</v>
      </c>
      <c r="D346" s="7" t="str">
        <f>TRIM(INDEX(Raw_Customers!$C$2:$C$101,MATCH($B346,Raw_Customers!$A$2:$A$101,0)))</f>
        <v>Haridwar</v>
      </c>
      <c r="E346" s="7" t="str">
        <f>"+91-"&amp;RIGHT("0000000000"&amp;INDEX(Raw_Customers!$D$2:$D$101,MATCH($B346,Raw_Customers!$A$2:$A$101,0)),10)</f>
        <v>+91-9732644810</v>
      </c>
      <c r="F346" s="7" t="str">
        <f>Raw_Orders!C346</f>
        <v>45</v>
      </c>
      <c r="G346" s="7" t="str">
        <f>INDEX(Raw_Products!$B$2:$B$71,MATCH($F346,Raw_Products!$A$2:$A$71,0))</f>
        <v>Iusto Set</v>
      </c>
      <c r="H346" s="7" t="str">
        <f>INDEX(Raw_Products!$C$2:$C$71,MATCH($F346,Raw_Products!$A$2:$A$71,0))</f>
        <v>Raksha Bandhan</v>
      </c>
      <c r="I346" s="7">
        <f>VALUE(Raw_Orders!D346)</f>
        <v>4</v>
      </c>
      <c r="J346" s="11" t="str">
        <f>INDEX(Raw_Products!$D$2:$D$71,MATCH($F346,Raw_Products!$A$2:$A$71,0))</f>
        <v>722</v>
      </c>
      <c r="K346" s="11">
        <f t="shared" si="10"/>
        <v>2888</v>
      </c>
      <c r="L346" s="12">
        <f>DATE(VALUE(RIGHT(Raw_Orders!E346,4)),VALUE(MID(Raw_Orders!E346,4,2)),VALUE(LEFT(Raw_Orders!E346,2)))</f>
        <v>45184</v>
      </c>
      <c r="M346" s="12">
        <f>DATE(VALUE(RIGHT(Raw_Orders!G346,4)),VALUE(MID(Raw_Orders!G346,4,2)),VALUE(LEFT(Raw_Orders!G346,2)))</f>
        <v>45192</v>
      </c>
      <c r="N346" s="7">
        <f t="shared" si="11"/>
        <v>8</v>
      </c>
      <c r="O346" s="7" t="str">
        <f>Raw_Orders!J346</f>
        <v>Birthday</v>
      </c>
      <c r="P346" s="7" t="str">
        <f>Raw_Orders!I346</f>
        <v>Bellary</v>
      </c>
    </row>
    <row r="347" spans="1:16">
      <c r="A347" s="7" t="str">
        <f>Raw_Orders!A347</f>
        <v>346</v>
      </c>
      <c r="B347" s="7" t="str">
        <f>Raw_Orders!B347</f>
        <v>C090</v>
      </c>
      <c r="C347" s="7" t="str">
        <f>INDEX(Raw_Customers!$B$2:$B$101,MATCH($B347,Raw_Customers!$A$2:$A$101,0))</f>
        <v>Drishya De</v>
      </c>
      <c r="D347" s="7" t="str">
        <f>TRIM(INDEX(Raw_Customers!$C$2:$C$101,MATCH($B347,Raw_Customers!$A$2:$A$101,0)))</f>
        <v>Anantapuram</v>
      </c>
      <c r="E347" s="7" t="str">
        <f>"+91-"&amp;RIGHT("0000000000"&amp;INDEX(Raw_Customers!$D$2:$D$101,MATCH($B347,Raw_Customers!$A$2:$A$101,0)),10)</f>
        <v>+91-3327374841</v>
      </c>
      <c r="F347" s="7" t="str">
        <f>Raw_Orders!C347</f>
        <v>50</v>
      </c>
      <c r="G347" s="7" t="str">
        <f>INDEX(Raw_Products!$B$2:$B$71,MATCH($F347,Raw_Products!$A$2:$A$71,0))</f>
        <v>Eligendi Set</v>
      </c>
      <c r="H347" s="7" t="str">
        <f>INDEX(Raw_Products!$C$2:$C$71,MATCH($F347,Raw_Products!$A$2:$A$71,0))</f>
        <v>Plants</v>
      </c>
      <c r="I347" s="7">
        <f>VALUE(Raw_Orders!D347)</f>
        <v>1</v>
      </c>
      <c r="J347" s="11" t="str">
        <f>INDEX(Raw_Products!$D$2:$D$71,MATCH($F347,Raw_Products!$A$2:$A$71,0))</f>
        <v>422</v>
      </c>
      <c r="K347" s="11">
        <f t="shared" si="10"/>
        <v>422</v>
      </c>
      <c r="L347" s="12">
        <f>DATE(VALUE(RIGHT(Raw_Orders!E347,4)),VALUE(MID(Raw_Orders!E347,4,2)),VALUE(LEFT(Raw_Orders!E347,2)))</f>
        <v>44989</v>
      </c>
      <c r="M347" s="12">
        <f>DATE(VALUE(RIGHT(Raw_Orders!G347,4)),VALUE(MID(Raw_Orders!G347,4,2)),VALUE(LEFT(Raw_Orders!G347,2)))</f>
        <v>44997</v>
      </c>
      <c r="N347" s="7">
        <f t="shared" si="11"/>
        <v>8</v>
      </c>
      <c r="O347" s="7" t="str">
        <f>Raw_Orders!J347</f>
        <v>Holi</v>
      </c>
      <c r="P347" s="7" t="str">
        <f>Raw_Orders!I347</f>
        <v>Pondicherry</v>
      </c>
    </row>
    <row r="348" spans="1:16">
      <c r="A348" s="7" t="str">
        <f>Raw_Orders!A348</f>
        <v>347</v>
      </c>
      <c r="B348" s="7" t="str">
        <f>Raw_Orders!B348</f>
        <v>C034</v>
      </c>
      <c r="C348" s="7" t="str">
        <f>INDEX(Raw_Customers!$B$2:$B$101,MATCH($B348,Raw_Customers!$A$2:$A$101,0))</f>
        <v>Hridaan Sood</v>
      </c>
      <c r="D348" s="7" t="str">
        <f>TRIM(INDEX(Raw_Customers!$C$2:$C$101,MATCH($B348,Raw_Customers!$A$2:$A$101,0)))</f>
        <v>Bhatpara</v>
      </c>
      <c r="E348" s="7" t="str">
        <f>"+91-"&amp;RIGHT("0000000000"&amp;INDEX(Raw_Customers!$D$2:$D$101,MATCH($B348,Raw_Customers!$A$2:$A$101,0)),10)</f>
        <v>+91-6652710577</v>
      </c>
      <c r="F348" s="7" t="str">
        <f>Raw_Orders!C348</f>
        <v>34</v>
      </c>
      <c r="G348" s="7" t="str">
        <f>INDEX(Raw_Products!$B$2:$B$71,MATCH($F348,Raw_Products!$A$2:$A$71,0))</f>
        <v>Placeat Pack</v>
      </c>
      <c r="H348" s="7" t="str">
        <f>INDEX(Raw_Products!$C$2:$C$71,MATCH($F348,Raw_Products!$A$2:$A$71,0))</f>
        <v>Soft Toys</v>
      </c>
      <c r="I348" s="7">
        <f>VALUE(Raw_Orders!D348)</f>
        <v>2</v>
      </c>
      <c r="J348" s="11" t="str">
        <f>INDEX(Raw_Products!$D$2:$D$71,MATCH($F348,Raw_Products!$A$2:$A$71,0))</f>
        <v>1335</v>
      </c>
      <c r="K348" s="11">
        <f t="shared" si="10"/>
        <v>2670</v>
      </c>
      <c r="L348" s="12">
        <f>DATE(VALUE(RIGHT(Raw_Orders!E348,4)),VALUE(MID(Raw_Orders!E348,4,2)),VALUE(LEFT(Raw_Orders!E348,2)))</f>
        <v>45167</v>
      </c>
      <c r="M348" s="12">
        <f>DATE(VALUE(RIGHT(Raw_Orders!G348,4)),VALUE(MID(Raw_Orders!G348,4,2)),VALUE(LEFT(Raw_Orders!G348,2)))</f>
        <v>45177</v>
      </c>
      <c r="N348" s="7">
        <f t="shared" si="11"/>
        <v>10</v>
      </c>
      <c r="O348" s="7" t="str">
        <f>Raw_Orders!J348</f>
        <v>Raksha Bandhan</v>
      </c>
      <c r="P348" s="7" t="str">
        <f>Raw_Orders!I348</f>
        <v>Shimoga</v>
      </c>
    </row>
    <row r="349" spans="1:16">
      <c r="A349" s="7" t="str">
        <f>Raw_Orders!A349</f>
        <v>348</v>
      </c>
      <c r="B349" s="7" t="str">
        <f>Raw_Orders!B349</f>
        <v>C060</v>
      </c>
      <c r="C349" s="7" t="str">
        <f>INDEX(Raw_Customers!$B$2:$B$101,MATCH($B349,Raw_Customers!$A$2:$A$101,0))</f>
        <v>Riya Wagle</v>
      </c>
      <c r="D349" s="7" t="str">
        <f>TRIM(INDEX(Raw_Customers!$C$2:$C$101,MATCH($B349,Raw_Customers!$A$2:$A$101,0)))</f>
        <v>Satara</v>
      </c>
      <c r="E349" s="7" t="str">
        <f>"+91-"&amp;RIGHT("0000000000"&amp;INDEX(Raw_Customers!$D$2:$D$101,MATCH($B349,Raw_Customers!$A$2:$A$101,0)),10)</f>
        <v>+91-0214103009</v>
      </c>
      <c r="F349" s="7" t="str">
        <f>Raw_Orders!C349</f>
        <v>30</v>
      </c>
      <c r="G349" s="7" t="str">
        <f>INDEX(Raw_Products!$B$2:$B$71,MATCH($F349,Raw_Products!$A$2:$A$71,0))</f>
        <v>Recusandae Pack</v>
      </c>
      <c r="H349" s="7" t="str">
        <f>INDEX(Raw_Products!$C$2:$C$71,MATCH($F349,Raw_Products!$A$2:$A$71,0))</f>
        <v>Colors</v>
      </c>
      <c r="I349" s="7">
        <f>VALUE(Raw_Orders!D349)</f>
        <v>2</v>
      </c>
      <c r="J349" s="11" t="str">
        <f>INDEX(Raw_Products!$D$2:$D$71,MATCH($F349,Raw_Products!$A$2:$A$71,0))</f>
        <v>751</v>
      </c>
      <c r="K349" s="11">
        <f t="shared" si="10"/>
        <v>1502</v>
      </c>
      <c r="L349" s="12">
        <f>DATE(VALUE(RIGHT(Raw_Orders!E349,4)),VALUE(MID(Raw_Orders!E349,4,2)),VALUE(LEFT(Raw_Orders!E349,2)))</f>
        <v>45258</v>
      </c>
      <c r="M349" s="12">
        <f>DATE(VALUE(RIGHT(Raw_Orders!G349,4)),VALUE(MID(Raw_Orders!G349,4,2)),VALUE(LEFT(Raw_Orders!G349,2)))</f>
        <v>45267</v>
      </c>
      <c r="N349" s="7">
        <f t="shared" si="11"/>
        <v>9</v>
      </c>
      <c r="O349" s="7" t="str">
        <f>Raw_Orders!J349</f>
        <v>Anniversary</v>
      </c>
      <c r="P349" s="7" t="str">
        <f>Raw_Orders!I349</f>
        <v>Kalyan-Dombivli</v>
      </c>
    </row>
    <row r="350" spans="1:16">
      <c r="A350" s="7" t="str">
        <f>Raw_Orders!A350</f>
        <v>349</v>
      </c>
      <c r="B350" s="7" t="str">
        <f>Raw_Orders!B350</f>
        <v>C017</v>
      </c>
      <c r="C350" s="7" t="str">
        <f>INDEX(Raw_Customers!$B$2:$B$101,MATCH($B350,Raw_Customers!$A$2:$A$101,0))</f>
        <v>Advika Dhar</v>
      </c>
      <c r="D350" s="7" t="str">
        <f>TRIM(INDEX(Raw_Customers!$C$2:$C$101,MATCH($B350,Raw_Customers!$A$2:$A$101,0)))</f>
        <v>Gangtok</v>
      </c>
      <c r="E350" s="7" t="str">
        <f>"+91-"&amp;RIGHT("0000000000"&amp;INDEX(Raw_Customers!$D$2:$D$101,MATCH($B350,Raw_Customers!$A$2:$A$101,0)),10)</f>
        <v>+91-2738556486</v>
      </c>
      <c r="F350" s="7" t="str">
        <f>Raw_Orders!C350</f>
        <v>44</v>
      </c>
      <c r="G350" s="7" t="str">
        <f>INDEX(Raw_Products!$B$2:$B$71,MATCH($F350,Raw_Products!$A$2:$A$71,0))</f>
        <v>Dolorum Set</v>
      </c>
      <c r="H350" s="7" t="str">
        <f>INDEX(Raw_Products!$C$2:$C$71,MATCH($F350,Raw_Products!$A$2:$A$71,0))</f>
        <v>Plants</v>
      </c>
      <c r="I350" s="7">
        <f>VALUE(Raw_Orders!D350)</f>
        <v>4</v>
      </c>
      <c r="J350" s="11" t="str">
        <f>INDEX(Raw_Products!$D$2:$D$71,MATCH($F350,Raw_Products!$A$2:$A$71,0))</f>
        <v>794</v>
      </c>
      <c r="K350" s="11">
        <f t="shared" si="10"/>
        <v>3176</v>
      </c>
      <c r="L350" s="12">
        <f>DATE(VALUE(RIGHT(Raw_Orders!E350,4)),VALUE(MID(Raw_Orders!E350,4,2)),VALUE(LEFT(Raw_Orders!E350,2)))</f>
        <v>45241</v>
      </c>
      <c r="M350" s="12">
        <f>DATE(VALUE(RIGHT(Raw_Orders!G350,4)),VALUE(MID(Raw_Orders!G350,4,2)),VALUE(LEFT(Raw_Orders!G350,2)))</f>
        <v>45242</v>
      </c>
      <c r="N350" s="7">
        <f t="shared" si="11"/>
        <v>1</v>
      </c>
      <c r="O350" s="7" t="str">
        <f>Raw_Orders!J350</f>
        <v>Diwali</v>
      </c>
      <c r="P350" s="7" t="str">
        <f>Raw_Orders!I350</f>
        <v>Junagadh</v>
      </c>
    </row>
    <row r="351" spans="1:16">
      <c r="A351" s="7" t="str">
        <f>Raw_Orders!A351</f>
        <v>350</v>
      </c>
      <c r="B351" s="7" t="str">
        <f>Raw_Orders!B351</f>
        <v>C020</v>
      </c>
      <c r="C351" s="7" t="str">
        <f>INDEX(Raw_Customers!$B$2:$B$101,MATCH($B351,Raw_Customers!$A$2:$A$101,0))</f>
        <v>Samaira Ganesh</v>
      </c>
      <c r="D351" s="7" t="str">
        <f>TRIM(INDEX(Raw_Customers!$C$2:$C$101,MATCH($B351,Raw_Customers!$A$2:$A$101,0)))</f>
        <v>Machilipatnam</v>
      </c>
      <c r="E351" s="7" t="str">
        <f>"+91-"&amp;RIGHT("0000000000"&amp;INDEX(Raw_Customers!$D$2:$D$101,MATCH($B351,Raw_Customers!$A$2:$A$101,0)),10)</f>
        <v>+91-1731643700</v>
      </c>
      <c r="F351" s="7" t="str">
        <f>Raw_Orders!C351</f>
        <v>19</v>
      </c>
      <c r="G351" s="7" t="str">
        <f>INDEX(Raw_Products!$B$2:$B$71,MATCH($F351,Raw_Products!$A$2:$A$71,0))</f>
        <v>Iure Gift</v>
      </c>
      <c r="H351" s="7" t="str">
        <f>INDEX(Raw_Products!$C$2:$C$71,MATCH($F351,Raw_Products!$A$2:$A$71,0))</f>
        <v>Mugs</v>
      </c>
      <c r="I351" s="7">
        <f>VALUE(Raw_Orders!D351)</f>
        <v>3</v>
      </c>
      <c r="J351" s="11" t="str">
        <f>INDEX(Raw_Products!$D$2:$D$71,MATCH($F351,Raw_Products!$A$2:$A$71,0))</f>
        <v>1234</v>
      </c>
      <c r="K351" s="11">
        <f t="shared" si="10"/>
        <v>3702</v>
      </c>
      <c r="L351" s="12">
        <f>DATE(VALUE(RIGHT(Raw_Orders!E351,4)),VALUE(MID(Raw_Orders!E351,4,2)),VALUE(LEFT(Raw_Orders!E351,2)))</f>
        <v>44970</v>
      </c>
      <c r="M351" s="12">
        <f>DATE(VALUE(RIGHT(Raw_Orders!G351,4)),VALUE(MID(Raw_Orders!G351,4,2)),VALUE(LEFT(Raw_Orders!G351,2)))</f>
        <v>44979</v>
      </c>
      <c r="N351" s="7">
        <f t="shared" si="11"/>
        <v>9</v>
      </c>
      <c r="O351" s="7" t="str">
        <f>Raw_Orders!J351</f>
        <v>Valentine's Day</v>
      </c>
      <c r="P351" s="7" t="str">
        <f>Raw_Orders!I351</f>
        <v>Kolkata</v>
      </c>
    </row>
    <row r="352" spans="1:16">
      <c r="A352" s="7" t="str">
        <f>Raw_Orders!A352</f>
        <v>351</v>
      </c>
      <c r="B352" s="7" t="str">
        <f>Raw_Orders!B352</f>
        <v>C099</v>
      </c>
      <c r="C352" s="7" t="str">
        <f>INDEX(Raw_Customers!$B$2:$B$101,MATCH($B352,Raw_Customers!$A$2:$A$101,0))</f>
        <v>Ranbir Loyal</v>
      </c>
      <c r="D352" s="7" t="str">
        <f>TRIM(INDEX(Raw_Customers!$C$2:$C$101,MATCH($B352,Raw_Customers!$A$2:$A$101,0)))</f>
        <v>Dhanbad</v>
      </c>
      <c r="E352" s="7" t="str">
        <f>"+91-"&amp;RIGHT("0000000000"&amp;INDEX(Raw_Customers!$D$2:$D$101,MATCH($B352,Raw_Customers!$A$2:$A$101,0)),10)</f>
        <v>+91-3621448305</v>
      </c>
      <c r="F352" s="7" t="str">
        <f>Raw_Orders!C352</f>
        <v>1</v>
      </c>
      <c r="G352" s="7" t="str">
        <f>INDEX(Raw_Products!$B$2:$B$71,MATCH($F352,Raw_Products!$A$2:$A$71,0))</f>
        <v>Magnam Set</v>
      </c>
      <c r="H352" s="7" t="str">
        <f>INDEX(Raw_Products!$C$2:$C$71,MATCH($F352,Raw_Products!$A$2:$A$71,0))</f>
        <v>Soft Toys</v>
      </c>
      <c r="I352" s="7">
        <f>VALUE(Raw_Orders!D352)</f>
        <v>1</v>
      </c>
      <c r="J352" s="11" t="str">
        <f>INDEX(Raw_Products!$D$2:$D$71,MATCH($F352,Raw_Products!$A$2:$A$71,0))</f>
        <v>1935</v>
      </c>
      <c r="K352" s="11">
        <f t="shared" si="10"/>
        <v>1935</v>
      </c>
      <c r="L352" s="12">
        <f>DATE(VALUE(RIGHT(Raw_Orders!E352,4)),VALUE(MID(Raw_Orders!E352,4,2)),VALUE(LEFT(Raw_Orders!E352,2)))</f>
        <v>44942</v>
      </c>
      <c r="M352" s="12">
        <f>DATE(VALUE(RIGHT(Raw_Orders!G352,4)),VALUE(MID(Raw_Orders!G352,4,2)),VALUE(LEFT(Raw_Orders!G352,2)))</f>
        <v>44951</v>
      </c>
      <c r="N352" s="7">
        <f t="shared" si="11"/>
        <v>9</v>
      </c>
      <c r="O352" s="7" t="str">
        <f>Raw_Orders!J352</f>
        <v>All Occasions</v>
      </c>
      <c r="P352" s="7" t="str">
        <f>Raw_Orders!I352</f>
        <v>Bhilai</v>
      </c>
    </row>
    <row r="353" spans="1:16">
      <c r="A353" s="7" t="str">
        <f>Raw_Orders!A353</f>
        <v>352</v>
      </c>
      <c r="B353" s="7" t="str">
        <f>Raw_Orders!B353</f>
        <v>C080</v>
      </c>
      <c r="C353" s="7" t="str">
        <f>INDEX(Raw_Customers!$B$2:$B$101,MATCH($B353,Raw_Customers!$A$2:$A$101,0))</f>
        <v>Mohanlal Garde</v>
      </c>
      <c r="D353" s="7" t="str">
        <f>TRIM(INDEX(Raw_Customers!$C$2:$C$101,MATCH($B353,Raw_Customers!$A$2:$A$101,0)))</f>
        <v>Bhopal</v>
      </c>
      <c r="E353" s="7" t="str">
        <f>"+91-"&amp;RIGHT("0000000000"&amp;INDEX(Raw_Customers!$D$2:$D$101,MATCH($B353,Raw_Customers!$A$2:$A$101,0)),10)</f>
        <v>+91-8448890371</v>
      </c>
      <c r="F353" s="7" t="str">
        <f>Raw_Orders!C353</f>
        <v>28</v>
      </c>
      <c r="G353" s="7" t="str">
        <f>INDEX(Raw_Products!$B$2:$B$71,MATCH($F353,Raw_Products!$A$2:$A$71,0))</f>
        <v>Velit Set</v>
      </c>
      <c r="H353" s="7" t="str">
        <f>INDEX(Raw_Products!$C$2:$C$71,MATCH($F353,Raw_Products!$A$2:$A$71,0))</f>
        <v>Sweets</v>
      </c>
      <c r="I353" s="7">
        <f>VALUE(Raw_Orders!D353)</f>
        <v>1</v>
      </c>
      <c r="J353" s="11" t="str">
        <f>INDEX(Raw_Products!$D$2:$D$71,MATCH($F353,Raw_Products!$A$2:$A$71,0))</f>
        <v>1778</v>
      </c>
      <c r="K353" s="11">
        <f t="shared" si="10"/>
        <v>1778</v>
      </c>
      <c r="L353" s="12">
        <f>DATE(VALUE(RIGHT(Raw_Orders!E353,4)),VALUE(MID(Raw_Orders!E353,4,2)),VALUE(LEFT(Raw_Orders!E353,2)))</f>
        <v>45161</v>
      </c>
      <c r="M353" s="12">
        <f>DATE(VALUE(RIGHT(Raw_Orders!G353,4)),VALUE(MID(Raw_Orders!G353,4,2)),VALUE(LEFT(Raw_Orders!G353,2)))</f>
        <v>45171</v>
      </c>
      <c r="N353" s="7">
        <f t="shared" si="11"/>
        <v>10</v>
      </c>
      <c r="O353" s="7" t="str">
        <f>Raw_Orders!J353</f>
        <v>Raksha Bandhan</v>
      </c>
      <c r="P353" s="7" t="str">
        <f>Raw_Orders!I353</f>
        <v>Bellary</v>
      </c>
    </row>
    <row r="354" spans="1:16">
      <c r="A354" s="7" t="str">
        <f>Raw_Orders!A354</f>
        <v>353</v>
      </c>
      <c r="B354" s="7" t="str">
        <f>Raw_Orders!B354</f>
        <v>C089</v>
      </c>
      <c r="C354" s="7" t="str">
        <f>INDEX(Raw_Customers!$B$2:$B$101,MATCH($B354,Raw_Customers!$A$2:$A$101,0))</f>
        <v>Oorja Dey</v>
      </c>
      <c r="D354" s="7" t="str">
        <f>TRIM(INDEX(Raw_Customers!$C$2:$C$101,MATCH($B354,Raw_Customers!$A$2:$A$101,0)))</f>
        <v>Nellore</v>
      </c>
      <c r="E354" s="7" t="str">
        <f>"+91-"&amp;RIGHT("0000000000"&amp;INDEX(Raw_Customers!$D$2:$D$101,MATCH($B354,Raw_Customers!$A$2:$A$101,0)),10)</f>
        <v>+91-7264144428</v>
      </c>
      <c r="F354" s="7" t="str">
        <f>Raw_Orders!C354</f>
        <v>55</v>
      </c>
      <c r="G354" s="7" t="str">
        <f>INDEX(Raw_Products!$B$2:$B$71,MATCH($F354,Raw_Products!$A$2:$A$71,0))</f>
        <v>Dolores Gift</v>
      </c>
      <c r="H354" s="7" t="str">
        <f>INDEX(Raw_Products!$C$2:$C$71,MATCH($F354,Raw_Products!$A$2:$A$71,0))</f>
        <v>Soft Toys</v>
      </c>
      <c r="I354" s="7">
        <f>VALUE(Raw_Orders!D354)</f>
        <v>2</v>
      </c>
      <c r="J354" s="11" t="str">
        <f>INDEX(Raw_Products!$D$2:$D$71,MATCH($F354,Raw_Products!$A$2:$A$71,0))</f>
        <v>1904</v>
      </c>
      <c r="K354" s="11">
        <f t="shared" si="10"/>
        <v>3808</v>
      </c>
      <c r="L354" s="12">
        <f>DATE(VALUE(RIGHT(Raw_Orders!E354,4)),VALUE(MID(Raw_Orders!E354,4,2)),VALUE(LEFT(Raw_Orders!E354,2)))</f>
        <v>45159</v>
      </c>
      <c r="M354" s="12">
        <f>DATE(VALUE(RIGHT(Raw_Orders!G354,4)),VALUE(MID(Raw_Orders!G354,4,2)),VALUE(LEFT(Raw_Orders!G354,2)))</f>
        <v>45162</v>
      </c>
      <c r="N354" s="7">
        <f t="shared" si="11"/>
        <v>3</v>
      </c>
      <c r="O354" s="7" t="str">
        <f>Raw_Orders!J354</f>
        <v>Raksha Bandhan</v>
      </c>
      <c r="P354" s="7" t="str">
        <f>Raw_Orders!I354</f>
        <v>Korba</v>
      </c>
    </row>
    <row r="355" spans="1:16">
      <c r="A355" s="7" t="str">
        <f>Raw_Orders!A355</f>
        <v>354</v>
      </c>
      <c r="B355" s="7" t="str">
        <f>Raw_Orders!B355</f>
        <v>C087</v>
      </c>
      <c r="C355" s="7" t="str">
        <f>INDEX(Raw_Customers!$B$2:$B$101,MATCH($B355,Raw_Customers!$A$2:$A$101,0))</f>
        <v>Rania Bhatt</v>
      </c>
      <c r="D355" s="7" t="str">
        <f>TRIM(INDEX(Raw_Customers!$C$2:$C$101,MATCH($B355,Raw_Customers!$A$2:$A$101,0)))</f>
        <v>North Dumdum</v>
      </c>
      <c r="E355" s="7" t="str">
        <f>"+91-"&amp;RIGHT("0000000000"&amp;INDEX(Raw_Customers!$D$2:$D$101,MATCH($B355,Raw_Customers!$A$2:$A$101,0)),10)</f>
        <v>+91-2112404207</v>
      </c>
      <c r="F355" s="7" t="str">
        <f>Raw_Orders!C355</f>
        <v>13</v>
      </c>
      <c r="G355" s="7" t="str">
        <f>INDEX(Raw_Products!$B$2:$B$71,MATCH($F355,Raw_Products!$A$2:$A$71,0))</f>
        <v>Et Set</v>
      </c>
      <c r="H355" s="7" t="str">
        <f>INDEX(Raw_Products!$C$2:$C$71,MATCH($F355,Raw_Products!$A$2:$A$71,0))</f>
        <v>Mugs</v>
      </c>
      <c r="I355" s="7">
        <f>VALUE(Raw_Orders!D355)</f>
        <v>5</v>
      </c>
      <c r="J355" s="11" t="str">
        <f>INDEX(Raw_Products!$D$2:$D$71,MATCH($F355,Raw_Products!$A$2:$A$71,0))</f>
        <v>1141</v>
      </c>
      <c r="K355" s="11">
        <f t="shared" si="10"/>
        <v>5705</v>
      </c>
      <c r="L355" s="12">
        <f>DATE(VALUE(RIGHT(Raw_Orders!E355,4)),VALUE(MID(Raw_Orders!E355,4,2)),VALUE(LEFT(Raw_Orders!E355,2)))</f>
        <v>44983</v>
      </c>
      <c r="M355" s="12">
        <f>DATE(VALUE(RIGHT(Raw_Orders!G355,4)),VALUE(MID(Raw_Orders!G355,4,2)),VALUE(LEFT(Raw_Orders!G355,2)))</f>
        <v>44991</v>
      </c>
      <c r="N355" s="7">
        <f t="shared" si="11"/>
        <v>8</v>
      </c>
      <c r="O355" s="7" t="str">
        <f>Raw_Orders!J355</f>
        <v>Holi</v>
      </c>
      <c r="P355" s="7" t="str">
        <f>Raw_Orders!I355</f>
        <v>Narasaraopet</v>
      </c>
    </row>
    <row r="356" spans="1:16">
      <c r="A356" s="7" t="str">
        <f>Raw_Orders!A356</f>
        <v>355</v>
      </c>
      <c r="B356" s="7" t="str">
        <f>Raw_Orders!B356</f>
        <v>C099</v>
      </c>
      <c r="C356" s="7" t="str">
        <f>INDEX(Raw_Customers!$B$2:$B$101,MATCH($B356,Raw_Customers!$A$2:$A$101,0))</f>
        <v>Ranbir Loyal</v>
      </c>
      <c r="D356" s="7" t="str">
        <f>TRIM(INDEX(Raw_Customers!$C$2:$C$101,MATCH($B356,Raw_Customers!$A$2:$A$101,0)))</f>
        <v>Dhanbad</v>
      </c>
      <c r="E356" s="7" t="str">
        <f>"+91-"&amp;RIGHT("0000000000"&amp;INDEX(Raw_Customers!$D$2:$D$101,MATCH($B356,Raw_Customers!$A$2:$A$101,0)),10)</f>
        <v>+91-3621448305</v>
      </c>
      <c r="F356" s="7" t="str">
        <f>Raw_Orders!C356</f>
        <v>10</v>
      </c>
      <c r="G356" s="7" t="str">
        <f>INDEX(Raw_Products!$B$2:$B$71,MATCH($F356,Raw_Products!$A$2:$A$71,0))</f>
        <v>Accusantium Gift</v>
      </c>
      <c r="H356" s="7" t="str">
        <f>INDEX(Raw_Products!$C$2:$C$71,MATCH($F356,Raw_Products!$A$2:$A$71,0))</f>
        <v>Cake</v>
      </c>
      <c r="I356" s="7">
        <f>VALUE(Raw_Orders!D356)</f>
        <v>1</v>
      </c>
      <c r="J356" s="11" t="str">
        <f>INDEX(Raw_Products!$D$2:$D$71,MATCH($F356,Raw_Products!$A$2:$A$71,0))</f>
        <v>259</v>
      </c>
      <c r="K356" s="11">
        <f t="shared" si="10"/>
        <v>259</v>
      </c>
      <c r="L356" s="12">
        <f>DATE(VALUE(RIGHT(Raw_Orders!E356,4)),VALUE(MID(Raw_Orders!E356,4,2)),VALUE(LEFT(Raw_Orders!E356,2)))</f>
        <v>45284</v>
      </c>
      <c r="M356" s="12">
        <f>DATE(VALUE(RIGHT(Raw_Orders!G356,4)),VALUE(MID(Raw_Orders!G356,4,2)),VALUE(LEFT(Raw_Orders!G356,2)))</f>
        <v>45293</v>
      </c>
      <c r="N356" s="7">
        <f t="shared" si="11"/>
        <v>9</v>
      </c>
      <c r="O356" s="7" t="str">
        <f>Raw_Orders!J356</f>
        <v>Birthday</v>
      </c>
      <c r="P356" s="7" t="str">
        <f>Raw_Orders!I356</f>
        <v>Satara</v>
      </c>
    </row>
    <row r="357" spans="1:16">
      <c r="A357" s="7" t="str">
        <f>Raw_Orders!A357</f>
        <v>356</v>
      </c>
      <c r="B357" s="7" t="str">
        <f>Raw_Orders!B357</f>
        <v>C028</v>
      </c>
      <c r="C357" s="7" t="str">
        <f>INDEX(Raw_Customers!$B$2:$B$101,MATCH($B357,Raw_Customers!$A$2:$A$101,0))</f>
        <v>Hridaan Rajagopalan</v>
      </c>
      <c r="D357" s="7" t="str">
        <f>TRIM(INDEX(Raw_Customers!$C$2:$C$101,MATCH($B357,Raw_Customers!$A$2:$A$101,0)))</f>
        <v>Noida</v>
      </c>
      <c r="E357" s="7" t="str">
        <f>"+91-"&amp;RIGHT("0000000000"&amp;INDEX(Raw_Customers!$D$2:$D$101,MATCH($B357,Raw_Customers!$A$2:$A$101,0)),10)</f>
        <v>+91-2539728317</v>
      </c>
      <c r="F357" s="7" t="str">
        <f>Raw_Orders!C357</f>
        <v>14</v>
      </c>
      <c r="G357" s="7" t="str">
        <f>INDEX(Raw_Products!$B$2:$B$71,MATCH($F357,Raw_Products!$A$2:$A$71,0))</f>
        <v>Deserunt Box</v>
      </c>
      <c r="H357" s="7" t="str">
        <f>INDEX(Raw_Products!$C$2:$C$71,MATCH($F357,Raw_Products!$A$2:$A$71,0))</f>
        <v>Colors</v>
      </c>
      <c r="I357" s="7">
        <f>VALUE(Raw_Orders!D357)</f>
        <v>1</v>
      </c>
      <c r="J357" s="11" t="str">
        <f>INDEX(Raw_Products!$D$2:$D$71,MATCH($F357,Raw_Products!$A$2:$A$71,0))</f>
        <v>1915</v>
      </c>
      <c r="K357" s="11">
        <f t="shared" si="10"/>
        <v>1915</v>
      </c>
      <c r="L357" s="12">
        <f>DATE(VALUE(RIGHT(Raw_Orders!E357,4)),VALUE(MID(Raw_Orders!E357,4,2)),VALUE(LEFT(Raw_Orders!E357,2)))</f>
        <v>45115</v>
      </c>
      <c r="M357" s="12">
        <f>DATE(VALUE(RIGHT(Raw_Orders!G357,4)),VALUE(MID(Raw_Orders!G357,4,2)),VALUE(LEFT(Raw_Orders!G357,2)))</f>
        <v>45116</v>
      </c>
      <c r="N357" s="7">
        <f t="shared" si="11"/>
        <v>1</v>
      </c>
      <c r="O357" s="7" t="str">
        <f>Raw_Orders!J357</f>
        <v>Birthday</v>
      </c>
      <c r="P357" s="7" t="str">
        <f>Raw_Orders!I357</f>
        <v>Panvel</v>
      </c>
    </row>
    <row r="358" spans="1:16">
      <c r="A358" s="7" t="str">
        <f>Raw_Orders!A358</f>
        <v>357</v>
      </c>
      <c r="B358" s="7" t="str">
        <f>Raw_Orders!B358</f>
        <v>C063</v>
      </c>
      <c r="C358" s="7" t="str">
        <f>INDEX(Raw_Customers!$B$2:$B$101,MATCH($B358,Raw_Customers!$A$2:$A$101,0))</f>
        <v>Arhaan Ahluwalia</v>
      </c>
      <c r="D358" s="7" t="str">
        <f>TRIM(INDEX(Raw_Customers!$C$2:$C$101,MATCH($B358,Raw_Customers!$A$2:$A$101,0)))</f>
        <v>Jamnagar</v>
      </c>
      <c r="E358" s="7" t="str">
        <f>"+91-"&amp;RIGHT("0000000000"&amp;INDEX(Raw_Customers!$D$2:$D$101,MATCH($B358,Raw_Customers!$A$2:$A$101,0)),10)</f>
        <v>+91-5287021467</v>
      </c>
      <c r="F358" s="7" t="str">
        <f>Raw_Orders!C358</f>
        <v>62</v>
      </c>
      <c r="G358" s="7" t="str">
        <f>INDEX(Raw_Products!$B$2:$B$71,MATCH($F358,Raw_Products!$A$2:$A$71,0))</f>
        <v>Sed Set</v>
      </c>
      <c r="H358" s="7" t="str">
        <f>INDEX(Raw_Products!$C$2:$C$71,MATCH($F358,Raw_Products!$A$2:$A$71,0))</f>
        <v>Colors</v>
      </c>
      <c r="I358" s="7">
        <f>VALUE(Raw_Orders!D358)</f>
        <v>4</v>
      </c>
      <c r="J358" s="11" t="str">
        <f>INDEX(Raw_Products!$D$2:$D$71,MATCH($F358,Raw_Products!$A$2:$A$71,0))</f>
        <v>1356</v>
      </c>
      <c r="K358" s="11">
        <f t="shared" si="10"/>
        <v>5424</v>
      </c>
      <c r="L358" s="12">
        <f>DATE(VALUE(RIGHT(Raw_Orders!E358,4)),VALUE(MID(Raw_Orders!E358,4,2)),VALUE(LEFT(Raw_Orders!E358,2)))</f>
        <v>44988</v>
      </c>
      <c r="M358" s="12">
        <f>DATE(VALUE(RIGHT(Raw_Orders!G358,4)),VALUE(MID(Raw_Orders!G358,4,2)),VALUE(LEFT(Raw_Orders!G358,2)))</f>
        <v>44998</v>
      </c>
      <c r="N358" s="7">
        <f t="shared" si="11"/>
        <v>10</v>
      </c>
      <c r="O358" s="7" t="str">
        <f>Raw_Orders!J358</f>
        <v>Holi</v>
      </c>
      <c r="P358" s="7" t="str">
        <f>Raw_Orders!I358</f>
        <v>Kavali</v>
      </c>
    </row>
    <row r="359" spans="1:16">
      <c r="A359" s="7" t="str">
        <f>Raw_Orders!A359</f>
        <v>358</v>
      </c>
      <c r="B359" s="7" t="str">
        <f>Raw_Orders!B359</f>
        <v>C040</v>
      </c>
      <c r="C359" s="7" t="str">
        <f>INDEX(Raw_Customers!$B$2:$B$101,MATCH($B359,Raw_Customers!$A$2:$A$101,0))</f>
        <v>Hazel Mangat</v>
      </c>
      <c r="D359" s="7" t="str">
        <f>TRIM(INDEX(Raw_Customers!$C$2:$C$101,MATCH($B359,Raw_Customers!$A$2:$A$101,0)))</f>
        <v>Pallavaram</v>
      </c>
      <c r="E359" s="7" t="str">
        <f>"+91-"&amp;RIGHT("0000000000"&amp;INDEX(Raw_Customers!$D$2:$D$101,MATCH($B359,Raw_Customers!$A$2:$A$101,0)),10)</f>
        <v>+91-8810621361</v>
      </c>
      <c r="F359" s="7" t="str">
        <f>Raw_Orders!C359</f>
        <v>55</v>
      </c>
      <c r="G359" s="7" t="str">
        <f>INDEX(Raw_Products!$B$2:$B$71,MATCH($F359,Raw_Products!$A$2:$A$71,0))</f>
        <v>Dolores Gift</v>
      </c>
      <c r="H359" s="7" t="str">
        <f>INDEX(Raw_Products!$C$2:$C$71,MATCH($F359,Raw_Products!$A$2:$A$71,0))</f>
        <v>Soft Toys</v>
      </c>
      <c r="I359" s="7">
        <f>VALUE(Raw_Orders!D359)</f>
        <v>1</v>
      </c>
      <c r="J359" s="11" t="str">
        <f>INDEX(Raw_Products!$D$2:$D$71,MATCH($F359,Raw_Products!$A$2:$A$71,0))</f>
        <v>1904</v>
      </c>
      <c r="K359" s="11">
        <f t="shared" si="10"/>
        <v>1904</v>
      </c>
      <c r="L359" s="12">
        <f>DATE(VALUE(RIGHT(Raw_Orders!E359,4)),VALUE(MID(Raw_Orders!E359,4,2)),VALUE(LEFT(Raw_Orders!E359,2)))</f>
        <v>45158</v>
      </c>
      <c r="M359" s="12">
        <f>DATE(VALUE(RIGHT(Raw_Orders!G359,4)),VALUE(MID(Raw_Orders!G359,4,2)),VALUE(LEFT(Raw_Orders!G359,2)))</f>
        <v>45163</v>
      </c>
      <c r="N359" s="7">
        <f t="shared" si="11"/>
        <v>5</v>
      </c>
      <c r="O359" s="7" t="str">
        <f>Raw_Orders!J359</f>
        <v>Raksha Bandhan</v>
      </c>
      <c r="P359" s="7" t="str">
        <f>Raw_Orders!I359</f>
        <v>Secunderabad</v>
      </c>
    </row>
    <row r="360" spans="1:16">
      <c r="A360" s="7" t="str">
        <f>Raw_Orders!A360</f>
        <v>359</v>
      </c>
      <c r="B360" s="7" t="str">
        <f>Raw_Orders!B360</f>
        <v>C052</v>
      </c>
      <c r="C360" s="7" t="str">
        <f>INDEX(Raw_Customers!$B$2:$B$101,MATCH($B360,Raw_Customers!$A$2:$A$101,0))</f>
        <v>Vardaniya Apte</v>
      </c>
      <c r="D360" s="7" t="str">
        <f>TRIM(INDEX(Raw_Customers!$C$2:$C$101,MATCH($B360,Raw_Customers!$A$2:$A$101,0)))</f>
        <v>Dhanbad</v>
      </c>
      <c r="E360" s="7" t="str">
        <f>"+91-"&amp;RIGHT("0000000000"&amp;INDEX(Raw_Customers!$D$2:$D$101,MATCH($B360,Raw_Customers!$A$2:$A$101,0)),10)</f>
        <v>+91-5846932069</v>
      </c>
      <c r="F360" s="7" t="str">
        <f>Raw_Orders!C360</f>
        <v>47</v>
      </c>
      <c r="G360" s="7" t="str">
        <f>INDEX(Raw_Products!$B$2:$B$71,MATCH($F360,Raw_Products!$A$2:$A$71,0))</f>
        <v>Harum Pack</v>
      </c>
      <c r="H360" s="7" t="str">
        <f>INDEX(Raw_Products!$C$2:$C$71,MATCH($F360,Raw_Products!$A$2:$A$71,0))</f>
        <v>Colors</v>
      </c>
      <c r="I360" s="7">
        <f>VALUE(Raw_Orders!D360)</f>
        <v>2</v>
      </c>
      <c r="J360" s="11" t="str">
        <f>INDEX(Raw_Products!$D$2:$D$71,MATCH($F360,Raw_Products!$A$2:$A$71,0))</f>
        <v>1638</v>
      </c>
      <c r="K360" s="11">
        <f t="shared" si="10"/>
        <v>3276</v>
      </c>
      <c r="L360" s="12">
        <f>DATE(VALUE(RIGHT(Raw_Orders!E360,4)),VALUE(MID(Raw_Orders!E360,4,2)),VALUE(LEFT(Raw_Orders!E360,2)))</f>
        <v>44985</v>
      </c>
      <c r="M360" s="12">
        <f>DATE(VALUE(RIGHT(Raw_Orders!G360,4)),VALUE(MID(Raw_Orders!G360,4,2)),VALUE(LEFT(Raw_Orders!G360,2)))</f>
        <v>44990</v>
      </c>
      <c r="N360" s="7">
        <f t="shared" si="11"/>
        <v>5</v>
      </c>
      <c r="O360" s="7" t="str">
        <f>Raw_Orders!J360</f>
        <v>Holi</v>
      </c>
      <c r="P360" s="7" t="str">
        <f>Raw_Orders!I360</f>
        <v>Nagpur</v>
      </c>
    </row>
    <row r="361" spans="1:16">
      <c r="A361" s="7" t="str">
        <f>Raw_Orders!A361</f>
        <v>360</v>
      </c>
      <c r="B361" s="7" t="str">
        <f>Raw_Orders!B361</f>
        <v>C099</v>
      </c>
      <c r="C361" s="7" t="str">
        <f>INDEX(Raw_Customers!$B$2:$B$101,MATCH($B361,Raw_Customers!$A$2:$A$101,0))</f>
        <v>Ranbir Loyal</v>
      </c>
      <c r="D361" s="7" t="str">
        <f>TRIM(INDEX(Raw_Customers!$C$2:$C$101,MATCH($B361,Raw_Customers!$A$2:$A$101,0)))</f>
        <v>Dhanbad</v>
      </c>
      <c r="E361" s="7" t="str">
        <f>"+91-"&amp;RIGHT("0000000000"&amp;INDEX(Raw_Customers!$D$2:$D$101,MATCH($B361,Raw_Customers!$A$2:$A$101,0)),10)</f>
        <v>+91-3621448305</v>
      </c>
      <c r="F361" s="7" t="str">
        <f>Raw_Orders!C361</f>
        <v>41</v>
      </c>
      <c r="G361" s="7" t="str">
        <f>INDEX(Raw_Products!$B$2:$B$71,MATCH($F361,Raw_Products!$A$2:$A$71,0))</f>
        <v>Aut Box</v>
      </c>
      <c r="H361" s="7" t="str">
        <f>INDEX(Raw_Products!$C$2:$C$71,MATCH($F361,Raw_Products!$A$2:$A$71,0))</f>
        <v>Sweets</v>
      </c>
      <c r="I361" s="7">
        <f>VALUE(Raw_Orders!D361)</f>
        <v>1</v>
      </c>
      <c r="J361" s="11" t="str">
        <f>INDEX(Raw_Products!$D$2:$D$71,MATCH($F361,Raw_Products!$A$2:$A$71,0))</f>
        <v>1977</v>
      </c>
      <c r="K361" s="11">
        <f t="shared" si="10"/>
        <v>1977</v>
      </c>
      <c r="L361" s="12">
        <f>DATE(VALUE(RIGHT(Raw_Orders!E361,4)),VALUE(MID(Raw_Orders!E361,4,2)),VALUE(LEFT(Raw_Orders!E361,2)))</f>
        <v>45236</v>
      </c>
      <c r="M361" s="12">
        <f>DATE(VALUE(RIGHT(Raw_Orders!G361,4)),VALUE(MID(Raw_Orders!G361,4,2)),VALUE(LEFT(Raw_Orders!G361,2)))</f>
        <v>45239</v>
      </c>
      <c r="N361" s="7">
        <f t="shared" si="11"/>
        <v>3</v>
      </c>
      <c r="O361" s="7" t="str">
        <f>Raw_Orders!J361</f>
        <v>Diwali</v>
      </c>
      <c r="P361" s="7" t="str">
        <f>Raw_Orders!I361</f>
        <v>Belgaum</v>
      </c>
    </row>
    <row r="362" spans="1:16">
      <c r="A362" s="7" t="str">
        <f>Raw_Orders!A362</f>
        <v>361</v>
      </c>
      <c r="B362" s="7" t="str">
        <f>Raw_Orders!B362</f>
        <v>C049</v>
      </c>
      <c r="C362" s="7" t="str">
        <f>INDEX(Raw_Customers!$B$2:$B$101,MATCH($B362,Raw_Customers!$A$2:$A$101,0))</f>
        <v>Aarush Balasubramanian</v>
      </c>
      <c r="D362" s="7" t="str">
        <f>TRIM(INDEX(Raw_Customers!$C$2:$C$101,MATCH($B362,Raw_Customers!$A$2:$A$101,0)))</f>
        <v>Imphal</v>
      </c>
      <c r="E362" s="7" t="str">
        <f>"+91-"&amp;RIGHT("0000000000"&amp;INDEX(Raw_Customers!$D$2:$D$101,MATCH($B362,Raw_Customers!$A$2:$A$101,0)),10)</f>
        <v>+91-1436426958</v>
      </c>
      <c r="F362" s="7" t="str">
        <f>Raw_Orders!C362</f>
        <v>47</v>
      </c>
      <c r="G362" s="7" t="str">
        <f>INDEX(Raw_Products!$B$2:$B$71,MATCH($F362,Raw_Products!$A$2:$A$71,0))</f>
        <v>Harum Pack</v>
      </c>
      <c r="H362" s="7" t="str">
        <f>INDEX(Raw_Products!$C$2:$C$71,MATCH($F362,Raw_Products!$A$2:$A$71,0))</f>
        <v>Colors</v>
      </c>
      <c r="I362" s="7">
        <f>VALUE(Raw_Orders!D362)</f>
        <v>4</v>
      </c>
      <c r="J362" s="11" t="str">
        <f>INDEX(Raw_Products!$D$2:$D$71,MATCH($F362,Raw_Products!$A$2:$A$71,0))</f>
        <v>1638</v>
      </c>
      <c r="K362" s="11">
        <f t="shared" si="10"/>
        <v>6552</v>
      </c>
      <c r="L362" s="12">
        <f>DATE(VALUE(RIGHT(Raw_Orders!E362,4)),VALUE(MID(Raw_Orders!E362,4,2)),VALUE(LEFT(Raw_Orders!E362,2)))</f>
        <v>44988</v>
      </c>
      <c r="M362" s="12">
        <f>DATE(VALUE(RIGHT(Raw_Orders!G362,4)),VALUE(MID(Raw_Orders!G362,4,2)),VALUE(LEFT(Raw_Orders!G362,2)))</f>
        <v>44996</v>
      </c>
      <c r="N362" s="7">
        <f t="shared" si="11"/>
        <v>8</v>
      </c>
      <c r="O362" s="7" t="str">
        <f>Raw_Orders!J362</f>
        <v>Holi</v>
      </c>
      <c r="P362" s="7" t="str">
        <f>Raw_Orders!I362</f>
        <v>Rajkot</v>
      </c>
    </row>
    <row r="363" spans="1:16">
      <c r="A363" s="7" t="str">
        <f>Raw_Orders!A363</f>
        <v>362</v>
      </c>
      <c r="B363" s="7" t="str">
        <f>Raw_Orders!B363</f>
        <v>C041</v>
      </c>
      <c r="C363" s="7" t="str">
        <f>INDEX(Raw_Customers!$B$2:$B$101,MATCH($B363,Raw_Customers!$A$2:$A$101,0))</f>
        <v>Rati Dhingra</v>
      </c>
      <c r="D363" s="7" t="str">
        <f>TRIM(INDEX(Raw_Customers!$C$2:$C$101,MATCH($B363,Raw_Customers!$A$2:$A$101,0)))</f>
        <v>Karaikudi</v>
      </c>
      <c r="E363" s="7" t="str">
        <f>"+91-"&amp;RIGHT("0000000000"&amp;INDEX(Raw_Customers!$D$2:$D$101,MATCH($B363,Raw_Customers!$A$2:$A$101,0)),10)</f>
        <v>+91-0625408216</v>
      </c>
      <c r="F363" s="7" t="str">
        <f>Raw_Orders!C363</f>
        <v>31</v>
      </c>
      <c r="G363" s="7" t="str">
        <f>INDEX(Raw_Products!$B$2:$B$71,MATCH($F363,Raw_Products!$A$2:$A$71,0))</f>
        <v>Nihil Box</v>
      </c>
      <c r="H363" s="7" t="str">
        <f>INDEX(Raw_Products!$C$2:$C$71,MATCH($F363,Raw_Products!$A$2:$A$71,0))</f>
        <v>Colors</v>
      </c>
      <c r="I363" s="7">
        <f>VALUE(Raw_Orders!D363)</f>
        <v>2</v>
      </c>
      <c r="J363" s="11" t="str">
        <f>INDEX(Raw_Products!$D$2:$D$71,MATCH($F363,Raw_Products!$A$2:$A$71,0))</f>
        <v>1804</v>
      </c>
      <c r="K363" s="11">
        <f t="shared" si="10"/>
        <v>3608</v>
      </c>
      <c r="L363" s="12">
        <f>DATE(VALUE(RIGHT(Raw_Orders!E363,4)),VALUE(MID(Raw_Orders!E363,4,2)),VALUE(LEFT(Raw_Orders!E363,2)))</f>
        <v>44995</v>
      </c>
      <c r="M363" s="12">
        <f>DATE(VALUE(RIGHT(Raw_Orders!G363,4)),VALUE(MID(Raw_Orders!G363,4,2)),VALUE(LEFT(Raw_Orders!G363,2)))</f>
        <v>45002</v>
      </c>
      <c r="N363" s="7">
        <f t="shared" si="11"/>
        <v>7</v>
      </c>
      <c r="O363" s="7" t="str">
        <f>Raw_Orders!J363</f>
        <v>All Occasions</v>
      </c>
      <c r="P363" s="7" t="str">
        <f>Raw_Orders!I363</f>
        <v>Nashik</v>
      </c>
    </row>
    <row r="364" spans="1:16">
      <c r="A364" s="7" t="str">
        <f>Raw_Orders!A364</f>
        <v>363</v>
      </c>
      <c r="B364" s="7" t="str">
        <f>Raw_Orders!B364</f>
        <v>C022</v>
      </c>
      <c r="C364" s="7" t="str">
        <f>INDEX(Raw_Customers!$B$2:$B$101,MATCH($B364,Raw_Customers!$A$2:$A$101,0))</f>
        <v>Ivana Rout</v>
      </c>
      <c r="D364" s="7" t="str">
        <f>TRIM(INDEX(Raw_Customers!$C$2:$C$101,MATCH($B364,Raw_Customers!$A$2:$A$101,0)))</f>
        <v>Khandwa</v>
      </c>
      <c r="E364" s="7" t="str">
        <f>"+91-"&amp;RIGHT("0000000000"&amp;INDEX(Raw_Customers!$D$2:$D$101,MATCH($B364,Raw_Customers!$A$2:$A$101,0)),10)</f>
        <v>+91-3111711777</v>
      </c>
      <c r="F364" s="7" t="str">
        <f>Raw_Orders!C364</f>
        <v>15</v>
      </c>
      <c r="G364" s="7" t="str">
        <f>INDEX(Raw_Products!$B$2:$B$71,MATCH($F364,Raw_Products!$A$2:$A$71,0))</f>
        <v>Repudiandae Box</v>
      </c>
      <c r="H364" s="7" t="str">
        <f>INDEX(Raw_Products!$C$2:$C$71,MATCH($F364,Raw_Products!$A$2:$A$71,0))</f>
        <v>Raksha Bandhan</v>
      </c>
      <c r="I364" s="7">
        <f>VALUE(Raw_Orders!D364)</f>
        <v>2</v>
      </c>
      <c r="J364" s="11" t="str">
        <f>INDEX(Raw_Products!$D$2:$D$71,MATCH($F364,Raw_Products!$A$2:$A$71,0))</f>
        <v>1488</v>
      </c>
      <c r="K364" s="11">
        <f t="shared" si="10"/>
        <v>2976</v>
      </c>
      <c r="L364" s="12">
        <f>DATE(VALUE(RIGHT(Raw_Orders!E364,4)),VALUE(MID(Raw_Orders!E364,4,2)),VALUE(LEFT(Raw_Orders!E364,2)))</f>
        <v>45257</v>
      </c>
      <c r="M364" s="12">
        <f>DATE(VALUE(RIGHT(Raw_Orders!G364,4)),VALUE(MID(Raw_Orders!G364,4,2)),VALUE(LEFT(Raw_Orders!G364,2)))</f>
        <v>45265</v>
      </c>
      <c r="N364" s="7">
        <f t="shared" si="11"/>
        <v>8</v>
      </c>
      <c r="O364" s="7" t="str">
        <f>Raw_Orders!J364</f>
        <v>Anniversary</v>
      </c>
      <c r="P364" s="7" t="str">
        <f>Raw_Orders!I364</f>
        <v>Bhavnagar</v>
      </c>
    </row>
    <row r="365" spans="1:16">
      <c r="A365" s="7" t="str">
        <f>Raw_Orders!A365</f>
        <v>364</v>
      </c>
      <c r="B365" s="7" t="str">
        <f>Raw_Orders!B365</f>
        <v>C003</v>
      </c>
      <c r="C365" s="7" t="str">
        <f>INDEX(Raw_Customers!$B$2:$B$101,MATCH($B365,Raw_Customers!$A$2:$A$101,0))</f>
        <v>Jayesh Lanka</v>
      </c>
      <c r="D365" s="7" t="str">
        <f>TRIM(INDEX(Raw_Customers!$C$2:$C$101,MATCH($B365,Raw_Customers!$A$2:$A$101,0)))</f>
        <v>Bilaspur</v>
      </c>
      <c r="E365" s="7" t="str">
        <f>"+91-"&amp;RIGHT("0000000000"&amp;INDEX(Raw_Customers!$D$2:$D$101,MATCH($B365,Raw_Customers!$A$2:$A$101,0)),10)</f>
        <v>+91-7400208126</v>
      </c>
      <c r="F365" s="7" t="str">
        <f>Raw_Orders!C365</f>
        <v>43</v>
      </c>
      <c r="G365" s="7" t="str">
        <f>INDEX(Raw_Products!$B$2:$B$71,MATCH($F365,Raw_Products!$A$2:$A$71,0))</f>
        <v>Quisquam Pack</v>
      </c>
      <c r="H365" s="7" t="str">
        <f>INDEX(Raw_Products!$C$2:$C$71,MATCH($F365,Raw_Products!$A$2:$A$71,0))</f>
        <v>Raksha Bandhan</v>
      </c>
      <c r="I365" s="7">
        <f>VALUE(Raw_Orders!D365)</f>
        <v>3</v>
      </c>
      <c r="J365" s="11" t="str">
        <f>INDEX(Raw_Products!$D$2:$D$71,MATCH($F365,Raw_Products!$A$2:$A$71,0))</f>
        <v>750</v>
      </c>
      <c r="K365" s="11">
        <f t="shared" si="10"/>
        <v>2250</v>
      </c>
      <c r="L365" s="12">
        <f>DATE(VALUE(RIGHT(Raw_Orders!E365,4)),VALUE(MID(Raw_Orders!E365,4,2)),VALUE(LEFT(Raw_Orders!E365,2)))</f>
        <v>45238</v>
      </c>
      <c r="M365" s="12">
        <f>DATE(VALUE(RIGHT(Raw_Orders!G365,4)),VALUE(MID(Raw_Orders!G365,4,2)),VALUE(LEFT(Raw_Orders!G365,2)))</f>
        <v>45239</v>
      </c>
      <c r="N365" s="7">
        <f t="shared" si="11"/>
        <v>1</v>
      </c>
      <c r="O365" s="7" t="str">
        <f>Raw_Orders!J365</f>
        <v>Diwali</v>
      </c>
      <c r="P365" s="7" t="str">
        <f>Raw_Orders!I365</f>
        <v>Satara</v>
      </c>
    </row>
    <row r="366" spans="1:16">
      <c r="A366" s="7" t="str">
        <f>Raw_Orders!A366</f>
        <v>365</v>
      </c>
      <c r="B366" s="7" t="str">
        <f>Raw_Orders!B366</f>
        <v>C028</v>
      </c>
      <c r="C366" s="7" t="str">
        <f>INDEX(Raw_Customers!$B$2:$B$101,MATCH($B366,Raw_Customers!$A$2:$A$101,0))</f>
        <v>Hridaan Rajagopalan</v>
      </c>
      <c r="D366" s="7" t="str">
        <f>TRIM(INDEX(Raw_Customers!$C$2:$C$101,MATCH($B366,Raw_Customers!$A$2:$A$101,0)))</f>
        <v>Noida</v>
      </c>
      <c r="E366" s="7" t="str">
        <f>"+91-"&amp;RIGHT("0000000000"&amp;INDEX(Raw_Customers!$D$2:$D$101,MATCH($B366,Raw_Customers!$A$2:$A$101,0)),10)</f>
        <v>+91-2539728317</v>
      </c>
      <c r="F366" s="7" t="str">
        <f>Raw_Orders!C366</f>
        <v>8</v>
      </c>
      <c r="G366" s="7" t="str">
        <f>INDEX(Raw_Products!$B$2:$B$71,MATCH($F366,Raw_Products!$A$2:$A$71,0))</f>
        <v>Qui Box</v>
      </c>
      <c r="H366" s="7" t="str">
        <f>INDEX(Raw_Products!$C$2:$C$71,MATCH($F366,Raw_Products!$A$2:$A$71,0))</f>
        <v>Sweets</v>
      </c>
      <c r="I366" s="7">
        <f>VALUE(Raw_Orders!D366)</f>
        <v>5</v>
      </c>
      <c r="J366" s="11" t="str">
        <f>INDEX(Raw_Products!$D$2:$D$71,MATCH($F366,Raw_Products!$A$2:$A$71,0))</f>
        <v>252</v>
      </c>
      <c r="K366" s="11">
        <f t="shared" si="10"/>
        <v>1260</v>
      </c>
      <c r="L366" s="12">
        <f>DATE(VALUE(RIGHT(Raw_Orders!E366,4)),VALUE(MID(Raw_Orders!E366,4,2)),VALUE(LEFT(Raw_Orders!E366,2)))</f>
        <v>45078</v>
      </c>
      <c r="M366" s="12">
        <f>DATE(VALUE(RIGHT(Raw_Orders!G366,4)),VALUE(MID(Raw_Orders!G366,4,2)),VALUE(LEFT(Raw_Orders!G366,2)))</f>
        <v>45081</v>
      </c>
      <c r="N366" s="7">
        <f t="shared" si="11"/>
        <v>3</v>
      </c>
      <c r="O366" s="7" t="str">
        <f>Raw_Orders!J366</f>
        <v>Anniversary</v>
      </c>
      <c r="P366" s="7" t="str">
        <f>Raw_Orders!I366</f>
        <v>Agra</v>
      </c>
    </row>
    <row r="367" spans="1:16">
      <c r="A367" s="7" t="str">
        <f>Raw_Orders!A367</f>
        <v>366</v>
      </c>
      <c r="B367" s="7" t="str">
        <f>Raw_Orders!B367</f>
        <v>C033</v>
      </c>
      <c r="C367" s="7" t="str">
        <f>INDEX(Raw_Customers!$B$2:$B$101,MATCH($B367,Raw_Customers!$A$2:$A$101,0))</f>
        <v>Suhana Kurian</v>
      </c>
      <c r="D367" s="7" t="str">
        <f>TRIM(INDEX(Raw_Customers!$C$2:$C$101,MATCH($B367,Raw_Customers!$A$2:$A$101,0)))</f>
        <v>Indore</v>
      </c>
      <c r="E367" s="7" t="str">
        <f>"+91-"&amp;RIGHT("0000000000"&amp;INDEX(Raw_Customers!$D$2:$D$101,MATCH($B367,Raw_Customers!$A$2:$A$101,0)),10)</f>
        <v>+91-5713958095</v>
      </c>
      <c r="F367" s="7" t="str">
        <f>Raw_Orders!C367</f>
        <v>3</v>
      </c>
      <c r="G367" s="7" t="str">
        <f>INDEX(Raw_Products!$B$2:$B$71,MATCH($F367,Raw_Products!$A$2:$A$71,0))</f>
        <v>Eius Gift</v>
      </c>
      <c r="H367" s="7" t="str">
        <f>INDEX(Raw_Products!$C$2:$C$71,MATCH($F367,Raw_Products!$A$2:$A$71,0))</f>
        <v>Colors</v>
      </c>
      <c r="I367" s="7">
        <f>VALUE(Raw_Orders!D367)</f>
        <v>3</v>
      </c>
      <c r="J367" s="11" t="str">
        <f>INDEX(Raw_Products!$D$2:$D$71,MATCH($F367,Raw_Products!$A$2:$A$71,0))</f>
        <v>1534</v>
      </c>
      <c r="K367" s="11">
        <f t="shared" si="10"/>
        <v>4602</v>
      </c>
      <c r="L367" s="12">
        <f>DATE(VALUE(RIGHT(Raw_Orders!E367,4)),VALUE(MID(Raw_Orders!E367,4,2)),VALUE(LEFT(Raw_Orders!E367,2)))</f>
        <v>44965</v>
      </c>
      <c r="M367" s="12">
        <f>DATE(VALUE(RIGHT(Raw_Orders!G367,4)),VALUE(MID(Raw_Orders!G367,4,2)),VALUE(LEFT(Raw_Orders!G367,2)))</f>
        <v>44973</v>
      </c>
      <c r="N367" s="7">
        <f t="shared" si="11"/>
        <v>8</v>
      </c>
      <c r="O367" s="7" t="str">
        <f>Raw_Orders!J367</f>
        <v>Valentine's Day</v>
      </c>
      <c r="P367" s="7" t="str">
        <f>Raw_Orders!I367</f>
        <v>Kolkata</v>
      </c>
    </row>
    <row r="368" spans="1:16">
      <c r="A368" s="7" t="str">
        <f>Raw_Orders!A368</f>
        <v>367</v>
      </c>
      <c r="B368" s="7" t="str">
        <f>Raw_Orders!B368</f>
        <v>C010</v>
      </c>
      <c r="C368" s="7" t="str">
        <f>INDEX(Raw_Customers!$B$2:$B$101,MATCH($B368,Raw_Customers!$A$2:$A$101,0))</f>
        <v>Darshit Dave</v>
      </c>
      <c r="D368" s="7" t="str">
        <f>TRIM(INDEX(Raw_Customers!$C$2:$C$101,MATCH($B368,Raw_Customers!$A$2:$A$101,0)))</f>
        <v>Kanpur</v>
      </c>
      <c r="E368" s="7" t="str">
        <f>"+91-"&amp;RIGHT("0000000000"&amp;INDEX(Raw_Customers!$D$2:$D$101,MATCH($B368,Raw_Customers!$A$2:$A$101,0)),10)</f>
        <v>+91-1608833065</v>
      </c>
      <c r="F368" s="7" t="str">
        <f>Raw_Orders!C368</f>
        <v>47</v>
      </c>
      <c r="G368" s="7" t="str">
        <f>INDEX(Raw_Products!$B$2:$B$71,MATCH($F368,Raw_Products!$A$2:$A$71,0))</f>
        <v>Harum Pack</v>
      </c>
      <c r="H368" s="7" t="str">
        <f>INDEX(Raw_Products!$C$2:$C$71,MATCH($F368,Raw_Products!$A$2:$A$71,0))</f>
        <v>Colors</v>
      </c>
      <c r="I368" s="7">
        <f>VALUE(Raw_Orders!D368)</f>
        <v>5</v>
      </c>
      <c r="J368" s="11" t="str">
        <f>INDEX(Raw_Products!$D$2:$D$71,MATCH($F368,Raw_Products!$A$2:$A$71,0))</f>
        <v>1638</v>
      </c>
      <c r="K368" s="11">
        <f t="shared" si="10"/>
        <v>8190</v>
      </c>
      <c r="L368" s="12">
        <f>DATE(VALUE(RIGHT(Raw_Orders!E368,4)),VALUE(MID(Raw_Orders!E368,4,2)),VALUE(LEFT(Raw_Orders!E368,2)))</f>
        <v>44988</v>
      </c>
      <c r="M368" s="12">
        <f>DATE(VALUE(RIGHT(Raw_Orders!G368,4)),VALUE(MID(Raw_Orders!G368,4,2)),VALUE(LEFT(Raw_Orders!G368,2)))</f>
        <v>44997</v>
      </c>
      <c r="N368" s="7">
        <f t="shared" si="11"/>
        <v>9</v>
      </c>
      <c r="O368" s="7" t="str">
        <f>Raw_Orders!J368</f>
        <v>Holi</v>
      </c>
      <c r="P368" s="7" t="str">
        <f>Raw_Orders!I368</f>
        <v>South Dumdum</v>
      </c>
    </row>
    <row r="369" spans="1:16">
      <c r="A369" s="7" t="str">
        <f>Raw_Orders!A369</f>
        <v>368</v>
      </c>
      <c r="B369" s="7" t="str">
        <f>Raw_Orders!B369</f>
        <v>C042</v>
      </c>
      <c r="C369" s="7" t="str">
        <f>INDEX(Raw_Customers!$B$2:$B$101,MATCH($B369,Raw_Customers!$A$2:$A$101,0))</f>
        <v>Eshani Sharma</v>
      </c>
      <c r="D369" s="7" t="str">
        <f>TRIM(INDEX(Raw_Customers!$C$2:$C$101,MATCH($B369,Raw_Customers!$A$2:$A$101,0)))</f>
        <v>Ajmer</v>
      </c>
      <c r="E369" s="7" t="str">
        <f>"+91-"&amp;RIGHT("0000000000"&amp;INDEX(Raw_Customers!$D$2:$D$101,MATCH($B369,Raw_Customers!$A$2:$A$101,0)),10)</f>
        <v>+91-6843169694</v>
      </c>
      <c r="F369" s="7" t="str">
        <f>Raw_Orders!C369</f>
        <v>6</v>
      </c>
      <c r="G369" s="7" t="str">
        <f>INDEX(Raw_Products!$B$2:$B$71,MATCH($F369,Raw_Products!$A$2:$A$71,0))</f>
        <v>Quos Box</v>
      </c>
      <c r="H369" s="7" t="str">
        <f>INDEX(Raw_Products!$C$2:$C$71,MATCH($F369,Raw_Products!$A$2:$A$71,0))</f>
        <v>Cake</v>
      </c>
      <c r="I369" s="7">
        <f>VALUE(Raw_Orders!D369)</f>
        <v>3</v>
      </c>
      <c r="J369" s="11" t="str">
        <f>INDEX(Raw_Products!$D$2:$D$71,MATCH($F369,Raw_Products!$A$2:$A$71,0))</f>
        <v>1112</v>
      </c>
      <c r="K369" s="11">
        <f t="shared" si="10"/>
        <v>3336</v>
      </c>
      <c r="L369" s="12">
        <f>DATE(VALUE(RIGHT(Raw_Orders!E369,4)),VALUE(MID(Raw_Orders!E369,4,2)),VALUE(LEFT(Raw_Orders!E369,2)))</f>
        <v>44989</v>
      </c>
      <c r="M369" s="12">
        <f>DATE(VALUE(RIGHT(Raw_Orders!G369,4)),VALUE(MID(Raw_Orders!G369,4,2)),VALUE(LEFT(Raw_Orders!G369,2)))</f>
        <v>44991</v>
      </c>
      <c r="N369" s="7">
        <f t="shared" si="11"/>
        <v>2</v>
      </c>
      <c r="O369" s="7" t="str">
        <f>Raw_Orders!J369</f>
        <v>Holi</v>
      </c>
      <c r="P369" s="7" t="str">
        <f>Raw_Orders!I369</f>
        <v>Nashik</v>
      </c>
    </row>
    <row r="370" spans="1:16">
      <c r="A370" s="7" t="str">
        <f>Raw_Orders!A370</f>
        <v>369</v>
      </c>
      <c r="B370" s="7" t="str">
        <f>Raw_Orders!B370</f>
        <v>C014</v>
      </c>
      <c r="C370" s="7" t="str">
        <f>INDEX(Raw_Customers!$B$2:$B$101,MATCH($B370,Raw_Customers!$A$2:$A$101,0))</f>
        <v>Indrans Shukla</v>
      </c>
      <c r="D370" s="7" t="str">
        <f>TRIM(INDEX(Raw_Customers!$C$2:$C$101,MATCH($B370,Raw_Customers!$A$2:$A$101,0)))</f>
        <v>Panvel</v>
      </c>
      <c r="E370" s="7" t="str">
        <f>"+91-"&amp;RIGHT("0000000000"&amp;INDEX(Raw_Customers!$D$2:$D$101,MATCH($B370,Raw_Customers!$A$2:$A$101,0)),10)</f>
        <v>+91-2717671919</v>
      </c>
      <c r="F370" s="7" t="str">
        <f>Raw_Orders!C370</f>
        <v>63</v>
      </c>
      <c r="G370" s="7" t="str">
        <f>INDEX(Raw_Products!$B$2:$B$71,MATCH($F370,Raw_Products!$A$2:$A$71,0))</f>
        <v>Adipisci Set</v>
      </c>
      <c r="H370" s="7" t="str">
        <f>INDEX(Raw_Products!$C$2:$C$71,MATCH($F370,Raw_Products!$A$2:$A$71,0))</f>
        <v>Sweets</v>
      </c>
      <c r="I370" s="7">
        <f>VALUE(Raw_Orders!D370)</f>
        <v>3</v>
      </c>
      <c r="J370" s="11" t="str">
        <f>INDEX(Raw_Products!$D$2:$D$71,MATCH($F370,Raw_Products!$A$2:$A$71,0))</f>
        <v>1348</v>
      </c>
      <c r="K370" s="11">
        <f t="shared" si="10"/>
        <v>4044</v>
      </c>
      <c r="L370" s="12">
        <f>DATE(VALUE(RIGHT(Raw_Orders!E370,4)),VALUE(MID(Raw_Orders!E370,4,2)),VALUE(LEFT(Raw_Orders!E370,2)))</f>
        <v>45145</v>
      </c>
      <c r="M370" s="12">
        <f>DATE(VALUE(RIGHT(Raw_Orders!G370,4)),VALUE(MID(Raw_Orders!G370,4,2)),VALUE(LEFT(Raw_Orders!G370,2)))</f>
        <v>45153</v>
      </c>
      <c r="N370" s="7">
        <f t="shared" si="11"/>
        <v>8</v>
      </c>
      <c r="O370" s="7" t="str">
        <f>Raw_Orders!J370</f>
        <v>All Occasions</v>
      </c>
      <c r="P370" s="7" t="str">
        <f>Raw_Orders!I370</f>
        <v>Jammu</v>
      </c>
    </row>
    <row r="371" spans="1:16">
      <c r="A371" s="7" t="str">
        <f>Raw_Orders!A371</f>
        <v>370</v>
      </c>
      <c r="B371" s="7" t="str">
        <f>Raw_Orders!B371</f>
        <v>C073</v>
      </c>
      <c r="C371" s="7" t="str">
        <f>INDEX(Raw_Customers!$B$2:$B$101,MATCH($B371,Raw_Customers!$A$2:$A$101,0))</f>
        <v>Zeeshan Tailor</v>
      </c>
      <c r="D371" s="7" t="str">
        <f>TRIM(INDEX(Raw_Customers!$C$2:$C$101,MATCH($B371,Raw_Customers!$A$2:$A$101,0)))</f>
        <v>Parbhani</v>
      </c>
      <c r="E371" s="7" t="str">
        <f>"+91-"&amp;RIGHT("0000000000"&amp;INDEX(Raw_Customers!$D$2:$D$101,MATCH($B371,Raw_Customers!$A$2:$A$101,0)),10)</f>
        <v>+91-8037721297</v>
      </c>
      <c r="F371" s="7" t="str">
        <f>Raw_Orders!C371</f>
        <v>54</v>
      </c>
      <c r="G371" s="7" t="str">
        <f>INDEX(Raw_Products!$B$2:$B$71,MATCH($F371,Raw_Products!$A$2:$A$71,0))</f>
        <v>Occaecati Gift</v>
      </c>
      <c r="H371" s="7" t="str">
        <f>INDEX(Raw_Products!$C$2:$C$71,MATCH($F371,Raw_Products!$A$2:$A$71,0))</f>
        <v>Cake</v>
      </c>
      <c r="I371" s="7">
        <f>VALUE(Raw_Orders!D371)</f>
        <v>2</v>
      </c>
      <c r="J371" s="11" t="str">
        <f>INDEX(Raw_Products!$D$2:$D$71,MATCH($F371,Raw_Products!$A$2:$A$71,0))</f>
        <v>1236</v>
      </c>
      <c r="K371" s="11">
        <f t="shared" si="10"/>
        <v>2472</v>
      </c>
      <c r="L371" s="12">
        <f>DATE(VALUE(RIGHT(Raw_Orders!E371,4)),VALUE(MID(Raw_Orders!E371,4,2)),VALUE(LEFT(Raw_Orders!E371,2)))</f>
        <v>45116</v>
      </c>
      <c r="M371" s="12">
        <f>DATE(VALUE(RIGHT(Raw_Orders!G371,4)),VALUE(MID(Raw_Orders!G371,4,2)),VALUE(LEFT(Raw_Orders!G371,2)))</f>
        <v>45120</v>
      </c>
      <c r="N371" s="7">
        <f t="shared" si="11"/>
        <v>4</v>
      </c>
      <c r="O371" s="7" t="str">
        <f>Raw_Orders!J371</f>
        <v>Anniversary</v>
      </c>
      <c r="P371" s="7" t="str">
        <f>Raw_Orders!I371</f>
        <v>Danapur</v>
      </c>
    </row>
    <row r="372" spans="1:16">
      <c r="A372" s="7" t="str">
        <f>Raw_Orders!A372</f>
        <v>371</v>
      </c>
      <c r="B372" s="7" t="str">
        <f>Raw_Orders!B372</f>
        <v>C090</v>
      </c>
      <c r="C372" s="7" t="str">
        <f>INDEX(Raw_Customers!$B$2:$B$101,MATCH($B372,Raw_Customers!$A$2:$A$101,0))</f>
        <v>Drishya De</v>
      </c>
      <c r="D372" s="7" t="str">
        <f>TRIM(INDEX(Raw_Customers!$C$2:$C$101,MATCH($B372,Raw_Customers!$A$2:$A$101,0)))</f>
        <v>Anantapuram</v>
      </c>
      <c r="E372" s="7" t="str">
        <f>"+91-"&amp;RIGHT("0000000000"&amp;INDEX(Raw_Customers!$D$2:$D$101,MATCH($B372,Raw_Customers!$A$2:$A$101,0)),10)</f>
        <v>+91-3327374841</v>
      </c>
      <c r="F372" s="7" t="str">
        <f>Raw_Orders!C372</f>
        <v>23</v>
      </c>
      <c r="G372" s="7" t="str">
        <f>INDEX(Raw_Products!$B$2:$B$71,MATCH($F372,Raw_Products!$A$2:$A$71,0))</f>
        <v>Dignissimos Pack</v>
      </c>
      <c r="H372" s="7" t="str">
        <f>INDEX(Raw_Products!$C$2:$C$71,MATCH($F372,Raw_Products!$A$2:$A$71,0))</f>
        <v>Sweets</v>
      </c>
      <c r="I372" s="7">
        <f>VALUE(Raw_Orders!D372)</f>
        <v>4</v>
      </c>
      <c r="J372" s="11" t="str">
        <f>INDEX(Raw_Products!$D$2:$D$71,MATCH($F372,Raw_Products!$A$2:$A$71,0))</f>
        <v>1098</v>
      </c>
      <c r="K372" s="11">
        <f t="shared" si="10"/>
        <v>4392</v>
      </c>
      <c r="L372" s="12">
        <f>DATE(VALUE(RIGHT(Raw_Orders!E372,4)),VALUE(MID(Raw_Orders!E372,4,2)),VALUE(LEFT(Raw_Orders!E372,2)))</f>
        <v>45061</v>
      </c>
      <c r="M372" s="12">
        <f>DATE(VALUE(RIGHT(Raw_Orders!G372,4)),VALUE(MID(Raw_Orders!G372,4,2)),VALUE(LEFT(Raw_Orders!G372,2)))</f>
        <v>45065</v>
      </c>
      <c r="N372" s="7">
        <f t="shared" si="11"/>
        <v>4</v>
      </c>
      <c r="O372" s="7" t="str">
        <f>Raw_Orders!J372</f>
        <v>Anniversary</v>
      </c>
      <c r="P372" s="7" t="str">
        <f>Raw_Orders!I372</f>
        <v>Davanagere</v>
      </c>
    </row>
    <row r="373" spans="1:16">
      <c r="A373" s="7" t="str">
        <f>Raw_Orders!A373</f>
        <v>372</v>
      </c>
      <c r="B373" s="7" t="str">
        <f>Raw_Orders!B373</f>
        <v>C006</v>
      </c>
      <c r="C373" s="7" t="str">
        <f>INDEX(Raw_Customers!$B$2:$B$101,MATCH($B373,Raw_Customers!$A$2:$A$101,0))</f>
        <v>Rania Mann</v>
      </c>
      <c r="D373" s="7" t="str">
        <f>TRIM(INDEX(Raw_Customers!$C$2:$C$101,MATCH($B373,Raw_Customers!$A$2:$A$101,0)))</f>
        <v>Karimnagar</v>
      </c>
      <c r="E373" s="7" t="str">
        <f>"+91-"&amp;RIGHT("0000000000"&amp;INDEX(Raw_Customers!$D$2:$D$101,MATCH($B373,Raw_Customers!$A$2:$A$101,0)),10)</f>
        <v>+91-9363577179</v>
      </c>
      <c r="F373" s="7" t="str">
        <f>Raw_Orders!C373</f>
        <v>25</v>
      </c>
      <c r="G373" s="7" t="str">
        <f>INDEX(Raw_Products!$B$2:$B$71,MATCH($F373,Raw_Products!$A$2:$A$71,0))</f>
        <v>Qui Gift</v>
      </c>
      <c r="H373" s="7" t="str">
        <f>INDEX(Raw_Products!$C$2:$C$71,MATCH($F373,Raw_Products!$A$2:$A$71,0))</f>
        <v>Plants</v>
      </c>
      <c r="I373" s="7">
        <f>VALUE(Raw_Orders!D373)</f>
        <v>3</v>
      </c>
      <c r="J373" s="11" t="str">
        <f>INDEX(Raw_Products!$D$2:$D$71,MATCH($F373,Raw_Products!$A$2:$A$71,0))</f>
        <v>1202</v>
      </c>
      <c r="K373" s="11">
        <f t="shared" si="10"/>
        <v>3606</v>
      </c>
      <c r="L373" s="12">
        <f>DATE(VALUE(RIGHT(Raw_Orders!E373,4)),VALUE(MID(Raw_Orders!E373,4,2)),VALUE(LEFT(Raw_Orders!E373,2)))</f>
        <v>45238</v>
      </c>
      <c r="M373" s="12">
        <f>DATE(VALUE(RIGHT(Raw_Orders!G373,4)),VALUE(MID(Raw_Orders!G373,4,2)),VALUE(LEFT(Raw_Orders!G373,2)))</f>
        <v>45248</v>
      </c>
      <c r="N373" s="7">
        <f t="shared" si="11"/>
        <v>10</v>
      </c>
      <c r="O373" s="7" t="str">
        <f>Raw_Orders!J373</f>
        <v>Anniversary</v>
      </c>
      <c r="P373" s="7" t="str">
        <f>Raw_Orders!I373</f>
        <v>Kamarhati</v>
      </c>
    </row>
    <row r="374" spans="1:16">
      <c r="A374" s="7" t="str">
        <f>Raw_Orders!A374</f>
        <v>373</v>
      </c>
      <c r="B374" s="7" t="str">
        <f>Raw_Orders!B374</f>
        <v>C026</v>
      </c>
      <c r="C374" s="7" t="str">
        <f>INDEX(Raw_Customers!$B$2:$B$101,MATCH($B374,Raw_Customers!$A$2:$A$101,0))</f>
        <v>Ira Chahal</v>
      </c>
      <c r="D374" s="7" t="str">
        <f>TRIM(INDEX(Raw_Customers!$C$2:$C$101,MATCH($B374,Raw_Customers!$A$2:$A$101,0)))</f>
        <v>Farrukhabad</v>
      </c>
      <c r="E374" s="7" t="str">
        <f>"+91-"&amp;RIGHT("0000000000"&amp;INDEX(Raw_Customers!$D$2:$D$101,MATCH($B374,Raw_Customers!$A$2:$A$101,0)),10)</f>
        <v>+91-8716483532</v>
      </c>
      <c r="F374" s="7" t="str">
        <f>Raw_Orders!C374</f>
        <v>65</v>
      </c>
      <c r="G374" s="7" t="str">
        <f>INDEX(Raw_Products!$B$2:$B$71,MATCH($F374,Raw_Products!$A$2:$A$71,0))</f>
        <v>Error Gift</v>
      </c>
      <c r="H374" s="7" t="str">
        <f>INDEX(Raw_Products!$C$2:$C$71,MATCH($F374,Raw_Products!$A$2:$A$71,0))</f>
        <v>Raksha Bandhan</v>
      </c>
      <c r="I374" s="7">
        <f>VALUE(Raw_Orders!D374)</f>
        <v>2</v>
      </c>
      <c r="J374" s="11" t="str">
        <f>INDEX(Raw_Products!$D$2:$D$71,MATCH($F374,Raw_Products!$A$2:$A$71,0))</f>
        <v>1895</v>
      </c>
      <c r="K374" s="11">
        <f t="shared" si="10"/>
        <v>3790</v>
      </c>
      <c r="L374" s="12">
        <f>DATE(VALUE(RIGHT(Raw_Orders!E374,4)),VALUE(MID(Raw_Orders!E374,4,2)),VALUE(LEFT(Raw_Orders!E374,2)))</f>
        <v>45084</v>
      </c>
      <c r="M374" s="12">
        <f>DATE(VALUE(RIGHT(Raw_Orders!G374,4)),VALUE(MID(Raw_Orders!G374,4,2)),VALUE(LEFT(Raw_Orders!G374,2)))</f>
        <v>45087</v>
      </c>
      <c r="N374" s="7">
        <f t="shared" si="11"/>
        <v>3</v>
      </c>
      <c r="O374" s="7" t="str">
        <f>Raw_Orders!J374</f>
        <v>All Occasions</v>
      </c>
      <c r="P374" s="7" t="str">
        <f>Raw_Orders!I374</f>
        <v>North Dumdum</v>
      </c>
    </row>
    <row r="375" spans="1:16">
      <c r="A375" s="7" t="str">
        <f>Raw_Orders!A375</f>
        <v>374</v>
      </c>
      <c r="B375" s="7" t="str">
        <f>Raw_Orders!B375</f>
        <v>C087</v>
      </c>
      <c r="C375" s="7" t="str">
        <f>INDEX(Raw_Customers!$B$2:$B$101,MATCH($B375,Raw_Customers!$A$2:$A$101,0))</f>
        <v>Rania Bhatt</v>
      </c>
      <c r="D375" s="7" t="str">
        <f>TRIM(INDEX(Raw_Customers!$C$2:$C$101,MATCH($B375,Raw_Customers!$A$2:$A$101,0)))</f>
        <v>North Dumdum</v>
      </c>
      <c r="E375" s="7" t="str">
        <f>"+91-"&amp;RIGHT("0000000000"&amp;INDEX(Raw_Customers!$D$2:$D$101,MATCH($B375,Raw_Customers!$A$2:$A$101,0)),10)</f>
        <v>+91-2112404207</v>
      </c>
      <c r="F375" s="7" t="str">
        <f>Raw_Orders!C375</f>
        <v>4</v>
      </c>
      <c r="G375" s="7" t="str">
        <f>INDEX(Raw_Products!$B$2:$B$71,MATCH($F375,Raw_Products!$A$2:$A$71,0))</f>
        <v>Accusantium Set</v>
      </c>
      <c r="H375" s="7" t="str">
        <f>INDEX(Raw_Products!$C$2:$C$71,MATCH($F375,Raw_Products!$A$2:$A$71,0))</f>
        <v>Sweets</v>
      </c>
      <c r="I375" s="7">
        <f>VALUE(Raw_Orders!D375)</f>
        <v>1</v>
      </c>
      <c r="J375" s="11" t="str">
        <f>INDEX(Raw_Products!$D$2:$D$71,MATCH($F375,Raw_Products!$A$2:$A$71,0))</f>
        <v>1199</v>
      </c>
      <c r="K375" s="11">
        <f t="shared" si="10"/>
        <v>1199</v>
      </c>
      <c r="L375" s="12">
        <f>DATE(VALUE(RIGHT(Raw_Orders!E375,4)),VALUE(MID(Raw_Orders!E375,4,2)),VALUE(LEFT(Raw_Orders!E375,2)))</f>
        <v>45237</v>
      </c>
      <c r="M375" s="12">
        <f>DATE(VALUE(RIGHT(Raw_Orders!G375,4)),VALUE(MID(Raw_Orders!G375,4,2)),VALUE(LEFT(Raw_Orders!G375,2)))</f>
        <v>45239</v>
      </c>
      <c r="N375" s="7">
        <f t="shared" si="11"/>
        <v>2</v>
      </c>
      <c r="O375" s="7" t="str">
        <f>Raw_Orders!J375</f>
        <v>Diwali</v>
      </c>
      <c r="P375" s="7" t="str">
        <f>Raw_Orders!I375</f>
        <v>Guna</v>
      </c>
    </row>
    <row r="376" spans="1:16">
      <c r="A376" s="7" t="str">
        <f>Raw_Orders!A376</f>
        <v>375</v>
      </c>
      <c r="B376" s="7" t="str">
        <f>Raw_Orders!B376</f>
        <v>C091</v>
      </c>
      <c r="C376" s="7" t="str">
        <f>INDEX(Raw_Customers!$B$2:$B$101,MATCH($B376,Raw_Customers!$A$2:$A$101,0))</f>
        <v>Adira Rajan</v>
      </c>
      <c r="D376" s="7" t="str">
        <f>TRIM(INDEX(Raw_Customers!$C$2:$C$101,MATCH($B376,Raw_Customers!$A$2:$A$101,0)))</f>
        <v>New Delhi</v>
      </c>
      <c r="E376" s="7" t="str">
        <f>"+91-"&amp;RIGHT("0000000000"&amp;INDEX(Raw_Customers!$D$2:$D$101,MATCH($B376,Raw_Customers!$A$2:$A$101,0)),10)</f>
        <v>+91-5525478357</v>
      </c>
      <c r="F376" s="7" t="str">
        <f>Raw_Orders!C376</f>
        <v>46</v>
      </c>
      <c r="G376" s="7" t="str">
        <f>INDEX(Raw_Products!$B$2:$B$71,MATCH($F376,Raw_Products!$A$2:$A$71,0))</f>
        <v>Pariatur Set</v>
      </c>
      <c r="H376" s="7" t="str">
        <f>INDEX(Raw_Products!$C$2:$C$71,MATCH($F376,Raw_Products!$A$2:$A$71,0))</f>
        <v>Cake</v>
      </c>
      <c r="I376" s="7">
        <f>VALUE(Raw_Orders!D376)</f>
        <v>1</v>
      </c>
      <c r="J376" s="11" t="str">
        <f>INDEX(Raw_Products!$D$2:$D$71,MATCH($F376,Raw_Products!$A$2:$A$71,0))</f>
        <v>758</v>
      </c>
      <c r="K376" s="11">
        <f t="shared" si="10"/>
        <v>758</v>
      </c>
      <c r="L376" s="12">
        <f>DATE(VALUE(RIGHT(Raw_Orders!E376,4)),VALUE(MID(Raw_Orders!E376,4,2)),VALUE(LEFT(Raw_Orders!E376,2)))</f>
        <v>44968</v>
      </c>
      <c r="M376" s="12">
        <f>DATE(VALUE(RIGHT(Raw_Orders!G376,4)),VALUE(MID(Raw_Orders!G376,4,2)),VALUE(LEFT(Raw_Orders!G376,2)))</f>
        <v>44977</v>
      </c>
      <c r="N376" s="7">
        <f t="shared" si="11"/>
        <v>9</v>
      </c>
      <c r="O376" s="7" t="str">
        <f>Raw_Orders!J376</f>
        <v>Anniversary</v>
      </c>
      <c r="P376" s="7" t="str">
        <f>Raw_Orders!I376</f>
        <v>Mysore</v>
      </c>
    </row>
    <row r="377" spans="1:16">
      <c r="A377" s="7" t="str">
        <f>Raw_Orders!A377</f>
        <v>376</v>
      </c>
      <c r="B377" s="7" t="str">
        <f>Raw_Orders!B377</f>
        <v>C097</v>
      </c>
      <c r="C377" s="7" t="str">
        <f>INDEX(Raw_Customers!$B$2:$B$101,MATCH($B377,Raw_Customers!$A$2:$A$101,0))</f>
        <v>Nakul Randhawa</v>
      </c>
      <c r="D377" s="7" t="str">
        <f>TRIM(INDEX(Raw_Customers!$C$2:$C$101,MATCH($B377,Raw_Customers!$A$2:$A$101,0)))</f>
        <v>Sri Ganganagar</v>
      </c>
      <c r="E377" s="7" t="str">
        <f>"+91-"&amp;RIGHT("0000000000"&amp;INDEX(Raw_Customers!$D$2:$D$101,MATCH($B377,Raw_Customers!$A$2:$A$101,0)),10)</f>
        <v>+91-0456900126</v>
      </c>
      <c r="F377" s="7" t="str">
        <f>Raw_Orders!C377</f>
        <v>10</v>
      </c>
      <c r="G377" s="7" t="str">
        <f>INDEX(Raw_Products!$B$2:$B$71,MATCH($F377,Raw_Products!$A$2:$A$71,0))</f>
        <v>Accusantium Gift</v>
      </c>
      <c r="H377" s="7" t="str">
        <f>INDEX(Raw_Products!$C$2:$C$71,MATCH($F377,Raw_Products!$A$2:$A$71,0))</f>
        <v>Cake</v>
      </c>
      <c r="I377" s="7">
        <f>VALUE(Raw_Orders!D377)</f>
        <v>2</v>
      </c>
      <c r="J377" s="11" t="str">
        <f>INDEX(Raw_Products!$D$2:$D$71,MATCH($F377,Raw_Products!$A$2:$A$71,0))</f>
        <v>259</v>
      </c>
      <c r="K377" s="11">
        <f t="shared" si="10"/>
        <v>518</v>
      </c>
      <c r="L377" s="12">
        <f>DATE(VALUE(RIGHT(Raw_Orders!E377,4)),VALUE(MID(Raw_Orders!E377,4,2)),VALUE(LEFT(Raw_Orders!E377,2)))</f>
        <v>45060</v>
      </c>
      <c r="M377" s="12">
        <f>DATE(VALUE(RIGHT(Raw_Orders!G377,4)),VALUE(MID(Raw_Orders!G377,4,2)),VALUE(LEFT(Raw_Orders!G377,2)))</f>
        <v>45065</v>
      </c>
      <c r="N377" s="7">
        <f t="shared" si="11"/>
        <v>5</v>
      </c>
      <c r="O377" s="7" t="str">
        <f>Raw_Orders!J377</f>
        <v>Birthday</v>
      </c>
      <c r="P377" s="7" t="str">
        <f>Raw_Orders!I377</f>
        <v>Bulandshahr</v>
      </c>
    </row>
    <row r="378" spans="1:16">
      <c r="A378" s="7" t="str">
        <f>Raw_Orders!A378</f>
        <v>377</v>
      </c>
      <c r="B378" s="7" t="str">
        <f>Raw_Orders!B378</f>
        <v>C013</v>
      </c>
      <c r="C378" s="7" t="str">
        <f>INDEX(Raw_Customers!$B$2:$B$101,MATCH($B378,Raw_Customers!$A$2:$A$101,0))</f>
        <v>Manikya Goswami</v>
      </c>
      <c r="D378" s="7" t="str">
        <f>TRIM(INDEX(Raw_Customers!$C$2:$C$101,MATCH($B378,Raw_Customers!$A$2:$A$101,0)))</f>
        <v>Mangalore</v>
      </c>
      <c r="E378" s="7" t="str">
        <f>"+91-"&amp;RIGHT("0000000000"&amp;INDEX(Raw_Customers!$D$2:$D$101,MATCH($B378,Raw_Customers!$A$2:$A$101,0)),10)</f>
        <v>+91-2112817503</v>
      </c>
      <c r="F378" s="7" t="str">
        <f>Raw_Orders!C378</f>
        <v>55</v>
      </c>
      <c r="G378" s="7" t="str">
        <f>INDEX(Raw_Products!$B$2:$B$71,MATCH($F378,Raw_Products!$A$2:$A$71,0))</f>
        <v>Dolores Gift</v>
      </c>
      <c r="H378" s="7" t="str">
        <f>INDEX(Raw_Products!$C$2:$C$71,MATCH($F378,Raw_Products!$A$2:$A$71,0))</f>
        <v>Soft Toys</v>
      </c>
      <c r="I378" s="7">
        <f>VALUE(Raw_Orders!D378)</f>
        <v>4</v>
      </c>
      <c r="J378" s="11" t="str">
        <f>INDEX(Raw_Products!$D$2:$D$71,MATCH($F378,Raw_Products!$A$2:$A$71,0))</f>
        <v>1904</v>
      </c>
      <c r="K378" s="11">
        <f t="shared" si="10"/>
        <v>7616</v>
      </c>
      <c r="L378" s="12">
        <f>DATE(VALUE(RIGHT(Raw_Orders!E378,4)),VALUE(MID(Raw_Orders!E378,4,2)),VALUE(LEFT(Raw_Orders!E378,2)))</f>
        <v>45164</v>
      </c>
      <c r="M378" s="12">
        <f>DATE(VALUE(RIGHT(Raw_Orders!G378,4)),VALUE(MID(Raw_Orders!G378,4,2)),VALUE(LEFT(Raw_Orders!G378,2)))</f>
        <v>45169</v>
      </c>
      <c r="N378" s="7">
        <f t="shared" si="11"/>
        <v>5</v>
      </c>
      <c r="O378" s="7" t="str">
        <f>Raw_Orders!J378</f>
        <v>Raksha Bandhan</v>
      </c>
      <c r="P378" s="7" t="str">
        <f>Raw_Orders!I378</f>
        <v>Ghaziabad</v>
      </c>
    </row>
    <row r="379" spans="1:16">
      <c r="A379" s="7" t="str">
        <f>Raw_Orders!A379</f>
        <v>378</v>
      </c>
      <c r="B379" s="7" t="str">
        <f>Raw_Orders!B379</f>
        <v>C040</v>
      </c>
      <c r="C379" s="7" t="str">
        <f>INDEX(Raw_Customers!$B$2:$B$101,MATCH($B379,Raw_Customers!$A$2:$A$101,0))</f>
        <v>Hazel Mangat</v>
      </c>
      <c r="D379" s="7" t="str">
        <f>TRIM(INDEX(Raw_Customers!$C$2:$C$101,MATCH($B379,Raw_Customers!$A$2:$A$101,0)))</f>
        <v>Pallavaram</v>
      </c>
      <c r="E379" s="7" t="str">
        <f>"+91-"&amp;RIGHT("0000000000"&amp;INDEX(Raw_Customers!$D$2:$D$101,MATCH($B379,Raw_Customers!$A$2:$A$101,0)),10)</f>
        <v>+91-8810621361</v>
      </c>
      <c r="F379" s="7" t="str">
        <f>Raw_Orders!C379</f>
        <v>6</v>
      </c>
      <c r="G379" s="7" t="str">
        <f>INDEX(Raw_Products!$B$2:$B$71,MATCH($F379,Raw_Products!$A$2:$A$71,0))</f>
        <v>Quos Box</v>
      </c>
      <c r="H379" s="7" t="str">
        <f>INDEX(Raw_Products!$C$2:$C$71,MATCH($F379,Raw_Products!$A$2:$A$71,0))</f>
        <v>Cake</v>
      </c>
      <c r="I379" s="7">
        <f>VALUE(Raw_Orders!D379)</f>
        <v>2</v>
      </c>
      <c r="J379" s="11" t="str">
        <f>INDEX(Raw_Products!$D$2:$D$71,MATCH($F379,Raw_Products!$A$2:$A$71,0))</f>
        <v>1112</v>
      </c>
      <c r="K379" s="11">
        <f t="shared" si="10"/>
        <v>2224</v>
      </c>
      <c r="L379" s="12">
        <f>DATE(VALUE(RIGHT(Raw_Orders!E379,4)),VALUE(MID(Raw_Orders!E379,4,2)),VALUE(LEFT(Raw_Orders!E379,2)))</f>
        <v>44986</v>
      </c>
      <c r="M379" s="12">
        <f>DATE(VALUE(RIGHT(Raw_Orders!G379,4)),VALUE(MID(Raw_Orders!G379,4,2)),VALUE(LEFT(Raw_Orders!G379,2)))</f>
        <v>44993</v>
      </c>
      <c r="N379" s="7">
        <f t="shared" si="11"/>
        <v>7</v>
      </c>
      <c r="O379" s="7" t="str">
        <f>Raw_Orders!J379</f>
        <v>Holi</v>
      </c>
      <c r="P379" s="7" t="str">
        <f>Raw_Orders!I379</f>
        <v>Hindupur</v>
      </c>
    </row>
    <row r="380" spans="1:16">
      <c r="A380" s="7" t="str">
        <f>Raw_Orders!A380</f>
        <v>379</v>
      </c>
      <c r="B380" s="7" t="str">
        <f>Raw_Orders!B380</f>
        <v>C078</v>
      </c>
      <c r="C380" s="7" t="str">
        <f>INDEX(Raw_Customers!$B$2:$B$101,MATCH($B380,Raw_Customers!$A$2:$A$101,0))</f>
        <v>Jivika Rajan</v>
      </c>
      <c r="D380" s="7" t="str">
        <f>TRIM(INDEX(Raw_Customers!$C$2:$C$101,MATCH($B380,Raw_Customers!$A$2:$A$101,0)))</f>
        <v>Bhubaneswar</v>
      </c>
      <c r="E380" s="7" t="str">
        <f>"+91-"&amp;RIGHT("0000000000"&amp;INDEX(Raw_Customers!$D$2:$D$101,MATCH($B380,Raw_Customers!$A$2:$A$101,0)),10)</f>
        <v>+91-3005266310</v>
      </c>
      <c r="F380" s="7" t="str">
        <f>Raw_Orders!C380</f>
        <v>66</v>
      </c>
      <c r="G380" s="7" t="str">
        <f>INDEX(Raw_Products!$B$2:$B$71,MATCH($F380,Raw_Products!$A$2:$A$71,0))</f>
        <v>Quas Box</v>
      </c>
      <c r="H380" s="7" t="str">
        <f>INDEX(Raw_Products!$C$2:$C$71,MATCH($F380,Raw_Products!$A$2:$A$71,0))</f>
        <v>Colors</v>
      </c>
      <c r="I380" s="7">
        <f>VALUE(Raw_Orders!D380)</f>
        <v>1</v>
      </c>
      <c r="J380" s="11" t="str">
        <f>INDEX(Raw_Products!$D$2:$D$71,MATCH($F380,Raw_Products!$A$2:$A$71,0))</f>
        <v>610</v>
      </c>
      <c r="K380" s="11">
        <f t="shared" si="10"/>
        <v>610</v>
      </c>
      <c r="L380" s="12">
        <f>DATE(VALUE(RIGHT(Raw_Orders!E380,4)),VALUE(MID(Raw_Orders!E380,4,2)),VALUE(LEFT(Raw_Orders!E380,2)))</f>
        <v>44988</v>
      </c>
      <c r="M380" s="12">
        <f>DATE(VALUE(RIGHT(Raw_Orders!G380,4)),VALUE(MID(Raw_Orders!G380,4,2)),VALUE(LEFT(Raw_Orders!G380,2)))</f>
        <v>44991</v>
      </c>
      <c r="N380" s="7">
        <f t="shared" si="11"/>
        <v>3</v>
      </c>
      <c r="O380" s="7" t="str">
        <f>Raw_Orders!J380</f>
        <v>Holi</v>
      </c>
      <c r="P380" s="7" t="str">
        <f>Raw_Orders!I380</f>
        <v>Bhavnagar</v>
      </c>
    </row>
    <row r="381" spans="1:16">
      <c r="A381" s="7" t="str">
        <f>Raw_Orders!A381</f>
        <v>380</v>
      </c>
      <c r="B381" s="7" t="str">
        <f>Raw_Orders!B381</f>
        <v>C009</v>
      </c>
      <c r="C381" s="7" t="str">
        <f>INDEX(Raw_Customers!$B$2:$B$101,MATCH($B381,Raw_Customers!$A$2:$A$101,0))</f>
        <v>Ritvik Borah</v>
      </c>
      <c r="D381" s="7" t="str">
        <f>TRIM(INDEX(Raw_Customers!$C$2:$C$101,MATCH($B381,Raw_Customers!$A$2:$A$101,0)))</f>
        <v>Madurai</v>
      </c>
      <c r="E381" s="7" t="str">
        <f>"+91-"&amp;RIGHT("0000000000"&amp;INDEX(Raw_Customers!$D$2:$D$101,MATCH($B381,Raw_Customers!$A$2:$A$101,0)),10)</f>
        <v>+91-1336765676</v>
      </c>
      <c r="F381" s="7" t="str">
        <f>Raw_Orders!C381</f>
        <v>60</v>
      </c>
      <c r="G381" s="7" t="str">
        <f>INDEX(Raw_Products!$B$2:$B$71,MATCH($F381,Raw_Products!$A$2:$A$71,0))</f>
        <v>Ea Set</v>
      </c>
      <c r="H381" s="7" t="str">
        <f>INDEX(Raw_Products!$C$2:$C$71,MATCH($F381,Raw_Products!$A$2:$A$71,0))</f>
        <v>Sweets</v>
      </c>
      <c r="I381" s="7">
        <f>VALUE(Raw_Orders!D381)</f>
        <v>4</v>
      </c>
      <c r="J381" s="11" t="str">
        <f>INDEX(Raw_Products!$D$2:$D$71,MATCH($F381,Raw_Products!$A$2:$A$71,0))</f>
        <v>827</v>
      </c>
      <c r="K381" s="11">
        <f t="shared" si="10"/>
        <v>3308</v>
      </c>
      <c r="L381" s="12">
        <f>DATE(VALUE(RIGHT(Raw_Orders!E381,4)),VALUE(MID(Raw_Orders!E381,4,2)),VALUE(LEFT(Raw_Orders!E381,2)))</f>
        <v>45238</v>
      </c>
      <c r="M381" s="12">
        <f>DATE(VALUE(RIGHT(Raw_Orders!G381,4)),VALUE(MID(Raw_Orders!G381,4,2)),VALUE(LEFT(Raw_Orders!G381,2)))</f>
        <v>45245</v>
      </c>
      <c r="N381" s="7">
        <f t="shared" si="11"/>
        <v>7</v>
      </c>
      <c r="O381" s="7" t="str">
        <f>Raw_Orders!J381</f>
        <v>Diwali</v>
      </c>
      <c r="P381" s="7" t="str">
        <f>Raw_Orders!I381</f>
        <v>Bidhannagar</v>
      </c>
    </row>
    <row r="382" spans="1:16">
      <c r="A382" s="7" t="str">
        <f>Raw_Orders!A382</f>
        <v>381</v>
      </c>
      <c r="B382" s="7" t="str">
        <f>Raw_Orders!B382</f>
        <v>C013</v>
      </c>
      <c r="C382" s="7" t="str">
        <f>INDEX(Raw_Customers!$B$2:$B$101,MATCH($B382,Raw_Customers!$A$2:$A$101,0))</f>
        <v>Manikya Goswami</v>
      </c>
      <c r="D382" s="7" t="str">
        <f>TRIM(INDEX(Raw_Customers!$C$2:$C$101,MATCH($B382,Raw_Customers!$A$2:$A$101,0)))</f>
        <v>Mangalore</v>
      </c>
      <c r="E382" s="7" t="str">
        <f>"+91-"&amp;RIGHT("0000000000"&amp;INDEX(Raw_Customers!$D$2:$D$101,MATCH($B382,Raw_Customers!$A$2:$A$101,0)),10)</f>
        <v>+91-2112817503</v>
      </c>
      <c r="F382" s="7" t="str">
        <f>Raw_Orders!C382</f>
        <v>25</v>
      </c>
      <c r="G382" s="7" t="str">
        <f>INDEX(Raw_Products!$B$2:$B$71,MATCH($F382,Raw_Products!$A$2:$A$71,0))</f>
        <v>Qui Gift</v>
      </c>
      <c r="H382" s="7" t="str">
        <f>INDEX(Raw_Products!$C$2:$C$71,MATCH($F382,Raw_Products!$A$2:$A$71,0))</f>
        <v>Plants</v>
      </c>
      <c r="I382" s="7">
        <f>VALUE(Raw_Orders!D382)</f>
        <v>3</v>
      </c>
      <c r="J382" s="11" t="str">
        <f>INDEX(Raw_Products!$D$2:$D$71,MATCH($F382,Raw_Products!$A$2:$A$71,0))</f>
        <v>1202</v>
      </c>
      <c r="K382" s="11">
        <f t="shared" si="10"/>
        <v>3606</v>
      </c>
      <c r="L382" s="12">
        <f>DATE(VALUE(RIGHT(Raw_Orders!E382,4)),VALUE(MID(Raw_Orders!E382,4,2)),VALUE(LEFT(Raw_Orders!E382,2)))</f>
        <v>44951</v>
      </c>
      <c r="M382" s="12">
        <f>DATE(VALUE(RIGHT(Raw_Orders!G382,4)),VALUE(MID(Raw_Orders!G382,4,2)),VALUE(LEFT(Raw_Orders!G382,2)))</f>
        <v>44954</v>
      </c>
      <c r="N382" s="7">
        <f t="shared" si="11"/>
        <v>3</v>
      </c>
      <c r="O382" s="7" t="str">
        <f>Raw_Orders!J382</f>
        <v>Anniversary</v>
      </c>
      <c r="P382" s="7" t="str">
        <f>Raw_Orders!I382</f>
        <v>Tiruchirappalli</v>
      </c>
    </row>
    <row r="383" spans="1:16">
      <c r="A383" s="7" t="str">
        <f>Raw_Orders!A383</f>
        <v>382</v>
      </c>
      <c r="B383" s="7" t="str">
        <f>Raw_Orders!B383</f>
        <v>C003</v>
      </c>
      <c r="C383" s="7" t="str">
        <f>INDEX(Raw_Customers!$B$2:$B$101,MATCH($B383,Raw_Customers!$A$2:$A$101,0))</f>
        <v>Jayesh Lanka</v>
      </c>
      <c r="D383" s="7" t="str">
        <f>TRIM(INDEX(Raw_Customers!$C$2:$C$101,MATCH($B383,Raw_Customers!$A$2:$A$101,0)))</f>
        <v>Bilaspur</v>
      </c>
      <c r="E383" s="7" t="str">
        <f>"+91-"&amp;RIGHT("0000000000"&amp;INDEX(Raw_Customers!$D$2:$D$101,MATCH($B383,Raw_Customers!$A$2:$A$101,0)),10)</f>
        <v>+91-7400208126</v>
      </c>
      <c r="F383" s="7" t="str">
        <f>Raw_Orders!C383</f>
        <v>24</v>
      </c>
      <c r="G383" s="7" t="str">
        <f>INDEX(Raw_Products!$B$2:$B$71,MATCH($F383,Raw_Products!$A$2:$A$71,0))</f>
        <v>Ad Box</v>
      </c>
      <c r="H383" s="7" t="str">
        <f>INDEX(Raw_Products!$C$2:$C$71,MATCH($F383,Raw_Products!$A$2:$A$71,0))</f>
        <v>Mugs</v>
      </c>
      <c r="I383" s="7">
        <f>VALUE(Raw_Orders!D383)</f>
        <v>1</v>
      </c>
      <c r="J383" s="11" t="str">
        <f>INDEX(Raw_Products!$D$2:$D$71,MATCH($F383,Raw_Products!$A$2:$A$71,0))</f>
        <v>535</v>
      </c>
      <c r="K383" s="11">
        <f t="shared" si="10"/>
        <v>535</v>
      </c>
      <c r="L383" s="12">
        <f>DATE(VALUE(RIGHT(Raw_Orders!E383,4)),VALUE(MID(Raw_Orders!E383,4,2)),VALUE(LEFT(Raw_Orders!E383,2)))</f>
        <v>45080</v>
      </c>
      <c r="M383" s="12">
        <f>DATE(VALUE(RIGHT(Raw_Orders!G383,4)),VALUE(MID(Raw_Orders!G383,4,2)),VALUE(LEFT(Raw_Orders!G383,2)))</f>
        <v>45090</v>
      </c>
      <c r="N383" s="7">
        <f t="shared" si="11"/>
        <v>10</v>
      </c>
      <c r="O383" s="7" t="str">
        <f>Raw_Orders!J383</f>
        <v>Birthday</v>
      </c>
      <c r="P383" s="7" t="str">
        <f>Raw_Orders!I383</f>
        <v>Kamarhati</v>
      </c>
    </row>
    <row r="384" spans="1:16">
      <c r="A384" s="7" t="str">
        <f>Raw_Orders!A384</f>
        <v>383</v>
      </c>
      <c r="B384" s="7" t="str">
        <f>Raw_Orders!B384</f>
        <v>C016</v>
      </c>
      <c r="C384" s="7" t="str">
        <f>INDEX(Raw_Customers!$B$2:$B$101,MATCH($B384,Raw_Customers!$A$2:$A$101,0))</f>
        <v>Amani Ganesh</v>
      </c>
      <c r="D384" s="7" t="str">
        <f>TRIM(INDEX(Raw_Customers!$C$2:$C$101,MATCH($B384,Raw_Customers!$A$2:$A$101,0)))</f>
        <v>Tenali</v>
      </c>
      <c r="E384" s="7" t="str">
        <f>"+91-"&amp;RIGHT("0000000000"&amp;INDEX(Raw_Customers!$D$2:$D$101,MATCH($B384,Raw_Customers!$A$2:$A$101,0)),10)</f>
        <v>+91-8482992702</v>
      </c>
      <c r="F384" s="7" t="str">
        <f>Raw_Orders!C384</f>
        <v>37</v>
      </c>
      <c r="G384" s="7" t="str">
        <f>INDEX(Raw_Products!$B$2:$B$71,MATCH($F384,Raw_Products!$A$2:$A$71,0))</f>
        <v>Officiis Pack</v>
      </c>
      <c r="H384" s="7" t="str">
        <f>INDEX(Raw_Products!$C$2:$C$71,MATCH($F384,Raw_Products!$A$2:$A$71,0))</f>
        <v>Colors</v>
      </c>
      <c r="I384" s="7">
        <f>VALUE(Raw_Orders!D384)</f>
        <v>1</v>
      </c>
      <c r="J384" s="11" t="str">
        <f>INDEX(Raw_Products!$D$2:$D$71,MATCH($F384,Raw_Products!$A$2:$A$71,0))</f>
        <v>1428</v>
      </c>
      <c r="K384" s="11">
        <f t="shared" si="10"/>
        <v>1428</v>
      </c>
      <c r="L384" s="12">
        <f>DATE(VALUE(RIGHT(Raw_Orders!E384,4)),VALUE(MID(Raw_Orders!E384,4,2)),VALUE(LEFT(Raw_Orders!E384,2)))</f>
        <v>45236</v>
      </c>
      <c r="M384" s="12">
        <f>DATE(VALUE(RIGHT(Raw_Orders!G384,4)),VALUE(MID(Raw_Orders!G384,4,2)),VALUE(LEFT(Raw_Orders!G384,2)))</f>
        <v>45238</v>
      </c>
      <c r="N384" s="7">
        <f t="shared" si="11"/>
        <v>2</v>
      </c>
      <c r="O384" s="7" t="str">
        <f>Raw_Orders!J384</f>
        <v>Diwali</v>
      </c>
      <c r="P384" s="7" t="str">
        <f>Raw_Orders!I384</f>
        <v>Panchkula</v>
      </c>
    </row>
    <row r="385" spans="1:16">
      <c r="A385" s="7" t="str">
        <f>Raw_Orders!A385</f>
        <v>384</v>
      </c>
      <c r="B385" s="7" t="str">
        <f>Raw_Orders!B385</f>
        <v>C004</v>
      </c>
      <c r="C385" s="7" t="str">
        <f>INDEX(Raw_Customers!$B$2:$B$101,MATCH($B385,Raw_Customers!$A$2:$A$101,0))</f>
        <v>Tarini Bava</v>
      </c>
      <c r="D385" s="7" t="str">
        <f>TRIM(INDEX(Raw_Customers!$C$2:$C$101,MATCH($B385,Raw_Customers!$A$2:$A$101,0)))</f>
        <v>Miryalaguda</v>
      </c>
      <c r="E385" s="7" t="str">
        <f>"+91-"&amp;RIGHT("0000000000"&amp;INDEX(Raw_Customers!$D$2:$D$101,MATCH($B385,Raw_Customers!$A$2:$A$101,0)),10)</f>
        <v>+91-7232349928</v>
      </c>
      <c r="F385" s="7" t="str">
        <f>Raw_Orders!C385</f>
        <v>25</v>
      </c>
      <c r="G385" s="7" t="str">
        <f>INDEX(Raw_Products!$B$2:$B$71,MATCH($F385,Raw_Products!$A$2:$A$71,0))</f>
        <v>Qui Gift</v>
      </c>
      <c r="H385" s="7" t="str">
        <f>INDEX(Raw_Products!$C$2:$C$71,MATCH($F385,Raw_Products!$A$2:$A$71,0))</f>
        <v>Plants</v>
      </c>
      <c r="I385" s="7">
        <f>VALUE(Raw_Orders!D385)</f>
        <v>3</v>
      </c>
      <c r="J385" s="11" t="str">
        <f>INDEX(Raw_Products!$D$2:$D$71,MATCH($F385,Raw_Products!$A$2:$A$71,0))</f>
        <v>1202</v>
      </c>
      <c r="K385" s="11">
        <f t="shared" si="10"/>
        <v>3606</v>
      </c>
      <c r="L385" s="12">
        <f>DATE(VALUE(RIGHT(Raw_Orders!E385,4)),VALUE(MID(Raw_Orders!E385,4,2)),VALUE(LEFT(Raw_Orders!E385,2)))</f>
        <v>45057</v>
      </c>
      <c r="M385" s="12">
        <f>DATE(VALUE(RIGHT(Raw_Orders!G385,4)),VALUE(MID(Raw_Orders!G385,4,2)),VALUE(LEFT(Raw_Orders!G385,2)))</f>
        <v>45061</v>
      </c>
      <c r="N385" s="7">
        <f t="shared" si="11"/>
        <v>4</v>
      </c>
      <c r="O385" s="7" t="str">
        <f>Raw_Orders!J385</f>
        <v>Anniversary</v>
      </c>
      <c r="P385" s="7" t="str">
        <f>Raw_Orders!I385</f>
        <v>Bhilai</v>
      </c>
    </row>
    <row r="386" spans="1:16">
      <c r="A386" s="7" t="str">
        <f>Raw_Orders!A386</f>
        <v>385</v>
      </c>
      <c r="B386" s="7" t="str">
        <f>Raw_Orders!B386</f>
        <v>C002</v>
      </c>
      <c r="C386" s="7" t="str">
        <f>INDEX(Raw_Customers!$B$2:$B$101,MATCH($B386,Raw_Customers!$A$2:$A$101,0))</f>
        <v>Myra Edwin</v>
      </c>
      <c r="D386" s="7" t="str">
        <f>TRIM(INDEX(Raw_Customers!$C$2:$C$101,MATCH($B386,Raw_Customers!$A$2:$A$101,0)))</f>
        <v>Bulandshahr</v>
      </c>
      <c r="E386" s="7" t="str">
        <f>"+91-"&amp;RIGHT("0000000000"&amp;INDEX(Raw_Customers!$D$2:$D$101,MATCH($B386,Raw_Customers!$A$2:$A$101,0)),10)</f>
        <v>+91-8915420519</v>
      </c>
      <c r="F386" s="7" t="str">
        <f>Raw_Orders!C386</f>
        <v>50</v>
      </c>
      <c r="G386" s="7" t="str">
        <f>INDEX(Raw_Products!$B$2:$B$71,MATCH($F386,Raw_Products!$A$2:$A$71,0))</f>
        <v>Eligendi Set</v>
      </c>
      <c r="H386" s="7" t="str">
        <f>INDEX(Raw_Products!$C$2:$C$71,MATCH($F386,Raw_Products!$A$2:$A$71,0))</f>
        <v>Plants</v>
      </c>
      <c r="I386" s="7">
        <f>VALUE(Raw_Orders!D386)</f>
        <v>4</v>
      </c>
      <c r="J386" s="11" t="str">
        <f>INDEX(Raw_Products!$D$2:$D$71,MATCH($F386,Raw_Products!$A$2:$A$71,0))</f>
        <v>422</v>
      </c>
      <c r="K386" s="11">
        <f t="shared" ref="K386:K449" si="12">I386*J386</f>
        <v>1688</v>
      </c>
      <c r="L386" s="12">
        <f>DATE(VALUE(RIGHT(Raw_Orders!E386,4)),VALUE(MID(Raw_Orders!E386,4,2)),VALUE(LEFT(Raw_Orders!E386,2)))</f>
        <v>44988</v>
      </c>
      <c r="M386" s="12">
        <f>DATE(VALUE(RIGHT(Raw_Orders!G386,4)),VALUE(MID(Raw_Orders!G386,4,2)),VALUE(LEFT(Raw_Orders!G386,2)))</f>
        <v>44993</v>
      </c>
      <c r="N386" s="7">
        <f t="shared" ref="N386:N449" si="13">M386-L386</f>
        <v>5</v>
      </c>
      <c r="O386" s="7" t="str">
        <f>Raw_Orders!J386</f>
        <v>Holi</v>
      </c>
      <c r="P386" s="7" t="str">
        <f>Raw_Orders!I386</f>
        <v>Alwar</v>
      </c>
    </row>
    <row r="387" spans="1:16">
      <c r="A387" s="7" t="str">
        <f>Raw_Orders!A387</f>
        <v>386</v>
      </c>
      <c r="B387" s="7" t="str">
        <f>Raw_Orders!B387</f>
        <v>C091</v>
      </c>
      <c r="C387" s="7" t="str">
        <f>INDEX(Raw_Customers!$B$2:$B$101,MATCH($B387,Raw_Customers!$A$2:$A$101,0))</f>
        <v>Adira Rajan</v>
      </c>
      <c r="D387" s="7" t="str">
        <f>TRIM(INDEX(Raw_Customers!$C$2:$C$101,MATCH($B387,Raw_Customers!$A$2:$A$101,0)))</f>
        <v>New Delhi</v>
      </c>
      <c r="E387" s="7" t="str">
        <f>"+91-"&amp;RIGHT("0000000000"&amp;INDEX(Raw_Customers!$D$2:$D$101,MATCH($B387,Raw_Customers!$A$2:$A$101,0)),10)</f>
        <v>+91-5525478357</v>
      </c>
      <c r="F387" s="7" t="str">
        <f>Raw_Orders!C387</f>
        <v>5</v>
      </c>
      <c r="G387" s="7" t="str">
        <f>INDEX(Raw_Products!$B$2:$B$71,MATCH($F387,Raw_Products!$A$2:$A$71,0))</f>
        <v>Natus Gift</v>
      </c>
      <c r="H387" s="7" t="str">
        <f>INDEX(Raw_Products!$C$2:$C$71,MATCH($F387,Raw_Products!$A$2:$A$71,0))</f>
        <v>Colors</v>
      </c>
      <c r="I387" s="7">
        <f>VALUE(Raw_Orders!D387)</f>
        <v>4</v>
      </c>
      <c r="J387" s="11" t="str">
        <f>INDEX(Raw_Products!$D$2:$D$71,MATCH($F387,Raw_Products!$A$2:$A$71,0))</f>
        <v>1444</v>
      </c>
      <c r="K387" s="11">
        <f t="shared" si="12"/>
        <v>5776</v>
      </c>
      <c r="L387" s="12">
        <f>DATE(VALUE(RIGHT(Raw_Orders!E387,4)),VALUE(MID(Raw_Orders!E387,4,2)),VALUE(LEFT(Raw_Orders!E387,2)))</f>
        <v>45081</v>
      </c>
      <c r="M387" s="12">
        <f>DATE(VALUE(RIGHT(Raw_Orders!G387,4)),VALUE(MID(Raw_Orders!G387,4,2)),VALUE(LEFT(Raw_Orders!G387,2)))</f>
        <v>45091</v>
      </c>
      <c r="N387" s="7">
        <f t="shared" si="13"/>
        <v>10</v>
      </c>
      <c r="O387" s="7" t="str">
        <f>Raw_Orders!J387</f>
        <v>All Occasions</v>
      </c>
      <c r="P387" s="7" t="str">
        <f>Raw_Orders!I387</f>
        <v>Jalandhar</v>
      </c>
    </row>
    <row r="388" spans="1:16">
      <c r="A388" s="7" t="str">
        <f>Raw_Orders!A388</f>
        <v>387</v>
      </c>
      <c r="B388" s="7" t="str">
        <f>Raw_Orders!B388</f>
        <v>C061</v>
      </c>
      <c r="C388" s="7" t="str">
        <f>INDEX(Raw_Customers!$B$2:$B$101,MATCH($B388,Raw_Customers!$A$2:$A$101,0))</f>
        <v>Akarsh Ramesh</v>
      </c>
      <c r="D388" s="7" t="str">
        <f>TRIM(INDEX(Raw_Customers!$C$2:$C$101,MATCH($B388,Raw_Customers!$A$2:$A$101,0)))</f>
        <v>Kavali</v>
      </c>
      <c r="E388" s="7" t="str">
        <f>"+91-"&amp;RIGHT("0000000000"&amp;INDEX(Raw_Customers!$D$2:$D$101,MATCH($B388,Raw_Customers!$A$2:$A$101,0)),10)</f>
        <v>+91-4318554567</v>
      </c>
      <c r="F388" s="7" t="str">
        <f>Raw_Orders!C388</f>
        <v>1</v>
      </c>
      <c r="G388" s="7" t="str">
        <f>INDEX(Raw_Products!$B$2:$B$71,MATCH($F388,Raw_Products!$A$2:$A$71,0))</f>
        <v>Magnam Set</v>
      </c>
      <c r="H388" s="7" t="str">
        <f>INDEX(Raw_Products!$C$2:$C$71,MATCH($F388,Raw_Products!$A$2:$A$71,0))</f>
        <v>Soft Toys</v>
      </c>
      <c r="I388" s="7">
        <f>VALUE(Raw_Orders!D388)</f>
        <v>2</v>
      </c>
      <c r="J388" s="11" t="str">
        <f>INDEX(Raw_Products!$D$2:$D$71,MATCH($F388,Raw_Products!$A$2:$A$71,0))</f>
        <v>1935</v>
      </c>
      <c r="K388" s="11">
        <f t="shared" si="12"/>
        <v>3870</v>
      </c>
      <c r="L388" s="12">
        <f>DATE(VALUE(RIGHT(Raw_Orders!E388,4)),VALUE(MID(Raw_Orders!E388,4,2)),VALUE(LEFT(Raw_Orders!E388,2)))</f>
        <v>45046</v>
      </c>
      <c r="M388" s="12">
        <f>DATE(VALUE(RIGHT(Raw_Orders!G388,4)),VALUE(MID(Raw_Orders!G388,4,2)),VALUE(LEFT(Raw_Orders!G388,2)))</f>
        <v>45055</v>
      </c>
      <c r="N388" s="7">
        <f t="shared" si="13"/>
        <v>9</v>
      </c>
      <c r="O388" s="7" t="str">
        <f>Raw_Orders!J388</f>
        <v>All Occasions</v>
      </c>
      <c r="P388" s="7" t="str">
        <f>Raw_Orders!I388</f>
        <v>Ahmedabad</v>
      </c>
    </row>
    <row r="389" spans="1:16">
      <c r="A389" s="7" t="str">
        <f>Raw_Orders!A389</f>
        <v>388</v>
      </c>
      <c r="B389" s="7" t="str">
        <f>Raw_Orders!B389</f>
        <v>C066</v>
      </c>
      <c r="C389" s="7" t="str">
        <f>INDEX(Raw_Customers!$B$2:$B$101,MATCH($B389,Raw_Customers!$A$2:$A$101,0))</f>
        <v>Eshani Buch</v>
      </c>
      <c r="D389" s="7" t="str">
        <f>TRIM(INDEX(Raw_Customers!$C$2:$C$101,MATCH($B389,Raw_Customers!$A$2:$A$101,0)))</f>
        <v>Malegaon</v>
      </c>
      <c r="E389" s="7" t="str">
        <f>"+91-"&amp;RIGHT("0000000000"&amp;INDEX(Raw_Customers!$D$2:$D$101,MATCH($B389,Raw_Customers!$A$2:$A$101,0)),10)</f>
        <v>+91-7436178055</v>
      </c>
      <c r="F389" s="7" t="str">
        <f>Raw_Orders!C389</f>
        <v>36</v>
      </c>
      <c r="G389" s="7" t="str">
        <f>INDEX(Raw_Products!$B$2:$B$71,MATCH($F389,Raw_Products!$A$2:$A$71,0))</f>
        <v>Cum Gift</v>
      </c>
      <c r="H389" s="7" t="str">
        <f>INDEX(Raw_Products!$C$2:$C$71,MATCH($F389,Raw_Products!$A$2:$A$71,0))</f>
        <v>Plants</v>
      </c>
      <c r="I389" s="7">
        <f>VALUE(Raw_Orders!D389)</f>
        <v>2</v>
      </c>
      <c r="J389" s="11" t="str">
        <f>INDEX(Raw_Products!$D$2:$D$71,MATCH($F389,Raw_Products!$A$2:$A$71,0))</f>
        <v>203</v>
      </c>
      <c r="K389" s="11">
        <f t="shared" si="12"/>
        <v>406</v>
      </c>
      <c r="L389" s="12">
        <f>DATE(VALUE(RIGHT(Raw_Orders!E389,4)),VALUE(MID(Raw_Orders!E389,4,2)),VALUE(LEFT(Raw_Orders!E389,2)))</f>
        <v>45240</v>
      </c>
      <c r="M389" s="12">
        <f>DATE(VALUE(RIGHT(Raw_Orders!G389,4)),VALUE(MID(Raw_Orders!G389,4,2)),VALUE(LEFT(Raw_Orders!G389,2)))</f>
        <v>45248</v>
      </c>
      <c r="N389" s="7">
        <f t="shared" si="13"/>
        <v>8</v>
      </c>
      <c r="O389" s="7" t="str">
        <f>Raw_Orders!J389</f>
        <v>Birthday</v>
      </c>
      <c r="P389" s="7" t="str">
        <f>Raw_Orders!I389</f>
        <v>Jalna</v>
      </c>
    </row>
    <row r="390" spans="1:16">
      <c r="A390" s="7" t="str">
        <f>Raw_Orders!A390</f>
        <v>389</v>
      </c>
      <c r="B390" s="7" t="str">
        <f>Raw_Orders!B390</f>
        <v>C061</v>
      </c>
      <c r="C390" s="7" t="str">
        <f>INDEX(Raw_Customers!$B$2:$B$101,MATCH($B390,Raw_Customers!$A$2:$A$101,0))</f>
        <v>Akarsh Ramesh</v>
      </c>
      <c r="D390" s="7" t="str">
        <f>TRIM(INDEX(Raw_Customers!$C$2:$C$101,MATCH($B390,Raw_Customers!$A$2:$A$101,0)))</f>
        <v>Kavali</v>
      </c>
      <c r="E390" s="7" t="str">
        <f>"+91-"&amp;RIGHT("0000000000"&amp;INDEX(Raw_Customers!$D$2:$D$101,MATCH($B390,Raw_Customers!$A$2:$A$101,0)),10)</f>
        <v>+91-4318554567</v>
      </c>
      <c r="F390" s="7" t="str">
        <f>Raw_Orders!C390</f>
        <v>29</v>
      </c>
      <c r="G390" s="7" t="str">
        <f>INDEX(Raw_Products!$B$2:$B$71,MATCH($F390,Raw_Products!$A$2:$A$71,0))</f>
        <v>In Set</v>
      </c>
      <c r="H390" s="7" t="str">
        <f>INDEX(Raw_Products!$C$2:$C$71,MATCH($F390,Raw_Products!$A$2:$A$71,0))</f>
        <v>Colors</v>
      </c>
      <c r="I390" s="7">
        <f>VALUE(Raw_Orders!D390)</f>
        <v>2</v>
      </c>
      <c r="J390" s="11" t="str">
        <f>INDEX(Raw_Products!$D$2:$D$71,MATCH($F390,Raw_Products!$A$2:$A$71,0))</f>
        <v>1252</v>
      </c>
      <c r="K390" s="11">
        <f t="shared" si="12"/>
        <v>2504</v>
      </c>
      <c r="L390" s="12">
        <f>DATE(VALUE(RIGHT(Raw_Orders!E390,4)),VALUE(MID(Raw_Orders!E390,4,2)),VALUE(LEFT(Raw_Orders!E390,2)))</f>
        <v>44991</v>
      </c>
      <c r="M390" s="12">
        <f>DATE(VALUE(RIGHT(Raw_Orders!G390,4)),VALUE(MID(Raw_Orders!G390,4,2)),VALUE(LEFT(Raw_Orders!G390,2)))</f>
        <v>45001</v>
      </c>
      <c r="N390" s="7">
        <f t="shared" si="13"/>
        <v>10</v>
      </c>
      <c r="O390" s="7" t="str">
        <f>Raw_Orders!J390</f>
        <v>Holi</v>
      </c>
      <c r="P390" s="7" t="str">
        <f>Raw_Orders!I390</f>
        <v>Mahbubnagar</v>
      </c>
    </row>
    <row r="391" spans="1:16">
      <c r="A391" s="7" t="str">
        <f>Raw_Orders!A391</f>
        <v>390</v>
      </c>
      <c r="B391" s="7" t="str">
        <f>Raw_Orders!B391</f>
        <v>C043</v>
      </c>
      <c r="C391" s="7" t="str">
        <f>INDEX(Raw_Customers!$B$2:$B$101,MATCH($B391,Raw_Customers!$A$2:$A$101,0))</f>
        <v>Yasmin Sheth</v>
      </c>
      <c r="D391" s="7" t="str">
        <f>TRIM(INDEX(Raw_Customers!$C$2:$C$101,MATCH($B391,Raw_Customers!$A$2:$A$101,0)))</f>
        <v>Vellore</v>
      </c>
      <c r="E391" s="7" t="str">
        <f>"+91-"&amp;RIGHT("0000000000"&amp;INDEX(Raw_Customers!$D$2:$D$101,MATCH($B391,Raw_Customers!$A$2:$A$101,0)),10)</f>
        <v>+91-2544865070</v>
      </c>
      <c r="F391" s="7" t="str">
        <f>Raw_Orders!C391</f>
        <v>26</v>
      </c>
      <c r="G391" s="7" t="str">
        <f>INDEX(Raw_Products!$B$2:$B$71,MATCH($F391,Raw_Products!$A$2:$A$71,0))</f>
        <v>Aliquam Box</v>
      </c>
      <c r="H391" s="7" t="str">
        <f>INDEX(Raw_Products!$C$2:$C$71,MATCH($F391,Raw_Products!$A$2:$A$71,0))</f>
        <v>Colors</v>
      </c>
      <c r="I391" s="7">
        <f>VALUE(Raw_Orders!D391)</f>
        <v>4</v>
      </c>
      <c r="J391" s="11" t="str">
        <f>INDEX(Raw_Products!$D$2:$D$71,MATCH($F391,Raw_Products!$A$2:$A$71,0))</f>
        <v>289</v>
      </c>
      <c r="K391" s="11">
        <f t="shared" si="12"/>
        <v>1156</v>
      </c>
      <c r="L391" s="12">
        <f>DATE(VALUE(RIGHT(Raw_Orders!E391,4)),VALUE(MID(Raw_Orders!E391,4,2)),VALUE(LEFT(Raw_Orders!E391,2)))</f>
        <v>44988</v>
      </c>
      <c r="M391" s="12">
        <f>DATE(VALUE(RIGHT(Raw_Orders!G391,4)),VALUE(MID(Raw_Orders!G391,4,2)),VALUE(LEFT(Raw_Orders!G391,2)))</f>
        <v>44995</v>
      </c>
      <c r="N391" s="7">
        <f t="shared" si="13"/>
        <v>7</v>
      </c>
      <c r="O391" s="7" t="str">
        <f>Raw_Orders!J391</f>
        <v>Holi</v>
      </c>
      <c r="P391" s="7" t="str">
        <f>Raw_Orders!I391</f>
        <v>Akola</v>
      </c>
    </row>
    <row r="392" spans="1:16">
      <c r="A392" s="7" t="str">
        <f>Raw_Orders!A392</f>
        <v>391</v>
      </c>
      <c r="B392" s="7" t="str">
        <f>Raw_Orders!B392</f>
        <v>C083</v>
      </c>
      <c r="C392" s="7" t="str">
        <f>INDEX(Raw_Customers!$B$2:$B$101,MATCH($B392,Raw_Customers!$A$2:$A$101,0))</f>
        <v>Aaryahi Sodhi</v>
      </c>
      <c r="D392" s="7" t="str">
        <f>TRIM(INDEX(Raw_Customers!$C$2:$C$101,MATCH($B392,Raw_Customers!$A$2:$A$101,0)))</f>
        <v>Raurkela Industrial Township</v>
      </c>
      <c r="E392" s="7" t="str">
        <f>"+91-"&amp;RIGHT("0000000000"&amp;INDEX(Raw_Customers!$D$2:$D$101,MATCH($B392,Raw_Customers!$A$2:$A$101,0)),10)</f>
        <v>+91-2690208110</v>
      </c>
      <c r="F392" s="7" t="str">
        <f>Raw_Orders!C392</f>
        <v>22</v>
      </c>
      <c r="G392" s="7" t="str">
        <f>INDEX(Raw_Products!$B$2:$B$71,MATCH($F392,Raw_Products!$A$2:$A$71,0))</f>
        <v>Exercitationem Pack</v>
      </c>
      <c r="H392" s="7" t="str">
        <f>INDEX(Raw_Products!$C$2:$C$71,MATCH($F392,Raw_Products!$A$2:$A$71,0))</f>
        <v>Soft Toys</v>
      </c>
      <c r="I392" s="7">
        <f>VALUE(Raw_Orders!D392)</f>
        <v>4</v>
      </c>
      <c r="J392" s="11" t="str">
        <f>INDEX(Raw_Products!$D$2:$D$71,MATCH($F392,Raw_Products!$A$2:$A$71,0))</f>
        <v>1639</v>
      </c>
      <c r="K392" s="11">
        <f t="shared" si="12"/>
        <v>6556</v>
      </c>
      <c r="L392" s="12">
        <f>DATE(VALUE(RIGHT(Raw_Orders!E392,4)),VALUE(MID(Raw_Orders!E392,4,2)),VALUE(LEFT(Raw_Orders!E392,2)))</f>
        <v>45289</v>
      </c>
      <c r="M392" s="12">
        <f>DATE(VALUE(RIGHT(Raw_Orders!G392,4)),VALUE(MID(Raw_Orders!G392,4,2)),VALUE(LEFT(Raw_Orders!G392,2)))</f>
        <v>45298</v>
      </c>
      <c r="N392" s="7">
        <f t="shared" si="13"/>
        <v>9</v>
      </c>
      <c r="O392" s="7" t="str">
        <f>Raw_Orders!J392</f>
        <v>All Occasions</v>
      </c>
      <c r="P392" s="7" t="str">
        <f>Raw_Orders!I392</f>
        <v>Bareilly</v>
      </c>
    </row>
    <row r="393" spans="1:16">
      <c r="A393" s="7" t="str">
        <f>Raw_Orders!A393</f>
        <v>392</v>
      </c>
      <c r="B393" s="7" t="str">
        <f>Raw_Orders!B393</f>
        <v>C085</v>
      </c>
      <c r="C393" s="7" t="str">
        <f>INDEX(Raw_Customers!$B$2:$B$101,MATCH($B393,Raw_Customers!$A$2:$A$101,0))</f>
        <v>Bhamini Johal</v>
      </c>
      <c r="D393" s="7" t="str">
        <f>TRIM(INDEX(Raw_Customers!$C$2:$C$101,MATCH($B393,Raw_Customers!$A$2:$A$101,0)))</f>
        <v>Raipur</v>
      </c>
      <c r="E393" s="7" t="str">
        <f>"+91-"&amp;RIGHT("0000000000"&amp;INDEX(Raw_Customers!$D$2:$D$101,MATCH($B393,Raw_Customers!$A$2:$A$101,0)),10)</f>
        <v>+91-3129106402</v>
      </c>
      <c r="F393" s="7" t="str">
        <f>Raw_Orders!C393</f>
        <v>4</v>
      </c>
      <c r="G393" s="7" t="str">
        <f>INDEX(Raw_Products!$B$2:$B$71,MATCH($F393,Raw_Products!$A$2:$A$71,0))</f>
        <v>Accusantium Set</v>
      </c>
      <c r="H393" s="7" t="str">
        <f>INDEX(Raw_Products!$C$2:$C$71,MATCH($F393,Raw_Products!$A$2:$A$71,0))</f>
        <v>Sweets</v>
      </c>
      <c r="I393" s="7">
        <f>VALUE(Raw_Orders!D393)</f>
        <v>2</v>
      </c>
      <c r="J393" s="11" t="str">
        <f>INDEX(Raw_Products!$D$2:$D$71,MATCH($F393,Raw_Products!$A$2:$A$71,0))</f>
        <v>1199</v>
      </c>
      <c r="K393" s="11">
        <f t="shared" si="12"/>
        <v>2398</v>
      </c>
      <c r="L393" s="12">
        <f>DATE(VALUE(RIGHT(Raw_Orders!E393,4)),VALUE(MID(Raw_Orders!E393,4,2)),VALUE(LEFT(Raw_Orders!E393,2)))</f>
        <v>45235</v>
      </c>
      <c r="M393" s="12">
        <f>DATE(VALUE(RIGHT(Raw_Orders!G393,4)),VALUE(MID(Raw_Orders!G393,4,2)),VALUE(LEFT(Raw_Orders!G393,2)))</f>
        <v>45236</v>
      </c>
      <c r="N393" s="7">
        <f t="shared" si="13"/>
        <v>1</v>
      </c>
      <c r="O393" s="7" t="str">
        <f>Raw_Orders!J393</f>
        <v>Diwali</v>
      </c>
      <c r="P393" s="7" t="str">
        <f>Raw_Orders!I393</f>
        <v>Gangtok</v>
      </c>
    </row>
    <row r="394" spans="1:16">
      <c r="A394" s="7" t="str">
        <f>Raw_Orders!A394</f>
        <v>393</v>
      </c>
      <c r="B394" s="7" t="str">
        <f>Raw_Orders!B394</f>
        <v>C087</v>
      </c>
      <c r="C394" s="7" t="str">
        <f>INDEX(Raw_Customers!$B$2:$B$101,MATCH($B394,Raw_Customers!$A$2:$A$101,0))</f>
        <v>Rania Bhatt</v>
      </c>
      <c r="D394" s="7" t="str">
        <f>TRIM(INDEX(Raw_Customers!$C$2:$C$101,MATCH($B394,Raw_Customers!$A$2:$A$101,0)))</f>
        <v>North Dumdum</v>
      </c>
      <c r="E394" s="7" t="str">
        <f>"+91-"&amp;RIGHT("0000000000"&amp;INDEX(Raw_Customers!$D$2:$D$101,MATCH($B394,Raw_Customers!$A$2:$A$101,0)),10)</f>
        <v>+91-2112404207</v>
      </c>
      <c r="F394" s="7" t="str">
        <f>Raw_Orders!C394</f>
        <v>17</v>
      </c>
      <c r="G394" s="7" t="str">
        <f>INDEX(Raw_Products!$B$2:$B$71,MATCH($F394,Raw_Products!$A$2:$A$71,0))</f>
        <v>Delectus Gift</v>
      </c>
      <c r="H394" s="7" t="str">
        <f>INDEX(Raw_Products!$C$2:$C$71,MATCH($F394,Raw_Products!$A$2:$A$71,0))</f>
        <v>Soft Toys</v>
      </c>
      <c r="I394" s="7">
        <f>VALUE(Raw_Orders!D394)</f>
        <v>5</v>
      </c>
      <c r="J394" s="11" t="str">
        <f>INDEX(Raw_Products!$D$2:$D$71,MATCH($F394,Raw_Products!$A$2:$A$71,0))</f>
        <v>1899</v>
      </c>
      <c r="K394" s="11">
        <f t="shared" si="12"/>
        <v>9495</v>
      </c>
      <c r="L394" s="12">
        <f>DATE(VALUE(RIGHT(Raw_Orders!E394,4)),VALUE(MID(Raw_Orders!E394,4,2)),VALUE(LEFT(Raw_Orders!E394,2)))</f>
        <v>45244</v>
      </c>
      <c r="M394" s="12">
        <f>DATE(VALUE(RIGHT(Raw_Orders!G394,4)),VALUE(MID(Raw_Orders!G394,4,2)),VALUE(LEFT(Raw_Orders!G394,2)))</f>
        <v>45252</v>
      </c>
      <c r="N394" s="7">
        <f t="shared" si="13"/>
        <v>8</v>
      </c>
      <c r="O394" s="7" t="str">
        <f>Raw_Orders!J394</f>
        <v>Anniversary</v>
      </c>
      <c r="P394" s="7" t="str">
        <f>Raw_Orders!I394</f>
        <v>Solapur</v>
      </c>
    </row>
    <row r="395" spans="1:16">
      <c r="A395" s="7" t="str">
        <f>Raw_Orders!A395</f>
        <v>394</v>
      </c>
      <c r="B395" s="7" t="str">
        <f>Raw_Orders!B395</f>
        <v>C028</v>
      </c>
      <c r="C395" s="7" t="str">
        <f>INDEX(Raw_Customers!$B$2:$B$101,MATCH($B395,Raw_Customers!$A$2:$A$101,0))</f>
        <v>Hridaan Rajagopalan</v>
      </c>
      <c r="D395" s="7" t="str">
        <f>TRIM(INDEX(Raw_Customers!$C$2:$C$101,MATCH($B395,Raw_Customers!$A$2:$A$101,0)))</f>
        <v>Noida</v>
      </c>
      <c r="E395" s="7" t="str">
        <f>"+91-"&amp;RIGHT("0000000000"&amp;INDEX(Raw_Customers!$D$2:$D$101,MATCH($B395,Raw_Customers!$A$2:$A$101,0)),10)</f>
        <v>+91-2539728317</v>
      </c>
      <c r="F395" s="7" t="str">
        <f>Raw_Orders!C395</f>
        <v>38</v>
      </c>
      <c r="G395" s="7" t="str">
        <f>INDEX(Raw_Products!$B$2:$B$71,MATCH($F395,Raw_Products!$A$2:$A$71,0))</f>
        <v>Mollitia Set</v>
      </c>
      <c r="H395" s="7" t="str">
        <f>INDEX(Raw_Products!$C$2:$C$71,MATCH($F395,Raw_Products!$A$2:$A$71,0))</f>
        <v>Cake</v>
      </c>
      <c r="I395" s="7">
        <f>VALUE(Raw_Orders!D395)</f>
        <v>5</v>
      </c>
      <c r="J395" s="11" t="str">
        <f>INDEX(Raw_Products!$D$2:$D$71,MATCH($F395,Raw_Products!$A$2:$A$71,0))</f>
        <v>562</v>
      </c>
      <c r="K395" s="11">
        <f t="shared" si="12"/>
        <v>2810</v>
      </c>
      <c r="L395" s="12">
        <f>DATE(VALUE(RIGHT(Raw_Orders!E395,4)),VALUE(MID(Raw_Orders!E395,4,2)),VALUE(LEFT(Raw_Orders!E395,2)))</f>
        <v>45008</v>
      </c>
      <c r="M395" s="12">
        <f>DATE(VALUE(RIGHT(Raw_Orders!G395,4)),VALUE(MID(Raw_Orders!G395,4,2)),VALUE(LEFT(Raw_Orders!G395,2)))</f>
        <v>45016</v>
      </c>
      <c r="N395" s="7">
        <f t="shared" si="13"/>
        <v>8</v>
      </c>
      <c r="O395" s="7" t="str">
        <f>Raw_Orders!J395</f>
        <v>Birthday</v>
      </c>
      <c r="P395" s="7" t="str">
        <f>Raw_Orders!I395</f>
        <v>Dewas</v>
      </c>
    </row>
    <row r="396" spans="1:16">
      <c r="A396" s="7" t="str">
        <f>Raw_Orders!A396</f>
        <v>395</v>
      </c>
      <c r="B396" s="7" t="str">
        <f>Raw_Orders!B396</f>
        <v>C067</v>
      </c>
      <c r="C396" s="7" t="str">
        <f>INDEX(Raw_Customers!$B$2:$B$101,MATCH($B396,Raw_Customers!$A$2:$A$101,0))</f>
        <v>Eva Sankaran</v>
      </c>
      <c r="D396" s="7" t="str">
        <f>TRIM(INDEX(Raw_Customers!$C$2:$C$101,MATCH($B396,Raw_Customers!$A$2:$A$101,0)))</f>
        <v>Anand</v>
      </c>
      <c r="E396" s="7" t="str">
        <f>"+91-"&amp;RIGHT("0000000000"&amp;INDEX(Raw_Customers!$D$2:$D$101,MATCH($B396,Raw_Customers!$A$2:$A$101,0)),10)</f>
        <v>+91-0407409251</v>
      </c>
      <c r="F396" s="7" t="str">
        <f>Raw_Orders!C396</f>
        <v>26</v>
      </c>
      <c r="G396" s="7" t="str">
        <f>INDEX(Raw_Products!$B$2:$B$71,MATCH($F396,Raw_Products!$A$2:$A$71,0))</f>
        <v>Aliquam Box</v>
      </c>
      <c r="H396" s="7" t="str">
        <f>INDEX(Raw_Products!$C$2:$C$71,MATCH($F396,Raw_Products!$A$2:$A$71,0))</f>
        <v>Colors</v>
      </c>
      <c r="I396" s="7">
        <f>VALUE(Raw_Orders!D396)</f>
        <v>2</v>
      </c>
      <c r="J396" s="11" t="str">
        <f>INDEX(Raw_Products!$D$2:$D$71,MATCH($F396,Raw_Products!$A$2:$A$71,0))</f>
        <v>289</v>
      </c>
      <c r="K396" s="11">
        <f t="shared" si="12"/>
        <v>578</v>
      </c>
      <c r="L396" s="12">
        <f>DATE(VALUE(RIGHT(Raw_Orders!E396,4)),VALUE(MID(Raw_Orders!E396,4,2)),VALUE(LEFT(Raw_Orders!E396,2)))</f>
        <v>44988</v>
      </c>
      <c r="M396" s="12">
        <f>DATE(VALUE(RIGHT(Raw_Orders!G396,4)),VALUE(MID(Raw_Orders!G396,4,2)),VALUE(LEFT(Raw_Orders!G396,2)))</f>
        <v>44991</v>
      </c>
      <c r="N396" s="7">
        <f t="shared" si="13"/>
        <v>3</v>
      </c>
      <c r="O396" s="7" t="str">
        <f>Raw_Orders!J396</f>
        <v>Holi</v>
      </c>
      <c r="P396" s="7" t="str">
        <f>Raw_Orders!I396</f>
        <v>Hosur</v>
      </c>
    </row>
    <row r="397" spans="1:16">
      <c r="A397" s="7" t="str">
        <f>Raw_Orders!A397</f>
        <v>396</v>
      </c>
      <c r="B397" s="7" t="str">
        <f>Raw_Orders!B397</f>
        <v>C068</v>
      </c>
      <c r="C397" s="7" t="str">
        <f>INDEX(Raw_Customers!$B$2:$B$101,MATCH($B397,Raw_Customers!$A$2:$A$101,0))</f>
        <v>Ritvik Garde</v>
      </c>
      <c r="D397" s="7" t="str">
        <f>TRIM(INDEX(Raw_Customers!$C$2:$C$101,MATCH($B397,Raw_Customers!$A$2:$A$101,0)))</f>
        <v>Kalyan-Dombivli</v>
      </c>
      <c r="E397" s="7" t="str">
        <f>"+91-"&amp;RIGHT("0000000000"&amp;INDEX(Raw_Customers!$D$2:$D$101,MATCH($B397,Raw_Customers!$A$2:$A$101,0)),10)</f>
        <v>+91-3719858588</v>
      </c>
      <c r="F397" s="7" t="str">
        <f>Raw_Orders!C397</f>
        <v>10</v>
      </c>
      <c r="G397" s="7" t="str">
        <f>INDEX(Raw_Products!$B$2:$B$71,MATCH($F397,Raw_Products!$A$2:$A$71,0))</f>
        <v>Accusantium Gift</v>
      </c>
      <c r="H397" s="7" t="str">
        <f>INDEX(Raw_Products!$C$2:$C$71,MATCH($F397,Raw_Products!$A$2:$A$71,0))</f>
        <v>Cake</v>
      </c>
      <c r="I397" s="7">
        <f>VALUE(Raw_Orders!D397)</f>
        <v>5</v>
      </c>
      <c r="J397" s="11" t="str">
        <f>INDEX(Raw_Products!$D$2:$D$71,MATCH($F397,Raw_Products!$A$2:$A$71,0))</f>
        <v>259</v>
      </c>
      <c r="K397" s="11">
        <f t="shared" si="12"/>
        <v>1295</v>
      </c>
      <c r="L397" s="12">
        <f>DATE(VALUE(RIGHT(Raw_Orders!E397,4)),VALUE(MID(Raw_Orders!E397,4,2)),VALUE(LEFT(Raw_Orders!E397,2)))</f>
        <v>45000</v>
      </c>
      <c r="M397" s="12">
        <f>DATE(VALUE(RIGHT(Raw_Orders!G397,4)),VALUE(MID(Raw_Orders!G397,4,2)),VALUE(LEFT(Raw_Orders!G397,2)))</f>
        <v>45001</v>
      </c>
      <c r="N397" s="7">
        <f t="shared" si="13"/>
        <v>1</v>
      </c>
      <c r="O397" s="7" t="str">
        <f>Raw_Orders!J397</f>
        <v>Birthday</v>
      </c>
      <c r="P397" s="7" t="str">
        <f>Raw_Orders!I397</f>
        <v>Tiruvottiyur</v>
      </c>
    </row>
    <row r="398" spans="1:16">
      <c r="A398" s="7" t="str">
        <f>Raw_Orders!A398</f>
        <v>397</v>
      </c>
      <c r="B398" s="7" t="str">
        <f>Raw_Orders!B398</f>
        <v>C034</v>
      </c>
      <c r="C398" s="7" t="str">
        <f>INDEX(Raw_Customers!$B$2:$B$101,MATCH($B398,Raw_Customers!$A$2:$A$101,0))</f>
        <v>Hridaan Sood</v>
      </c>
      <c r="D398" s="7" t="str">
        <f>TRIM(INDEX(Raw_Customers!$C$2:$C$101,MATCH($B398,Raw_Customers!$A$2:$A$101,0)))</f>
        <v>Bhatpara</v>
      </c>
      <c r="E398" s="7" t="str">
        <f>"+91-"&amp;RIGHT("0000000000"&amp;INDEX(Raw_Customers!$D$2:$D$101,MATCH($B398,Raw_Customers!$A$2:$A$101,0)),10)</f>
        <v>+91-6652710577</v>
      </c>
      <c r="F398" s="7" t="str">
        <f>Raw_Orders!C398</f>
        <v>4</v>
      </c>
      <c r="G398" s="7" t="str">
        <f>INDEX(Raw_Products!$B$2:$B$71,MATCH($F398,Raw_Products!$A$2:$A$71,0))</f>
        <v>Accusantium Set</v>
      </c>
      <c r="H398" s="7" t="str">
        <f>INDEX(Raw_Products!$C$2:$C$71,MATCH($F398,Raw_Products!$A$2:$A$71,0))</f>
        <v>Sweets</v>
      </c>
      <c r="I398" s="7">
        <f>VALUE(Raw_Orders!D398)</f>
        <v>5</v>
      </c>
      <c r="J398" s="11" t="str">
        <f>INDEX(Raw_Products!$D$2:$D$71,MATCH($F398,Raw_Products!$A$2:$A$71,0))</f>
        <v>1199</v>
      </c>
      <c r="K398" s="11">
        <f t="shared" si="12"/>
        <v>5995</v>
      </c>
      <c r="L398" s="12">
        <f>DATE(VALUE(RIGHT(Raw_Orders!E398,4)),VALUE(MID(Raw_Orders!E398,4,2)),VALUE(LEFT(Raw_Orders!E398,2)))</f>
        <v>45239</v>
      </c>
      <c r="M398" s="12">
        <f>DATE(VALUE(RIGHT(Raw_Orders!G398,4)),VALUE(MID(Raw_Orders!G398,4,2)),VALUE(LEFT(Raw_Orders!G398,2)))</f>
        <v>45244</v>
      </c>
      <c r="N398" s="7">
        <f t="shared" si="13"/>
        <v>5</v>
      </c>
      <c r="O398" s="7" t="str">
        <f>Raw_Orders!J398</f>
        <v>Diwali</v>
      </c>
      <c r="P398" s="7" t="str">
        <f>Raw_Orders!I398</f>
        <v>Junagadh</v>
      </c>
    </row>
    <row r="399" spans="1:16">
      <c r="A399" s="7" t="str">
        <f>Raw_Orders!A399</f>
        <v>398</v>
      </c>
      <c r="B399" s="7" t="str">
        <f>Raw_Orders!B399</f>
        <v>C080</v>
      </c>
      <c r="C399" s="7" t="str">
        <f>INDEX(Raw_Customers!$B$2:$B$101,MATCH($B399,Raw_Customers!$A$2:$A$101,0))</f>
        <v>Mohanlal Garde</v>
      </c>
      <c r="D399" s="7" t="str">
        <f>TRIM(INDEX(Raw_Customers!$C$2:$C$101,MATCH($B399,Raw_Customers!$A$2:$A$101,0)))</f>
        <v>Bhopal</v>
      </c>
      <c r="E399" s="7" t="str">
        <f>"+91-"&amp;RIGHT("0000000000"&amp;INDEX(Raw_Customers!$D$2:$D$101,MATCH($B399,Raw_Customers!$A$2:$A$101,0)),10)</f>
        <v>+91-8448890371</v>
      </c>
      <c r="F399" s="7" t="str">
        <f>Raw_Orders!C399</f>
        <v>54</v>
      </c>
      <c r="G399" s="7" t="str">
        <f>INDEX(Raw_Products!$B$2:$B$71,MATCH($F399,Raw_Products!$A$2:$A$71,0))</f>
        <v>Occaecati Gift</v>
      </c>
      <c r="H399" s="7" t="str">
        <f>INDEX(Raw_Products!$C$2:$C$71,MATCH($F399,Raw_Products!$A$2:$A$71,0))</f>
        <v>Cake</v>
      </c>
      <c r="I399" s="7">
        <f>VALUE(Raw_Orders!D399)</f>
        <v>1</v>
      </c>
      <c r="J399" s="11" t="str">
        <f>INDEX(Raw_Products!$D$2:$D$71,MATCH($F399,Raw_Products!$A$2:$A$71,0))</f>
        <v>1236</v>
      </c>
      <c r="K399" s="11">
        <f t="shared" si="12"/>
        <v>1236</v>
      </c>
      <c r="L399" s="12">
        <f>DATE(VALUE(RIGHT(Raw_Orders!E399,4)),VALUE(MID(Raw_Orders!E399,4,2)),VALUE(LEFT(Raw_Orders!E399,2)))</f>
        <v>45051</v>
      </c>
      <c r="M399" s="12">
        <f>DATE(VALUE(RIGHT(Raw_Orders!G399,4)),VALUE(MID(Raw_Orders!G399,4,2)),VALUE(LEFT(Raw_Orders!G399,2)))</f>
        <v>45061</v>
      </c>
      <c r="N399" s="7">
        <f t="shared" si="13"/>
        <v>10</v>
      </c>
      <c r="O399" s="7" t="str">
        <f>Raw_Orders!J399</f>
        <v>Anniversary</v>
      </c>
      <c r="P399" s="7" t="str">
        <f>Raw_Orders!I399</f>
        <v>Dehradun</v>
      </c>
    </row>
    <row r="400" spans="1:16">
      <c r="A400" s="7" t="str">
        <f>Raw_Orders!A400</f>
        <v>399</v>
      </c>
      <c r="B400" s="7" t="str">
        <f>Raw_Orders!B400</f>
        <v>C008</v>
      </c>
      <c r="C400" s="7" t="str">
        <f>INDEX(Raw_Customers!$B$2:$B$101,MATCH($B400,Raw_Customers!$A$2:$A$101,0))</f>
        <v>Veer Ray</v>
      </c>
      <c r="D400" s="7" t="str">
        <f>TRIM(INDEX(Raw_Customers!$C$2:$C$101,MATCH($B400,Raw_Customers!$A$2:$A$101,0)))</f>
        <v>Chinsurah</v>
      </c>
      <c r="E400" s="7" t="str">
        <f>"+91-"&amp;RIGHT("0000000000"&amp;INDEX(Raw_Customers!$D$2:$D$101,MATCH($B400,Raw_Customers!$A$2:$A$101,0)),10)</f>
        <v>+91-7138085704</v>
      </c>
      <c r="F400" s="7" t="str">
        <f>Raw_Orders!C400</f>
        <v>68</v>
      </c>
      <c r="G400" s="7" t="str">
        <f>INDEX(Raw_Products!$B$2:$B$71,MATCH($F400,Raw_Products!$A$2:$A$71,0))</f>
        <v>Quas Gift</v>
      </c>
      <c r="H400" s="7" t="str">
        <f>INDEX(Raw_Products!$C$2:$C$71,MATCH($F400,Raw_Products!$A$2:$A$71,0))</f>
        <v>Soft Toys</v>
      </c>
      <c r="I400" s="7">
        <f>VALUE(Raw_Orders!D400)</f>
        <v>1</v>
      </c>
      <c r="J400" s="11" t="str">
        <f>INDEX(Raw_Products!$D$2:$D$71,MATCH($F400,Raw_Products!$A$2:$A$71,0))</f>
        <v>597</v>
      </c>
      <c r="K400" s="11">
        <f t="shared" si="12"/>
        <v>597</v>
      </c>
      <c r="L400" s="12">
        <f>DATE(VALUE(RIGHT(Raw_Orders!E400,4)),VALUE(MID(Raw_Orders!E400,4,2)),VALUE(LEFT(Raw_Orders!E400,2)))</f>
        <v>44965</v>
      </c>
      <c r="M400" s="12">
        <f>DATE(VALUE(RIGHT(Raw_Orders!G400,4)),VALUE(MID(Raw_Orders!G400,4,2)),VALUE(LEFT(Raw_Orders!G400,2)))</f>
        <v>44972</v>
      </c>
      <c r="N400" s="7">
        <f t="shared" si="13"/>
        <v>7</v>
      </c>
      <c r="O400" s="7" t="str">
        <f>Raw_Orders!J400</f>
        <v>Valentine's Day</v>
      </c>
      <c r="P400" s="7" t="str">
        <f>Raw_Orders!I400</f>
        <v>Bareilly</v>
      </c>
    </row>
    <row r="401" spans="1:16">
      <c r="A401" s="7" t="str">
        <f>Raw_Orders!A401</f>
        <v>400</v>
      </c>
      <c r="B401" s="7" t="str">
        <f>Raw_Orders!B401</f>
        <v>C083</v>
      </c>
      <c r="C401" s="7" t="str">
        <f>INDEX(Raw_Customers!$B$2:$B$101,MATCH($B401,Raw_Customers!$A$2:$A$101,0))</f>
        <v>Aaryahi Sodhi</v>
      </c>
      <c r="D401" s="7" t="str">
        <f>TRIM(INDEX(Raw_Customers!$C$2:$C$101,MATCH($B401,Raw_Customers!$A$2:$A$101,0)))</f>
        <v>Raurkela Industrial Township</v>
      </c>
      <c r="E401" s="7" t="str">
        <f>"+91-"&amp;RIGHT("0000000000"&amp;INDEX(Raw_Customers!$D$2:$D$101,MATCH($B401,Raw_Customers!$A$2:$A$101,0)),10)</f>
        <v>+91-2690208110</v>
      </c>
      <c r="F401" s="7" t="str">
        <f>Raw_Orders!C401</f>
        <v>45</v>
      </c>
      <c r="G401" s="7" t="str">
        <f>INDEX(Raw_Products!$B$2:$B$71,MATCH($F401,Raw_Products!$A$2:$A$71,0))</f>
        <v>Iusto Set</v>
      </c>
      <c r="H401" s="7" t="str">
        <f>INDEX(Raw_Products!$C$2:$C$71,MATCH($F401,Raw_Products!$A$2:$A$71,0))</f>
        <v>Raksha Bandhan</v>
      </c>
      <c r="I401" s="7">
        <f>VALUE(Raw_Orders!D401)</f>
        <v>3</v>
      </c>
      <c r="J401" s="11" t="str">
        <f>INDEX(Raw_Products!$D$2:$D$71,MATCH($F401,Raw_Products!$A$2:$A$71,0))</f>
        <v>722</v>
      </c>
      <c r="K401" s="11">
        <f t="shared" si="12"/>
        <v>2166</v>
      </c>
      <c r="L401" s="12">
        <f>DATE(VALUE(RIGHT(Raw_Orders!E401,4)),VALUE(MID(Raw_Orders!E401,4,2)),VALUE(LEFT(Raw_Orders!E401,2)))</f>
        <v>45053</v>
      </c>
      <c r="M401" s="12">
        <f>DATE(VALUE(RIGHT(Raw_Orders!G401,4)),VALUE(MID(Raw_Orders!G401,4,2)),VALUE(LEFT(Raw_Orders!G401,2)))</f>
        <v>45061</v>
      </c>
      <c r="N401" s="7">
        <f t="shared" si="13"/>
        <v>8</v>
      </c>
      <c r="O401" s="7" t="str">
        <f>Raw_Orders!J401</f>
        <v>Birthday</v>
      </c>
      <c r="P401" s="7" t="str">
        <f>Raw_Orders!I401</f>
        <v>Kumbakonam</v>
      </c>
    </row>
    <row r="402" spans="1:16">
      <c r="A402" s="7" t="str">
        <f>Raw_Orders!A402</f>
        <v>401</v>
      </c>
      <c r="B402" s="7" t="str">
        <f>Raw_Orders!B402</f>
        <v>C089</v>
      </c>
      <c r="C402" s="7" t="str">
        <f>INDEX(Raw_Customers!$B$2:$B$101,MATCH($B402,Raw_Customers!$A$2:$A$101,0))</f>
        <v>Oorja Dey</v>
      </c>
      <c r="D402" s="7" t="str">
        <f>TRIM(INDEX(Raw_Customers!$C$2:$C$101,MATCH($B402,Raw_Customers!$A$2:$A$101,0)))</f>
        <v>Nellore</v>
      </c>
      <c r="E402" s="7" t="str">
        <f>"+91-"&amp;RIGHT("0000000000"&amp;INDEX(Raw_Customers!$D$2:$D$101,MATCH($B402,Raw_Customers!$A$2:$A$101,0)),10)</f>
        <v>+91-7264144428</v>
      </c>
      <c r="F402" s="7" t="str">
        <f>Raw_Orders!C402</f>
        <v>9</v>
      </c>
      <c r="G402" s="7" t="str">
        <f>INDEX(Raw_Products!$B$2:$B$71,MATCH($F402,Raw_Products!$A$2:$A$71,0))</f>
        <v>Aperiam Box</v>
      </c>
      <c r="H402" s="7" t="str">
        <f>INDEX(Raw_Products!$C$2:$C$71,MATCH($F402,Raw_Products!$A$2:$A$71,0))</f>
        <v>Colors</v>
      </c>
      <c r="I402" s="7">
        <f>VALUE(Raw_Orders!D402)</f>
        <v>5</v>
      </c>
      <c r="J402" s="11" t="str">
        <f>INDEX(Raw_Products!$D$2:$D$71,MATCH($F402,Raw_Products!$A$2:$A$71,0))</f>
        <v>1605</v>
      </c>
      <c r="K402" s="11">
        <f t="shared" si="12"/>
        <v>8025</v>
      </c>
      <c r="L402" s="12">
        <f>DATE(VALUE(RIGHT(Raw_Orders!E402,4)),VALUE(MID(Raw_Orders!E402,4,2)),VALUE(LEFT(Raw_Orders!E402,2)))</f>
        <v>45167</v>
      </c>
      <c r="M402" s="12">
        <f>DATE(VALUE(RIGHT(Raw_Orders!G402,4)),VALUE(MID(Raw_Orders!G402,4,2)),VALUE(LEFT(Raw_Orders!G402,2)))</f>
        <v>45173</v>
      </c>
      <c r="N402" s="7">
        <f t="shared" si="13"/>
        <v>6</v>
      </c>
      <c r="O402" s="7" t="str">
        <f>Raw_Orders!J402</f>
        <v>Raksha Bandhan</v>
      </c>
      <c r="P402" s="7" t="str">
        <f>Raw_Orders!I402</f>
        <v>Bharatpur</v>
      </c>
    </row>
    <row r="403" spans="1:16">
      <c r="A403" s="7" t="str">
        <f>Raw_Orders!A403</f>
        <v>402</v>
      </c>
      <c r="B403" s="7" t="str">
        <f>Raw_Orders!B403</f>
        <v>C037</v>
      </c>
      <c r="C403" s="7" t="str">
        <f>INDEX(Raw_Customers!$B$2:$B$101,MATCH($B403,Raw_Customers!$A$2:$A$101,0))</f>
        <v>Aradhya Kumar</v>
      </c>
      <c r="D403" s="7" t="str">
        <f>TRIM(INDEX(Raw_Customers!$C$2:$C$101,MATCH($B403,Raw_Customers!$A$2:$A$101,0)))</f>
        <v>Davanagere</v>
      </c>
      <c r="E403" s="7" t="str">
        <f>"+91-"&amp;RIGHT("0000000000"&amp;INDEX(Raw_Customers!$D$2:$D$101,MATCH($B403,Raw_Customers!$A$2:$A$101,0)),10)</f>
        <v>+91-1972392634</v>
      </c>
      <c r="F403" s="7" t="str">
        <f>Raw_Orders!C403</f>
        <v>29</v>
      </c>
      <c r="G403" s="7" t="str">
        <f>INDEX(Raw_Products!$B$2:$B$71,MATCH($F403,Raw_Products!$A$2:$A$71,0))</f>
        <v>In Set</v>
      </c>
      <c r="H403" s="7" t="str">
        <f>INDEX(Raw_Products!$C$2:$C$71,MATCH($F403,Raw_Products!$A$2:$A$71,0))</f>
        <v>Colors</v>
      </c>
      <c r="I403" s="7">
        <f>VALUE(Raw_Orders!D403)</f>
        <v>1</v>
      </c>
      <c r="J403" s="11" t="str">
        <f>INDEX(Raw_Products!$D$2:$D$71,MATCH($F403,Raw_Products!$A$2:$A$71,0))</f>
        <v>1252</v>
      </c>
      <c r="K403" s="11">
        <f t="shared" si="12"/>
        <v>1252</v>
      </c>
      <c r="L403" s="12">
        <f>DATE(VALUE(RIGHT(Raw_Orders!E403,4)),VALUE(MID(Raw_Orders!E403,4,2)),VALUE(LEFT(Raw_Orders!E403,2)))</f>
        <v>44990</v>
      </c>
      <c r="M403" s="12">
        <f>DATE(VALUE(RIGHT(Raw_Orders!G403,4)),VALUE(MID(Raw_Orders!G403,4,2)),VALUE(LEFT(Raw_Orders!G403,2)))</f>
        <v>44993</v>
      </c>
      <c r="N403" s="7">
        <f t="shared" si="13"/>
        <v>3</v>
      </c>
      <c r="O403" s="7" t="str">
        <f>Raw_Orders!J403</f>
        <v>Holi</v>
      </c>
      <c r="P403" s="7" t="str">
        <f>Raw_Orders!I403</f>
        <v>Thrissur</v>
      </c>
    </row>
    <row r="404" spans="1:16">
      <c r="A404" s="7" t="str">
        <f>Raw_Orders!A404</f>
        <v>403</v>
      </c>
      <c r="B404" s="7" t="str">
        <f>Raw_Orders!B404</f>
        <v>C075</v>
      </c>
      <c r="C404" s="7" t="str">
        <f>INDEX(Raw_Customers!$B$2:$B$101,MATCH($B404,Raw_Customers!$A$2:$A$101,0))</f>
        <v>Yashvi Bansal</v>
      </c>
      <c r="D404" s="7" t="str">
        <f>TRIM(INDEX(Raw_Customers!$C$2:$C$101,MATCH($B404,Raw_Customers!$A$2:$A$101,0)))</f>
        <v>Aligarh</v>
      </c>
      <c r="E404" s="7" t="str">
        <f>"+91-"&amp;RIGHT("0000000000"&amp;INDEX(Raw_Customers!$D$2:$D$101,MATCH($B404,Raw_Customers!$A$2:$A$101,0)),10)</f>
        <v>+91-4513765238</v>
      </c>
      <c r="F404" s="7" t="str">
        <f>Raw_Orders!C404</f>
        <v>57</v>
      </c>
      <c r="G404" s="7" t="str">
        <f>INDEX(Raw_Products!$B$2:$B$71,MATCH($F404,Raw_Products!$A$2:$A$71,0))</f>
        <v>Voluptatem Box</v>
      </c>
      <c r="H404" s="7" t="str">
        <f>INDEX(Raw_Products!$C$2:$C$71,MATCH($F404,Raw_Products!$A$2:$A$71,0))</f>
        <v>Colors</v>
      </c>
      <c r="I404" s="7">
        <f>VALUE(Raw_Orders!D404)</f>
        <v>1</v>
      </c>
      <c r="J404" s="11" t="str">
        <f>INDEX(Raw_Products!$D$2:$D$71,MATCH($F404,Raw_Products!$A$2:$A$71,0))</f>
        <v>1582</v>
      </c>
      <c r="K404" s="11">
        <f t="shared" si="12"/>
        <v>1582</v>
      </c>
      <c r="L404" s="12">
        <f>DATE(VALUE(RIGHT(Raw_Orders!E404,4)),VALUE(MID(Raw_Orders!E404,4,2)),VALUE(LEFT(Raw_Orders!E404,2)))</f>
        <v>44932</v>
      </c>
      <c r="M404" s="12">
        <f>DATE(VALUE(RIGHT(Raw_Orders!G404,4)),VALUE(MID(Raw_Orders!G404,4,2)),VALUE(LEFT(Raw_Orders!G404,2)))</f>
        <v>44942</v>
      </c>
      <c r="N404" s="7">
        <f t="shared" si="13"/>
        <v>10</v>
      </c>
      <c r="O404" s="7" t="str">
        <f>Raw_Orders!J404</f>
        <v>Birthday</v>
      </c>
      <c r="P404" s="7" t="str">
        <f>Raw_Orders!I404</f>
        <v>Chapra</v>
      </c>
    </row>
    <row r="405" spans="1:16">
      <c r="A405" s="7" t="str">
        <f>Raw_Orders!A405</f>
        <v>404</v>
      </c>
      <c r="B405" s="7" t="str">
        <f>Raw_Orders!B405</f>
        <v>C055</v>
      </c>
      <c r="C405" s="7" t="str">
        <f>INDEX(Raw_Customers!$B$2:$B$101,MATCH($B405,Raw_Customers!$A$2:$A$101,0))</f>
        <v>Umang Luthra</v>
      </c>
      <c r="D405" s="7" t="str">
        <f>TRIM(INDEX(Raw_Customers!$C$2:$C$101,MATCH($B405,Raw_Customers!$A$2:$A$101,0)))</f>
        <v>Imphal</v>
      </c>
      <c r="E405" s="7" t="str">
        <f>"+91-"&amp;RIGHT("0000000000"&amp;INDEX(Raw_Customers!$D$2:$D$101,MATCH($B405,Raw_Customers!$A$2:$A$101,0)),10)</f>
        <v>+91-2007986762</v>
      </c>
      <c r="F405" s="7" t="str">
        <f>Raw_Orders!C405</f>
        <v>21</v>
      </c>
      <c r="G405" s="7" t="str">
        <f>INDEX(Raw_Products!$B$2:$B$71,MATCH($F405,Raw_Products!$A$2:$A$71,0))</f>
        <v>Quia Gift</v>
      </c>
      <c r="H405" s="7" t="str">
        <f>INDEX(Raw_Products!$C$2:$C$71,MATCH($F405,Raw_Products!$A$2:$A$71,0))</f>
        <v>Colors</v>
      </c>
      <c r="I405" s="7">
        <f>VALUE(Raw_Orders!D405)</f>
        <v>5</v>
      </c>
      <c r="J405" s="11" t="str">
        <f>INDEX(Raw_Products!$D$2:$D$71,MATCH($F405,Raw_Products!$A$2:$A$71,0))</f>
        <v>1561</v>
      </c>
      <c r="K405" s="11">
        <f t="shared" si="12"/>
        <v>7805</v>
      </c>
      <c r="L405" s="12">
        <f>DATE(VALUE(RIGHT(Raw_Orders!E405,4)),VALUE(MID(Raw_Orders!E405,4,2)),VALUE(LEFT(Raw_Orders!E405,2)))</f>
        <v>45160</v>
      </c>
      <c r="M405" s="12">
        <f>DATE(VALUE(RIGHT(Raw_Orders!G405,4)),VALUE(MID(Raw_Orders!G405,4,2)),VALUE(LEFT(Raw_Orders!G405,2)))</f>
        <v>45162</v>
      </c>
      <c r="N405" s="7">
        <f t="shared" si="13"/>
        <v>2</v>
      </c>
      <c r="O405" s="7" t="str">
        <f>Raw_Orders!J405</f>
        <v>Raksha Bandhan</v>
      </c>
      <c r="P405" s="7" t="str">
        <f>Raw_Orders!I405</f>
        <v>South Dumdum</v>
      </c>
    </row>
    <row r="406" spans="1:16">
      <c r="A406" s="7" t="str">
        <f>Raw_Orders!A406</f>
        <v>405</v>
      </c>
      <c r="B406" s="7" t="str">
        <f>Raw_Orders!B406</f>
        <v>C033</v>
      </c>
      <c r="C406" s="7" t="str">
        <f>INDEX(Raw_Customers!$B$2:$B$101,MATCH($B406,Raw_Customers!$A$2:$A$101,0))</f>
        <v>Suhana Kurian</v>
      </c>
      <c r="D406" s="7" t="str">
        <f>TRIM(INDEX(Raw_Customers!$C$2:$C$101,MATCH($B406,Raw_Customers!$A$2:$A$101,0)))</f>
        <v>Indore</v>
      </c>
      <c r="E406" s="7" t="str">
        <f>"+91-"&amp;RIGHT("0000000000"&amp;INDEX(Raw_Customers!$D$2:$D$101,MATCH($B406,Raw_Customers!$A$2:$A$101,0)),10)</f>
        <v>+91-5713958095</v>
      </c>
      <c r="F406" s="7" t="str">
        <f>Raw_Orders!C406</f>
        <v>49</v>
      </c>
      <c r="G406" s="7" t="str">
        <f>INDEX(Raw_Products!$B$2:$B$71,MATCH($F406,Raw_Products!$A$2:$A$71,0))</f>
        <v>Voluptate Pack</v>
      </c>
      <c r="H406" s="7" t="str">
        <f>INDEX(Raw_Products!$C$2:$C$71,MATCH($F406,Raw_Products!$A$2:$A$71,0))</f>
        <v>Colors</v>
      </c>
      <c r="I406" s="7">
        <f>VALUE(Raw_Orders!D406)</f>
        <v>1</v>
      </c>
      <c r="J406" s="11" t="str">
        <f>INDEX(Raw_Products!$D$2:$D$71,MATCH($F406,Raw_Products!$A$2:$A$71,0))</f>
        <v>903</v>
      </c>
      <c r="K406" s="11">
        <f t="shared" si="12"/>
        <v>903</v>
      </c>
      <c r="L406" s="12">
        <f>DATE(VALUE(RIGHT(Raw_Orders!E406,4)),VALUE(MID(Raw_Orders!E406,4,2)),VALUE(LEFT(Raw_Orders!E406,2)))</f>
        <v>44967</v>
      </c>
      <c r="M406" s="12">
        <f>DATE(VALUE(RIGHT(Raw_Orders!G406,4)),VALUE(MID(Raw_Orders!G406,4,2)),VALUE(LEFT(Raw_Orders!G406,2)))</f>
        <v>44975</v>
      </c>
      <c r="N406" s="7">
        <f t="shared" si="13"/>
        <v>8</v>
      </c>
      <c r="O406" s="7" t="str">
        <f>Raw_Orders!J406</f>
        <v>Valentine's Day</v>
      </c>
      <c r="P406" s="7" t="str">
        <f>Raw_Orders!I406</f>
        <v>Guwahati</v>
      </c>
    </row>
    <row r="407" spans="1:16">
      <c r="A407" s="7" t="str">
        <f>Raw_Orders!A407</f>
        <v>406</v>
      </c>
      <c r="B407" s="7" t="str">
        <f>Raw_Orders!B407</f>
        <v>C049</v>
      </c>
      <c r="C407" s="7" t="str">
        <f>INDEX(Raw_Customers!$B$2:$B$101,MATCH($B407,Raw_Customers!$A$2:$A$101,0))</f>
        <v>Aarush Balasubramanian</v>
      </c>
      <c r="D407" s="7" t="str">
        <f>TRIM(INDEX(Raw_Customers!$C$2:$C$101,MATCH($B407,Raw_Customers!$A$2:$A$101,0)))</f>
        <v>Imphal</v>
      </c>
      <c r="E407" s="7" t="str">
        <f>"+91-"&amp;RIGHT("0000000000"&amp;INDEX(Raw_Customers!$D$2:$D$101,MATCH($B407,Raw_Customers!$A$2:$A$101,0)),10)</f>
        <v>+91-1436426958</v>
      </c>
      <c r="F407" s="7" t="str">
        <f>Raw_Orders!C407</f>
        <v>55</v>
      </c>
      <c r="G407" s="7" t="str">
        <f>INDEX(Raw_Products!$B$2:$B$71,MATCH($F407,Raw_Products!$A$2:$A$71,0))</f>
        <v>Dolores Gift</v>
      </c>
      <c r="H407" s="7" t="str">
        <f>INDEX(Raw_Products!$C$2:$C$71,MATCH($F407,Raw_Products!$A$2:$A$71,0))</f>
        <v>Soft Toys</v>
      </c>
      <c r="I407" s="7">
        <f>VALUE(Raw_Orders!D407)</f>
        <v>4</v>
      </c>
      <c r="J407" s="11" t="str">
        <f>INDEX(Raw_Products!$D$2:$D$71,MATCH($F407,Raw_Products!$A$2:$A$71,0))</f>
        <v>1904</v>
      </c>
      <c r="K407" s="11">
        <f t="shared" si="12"/>
        <v>7616</v>
      </c>
      <c r="L407" s="12">
        <f>DATE(VALUE(RIGHT(Raw_Orders!E407,4)),VALUE(MID(Raw_Orders!E407,4,2)),VALUE(LEFT(Raw_Orders!E407,2)))</f>
        <v>45163</v>
      </c>
      <c r="M407" s="12">
        <f>DATE(VALUE(RIGHT(Raw_Orders!G407,4)),VALUE(MID(Raw_Orders!G407,4,2)),VALUE(LEFT(Raw_Orders!G407,2)))</f>
        <v>45171</v>
      </c>
      <c r="N407" s="7">
        <f t="shared" si="13"/>
        <v>8</v>
      </c>
      <c r="O407" s="7" t="str">
        <f>Raw_Orders!J407</f>
        <v>Raksha Bandhan</v>
      </c>
      <c r="P407" s="7" t="str">
        <f>Raw_Orders!I407</f>
        <v>Srikakulam</v>
      </c>
    </row>
    <row r="408" spans="1:16">
      <c r="A408" s="7" t="str">
        <f>Raw_Orders!A408</f>
        <v>407</v>
      </c>
      <c r="B408" s="7" t="str">
        <f>Raw_Orders!B408</f>
        <v>C074</v>
      </c>
      <c r="C408" s="7" t="str">
        <f>INDEX(Raw_Customers!$B$2:$B$101,MATCH($B408,Raw_Customers!$A$2:$A$101,0))</f>
        <v>Vanya Apte</v>
      </c>
      <c r="D408" s="7" t="str">
        <f>TRIM(INDEX(Raw_Customers!$C$2:$C$101,MATCH($B408,Raw_Customers!$A$2:$A$101,0)))</f>
        <v>Sultan Pur Majra</v>
      </c>
      <c r="E408" s="7" t="str">
        <f>"+91-"&amp;RIGHT("0000000000"&amp;INDEX(Raw_Customers!$D$2:$D$101,MATCH($B408,Raw_Customers!$A$2:$A$101,0)),10)</f>
        <v>+91-9182523205</v>
      </c>
      <c r="F408" s="7" t="str">
        <f>Raw_Orders!C408</f>
        <v>69</v>
      </c>
      <c r="G408" s="7" t="str">
        <f>INDEX(Raw_Products!$B$2:$B$71,MATCH($F408,Raw_Products!$A$2:$A$71,0))</f>
        <v>Id Box</v>
      </c>
      <c r="H408" s="7" t="str">
        <f>INDEX(Raw_Products!$C$2:$C$71,MATCH($F408,Raw_Products!$A$2:$A$71,0))</f>
        <v>Cake</v>
      </c>
      <c r="I408" s="7">
        <f>VALUE(Raw_Orders!D408)</f>
        <v>3</v>
      </c>
      <c r="J408" s="11" t="str">
        <f>INDEX(Raw_Products!$D$2:$D$71,MATCH($F408,Raw_Products!$A$2:$A$71,0))</f>
        <v>998</v>
      </c>
      <c r="K408" s="11">
        <f t="shared" si="12"/>
        <v>2994</v>
      </c>
      <c r="L408" s="12">
        <f>DATE(VALUE(RIGHT(Raw_Orders!E408,4)),VALUE(MID(Raw_Orders!E408,4,2)),VALUE(LEFT(Raw_Orders!E408,2)))</f>
        <v>44983</v>
      </c>
      <c r="M408" s="12">
        <f>DATE(VALUE(RIGHT(Raw_Orders!G408,4)),VALUE(MID(Raw_Orders!G408,4,2)),VALUE(LEFT(Raw_Orders!G408,2)))</f>
        <v>44985</v>
      </c>
      <c r="N408" s="7">
        <f t="shared" si="13"/>
        <v>2</v>
      </c>
      <c r="O408" s="7" t="str">
        <f>Raw_Orders!J408</f>
        <v>Holi</v>
      </c>
      <c r="P408" s="7" t="str">
        <f>Raw_Orders!I408</f>
        <v>Jamalpur</v>
      </c>
    </row>
    <row r="409" spans="1:16">
      <c r="A409" s="7" t="str">
        <f>Raw_Orders!A409</f>
        <v>408</v>
      </c>
      <c r="B409" s="7" t="str">
        <f>Raw_Orders!B409</f>
        <v>C063</v>
      </c>
      <c r="C409" s="7" t="str">
        <f>INDEX(Raw_Customers!$B$2:$B$101,MATCH($B409,Raw_Customers!$A$2:$A$101,0))</f>
        <v>Arhaan Ahluwalia</v>
      </c>
      <c r="D409" s="7" t="str">
        <f>TRIM(INDEX(Raw_Customers!$C$2:$C$101,MATCH($B409,Raw_Customers!$A$2:$A$101,0)))</f>
        <v>Jamnagar</v>
      </c>
      <c r="E409" s="7" t="str">
        <f>"+91-"&amp;RIGHT("0000000000"&amp;INDEX(Raw_Customers!$D$2:$D$101,MATCH($B409,Raw_Customers!$A$2:$A$101,0)),10)</f>
        <v>+91-5287021467</v>
      </c>
      <c r="F409" s="7" t="str">
        <f>Raw_Orders!C409</f>
        <v>31</v>
      </c>
      <c r="G409" s="7" t="str">
        <f>INDEX(Raw_Products!$B$2:$B$71,MATCH($F409,Raw_Products!$A$2:$A$71,0))</f>
        <v>Nihil Box</v>
      </c>
      <c r="H409" s="7" t="str">
        <f>INDEX(Raw_Products!$C$2:$C$71,MATCH($F409,Raw_Products!$A$2:$A$71,0))</f>
        <v>Colors</v>
      </c>
      <c r="I409" s="7">
        <f>VALUE(Raw_Orders!D409)</f>
        <v>2</v>
      </c>
      <c r="J409" s="11" t="str">
        <f>INDEX(Raw_Products!$D$2:$D$71,MATCH($F409,Raw_Products!$A$2:$A$71,0))</f>
        <v>1804</v>
      </c>
      <c r="K409" s="11">
        <f t="shared" si="12"/>
        <v>3608</v>
      </c>
      <c r="L409" s="12">
        <f>DATE(VALUE(RIGHT(Raw_Orders!E409,4)),VALUE(MID(Raw_Orders!E409,4,2)),VALUE(LEFT(Raw_Orders!E409,2)))</f>
        <v>44990</v>
      </c>
      <c r="M409" s="12">
        <f>DATE(VALUE(RIGHT(Raw_Orders!G409,4)),VALUE(MID(Raw_Orders!G409,4,2)),VALUE(LEFT(Raw_Orders!G409,2)))</f>
        <v>44996</v>
      </c>
      <c r="N409" s="7">
        <f t="shared" si="13"/>
        <v>6</v>
      </c>
      <c r="O409" s="7" t="str">
        <f>Raw_Orders!J409</f>
        <v>All Occasions</v>
      </c>
      <c r="P409" s="7" t="str">
        <f>Raw_Orders!I409</f>
        <v>Haldia</v>
      </c>
    </row>
    <row r="410" spans="1:16">
      <c r="A410" s="7" t="str">
        <f>Raw_Orders!A410</f>
        <v>409</v>
      </c>
      <c r="B410" s="7" t="str">
        <f>Raw_Orders!B410</f>
        <v>C049</v>
      </c>
      <c r="C410" s="7" t="str">
        <f>INDEX(Raw_Customers!$B$2:$B$101,MATCH($B410,Raw_Customers!$A$2:$A$101,0))</f>
        <v>Aarush Balasubramanian</v>
      </c>
      <c r="D410" s="7" t="str">
        <f>TRIM(INDEX(Raw_Customers!$C$2:$C$101,MATCH($B410,Raw_Customers!$A$2:$A$101,0)))</f>
        <v>Imphal</v>
      </c>
      <c r="E410" s="7" t="str">
        <f>"+91-"&amp;RIGHT("0000000000"&amp;INDEX(Raw_Customers!$D$2:$D$101,MATCH($B410,Raw_Customers!$A$2:$A$101,0)),10)</f>
        <v>+91-1436426958</v>
      </c>
      <c r="F410" s="7" t="str">
        <f>Raw_Orders!C410</f>
        <v>50</v>
      </c>
      <c r="G410" s="7" t="str">
        <f>INDEX(Raw_Products!$B$2:$B$71,MATCH($F410,Raw_Products!$A$2:$A$71,0))</f>
        <v>Eligendi Set</v>
      </c>
      <c r="H410" s="7" t="str">
        <f>INDEX(Raw_Products!$C$2:$C$71,MATCH($F410,Raw_Products!$A$2:$A$71,0))</f>
        <v>Plants</v>
      </c>
      <c r="I410" s="7">
        <f>VALUE(Raw_Orders!D410)</f>
        <v>4</v>
      </c>
      <c r="J410" s="11" t="str">
        <f>INDEX(Raw_Products!$D$2:$D$71,MATCH($F410,Raw_Products!$A$2:$A$71,0))</f>
        <v>422</v>
      </c>
      <c r="K410" s="11">
        <f t="shared" si="12"/>
        <v>1688</v>
      </c>
      <c r="L410" s="12">
        <f>DATE(VALUE(RIGHT(Raw_Orders!E410,4)),VALUE(MID(Raw_Orders!E410,4,2)),VALUE(LEFT(Raw_Orders!E410,2)))</f>
        <v>44983</v>
      </c>
      <c r="M410" s="12">
        <f>DATE(VALUE(RIGHT(Raw_Orders!G410,4)),VALUE(MID(Raw_Orders!G410,4,2)),VALUE(LEFT(Raw_Orders!G410,2)))</f>
        <v>44985</v>
      </c>
      <c r="N410" s="7">
        <f t="shared" si="13"/>
        <v>2</v>
      </c>
      <c r="O410" s="7" t="str">
        <f>Raw_Orders!J410</f>
        <v>Holi</v>
      </c>
      <c r="P410" s="7" t="str">
        <f>Raw_Orders!I410</f>
        <v>Khammam</v>
      </c>
    </row>
    <row r="411" spans="1:16">
      <c r="A411" s="7" t="str">
        <f>Raw_Orders!A411</f>
        <v>410</v>
      </c>
      <c r="B411" s="7" t="str">
        <f>Raw_Orders!B411</f>
        <v>C025</v>
      </c>
      <c r="C411" s="7" t="str">
        <f>INDEX(Raw_Customers!$B$2:$B$101,MATCH($B411,Raw_Customers!$A$2:$A$101,0))</f>
        <v>Ira Bava</v>
      </c>
      <c r="D411" s="7" t="str">
        <f>TRIM(INDEX(Raw_Customers!$C$2:$C$101,MATCH($B411,Raw_Customers!$A$2:$A$101,0)))</f>
        <v>Singrauli</v>
      </c>
      <c r="E411" s="7" t="str">
        <f>"+91-"&amp;RIGHT("0000000000"&amp;INDEX(Raw_Customers!$D$2:$D$101,MATCH($B411,Raw_Customers!$A$2:$A$101,0)),10)</f>
        <v>+91-7406193950</v>
      </c>
      <c r="F411" s="7" t="str">
        <f>Raw_Orders!C411</f>
        <v>24</v>
      </c>
      <c r="G411" s="7" t="str">
        <f>INDEX(Raw_Products!$B$2:$B$71,MATCH($F411,Raw_Products!$A$2:$A$71,0))</f>
        <v>Ad Box</v>
      </c>
      <c r="H411" s="7" t="str">
        <f>INDEX(Raw_Products!$C$2:$C$71,MATCH($F411,Raw_Products!$A$2:$A$71,0))</f>
        <v>Mugs</v>
      </c>
      <c r="I411" s="7">
        <f>VALUE(Raw_Orders!D411)</f>
        <v>1</v>
      </c>
      <c r="J411" s="11" t="str">
        <f>INDEX(Raw_Products!$D$2:$D$71,MATCH($F411,Raw_Products!$A$2:$A$71,0))</f>
        <v>535</v>
      </c>
      <c r="K411" s="11">
        <f t="shared" si="12"/>
        <v>535</v>
      </c>
      <c r="L411" s="12">
        <f>DATE(VALUE(RIGHT(Raw_Orders!E411,4)),VALUE(MID(Raw_Orders!E411,4,2)),VALUE(LEFT(Raw_Orders!E411,2)))</f>
        <v>44927</v>
      </c>
      <c r="M411" s="12">
        <f>DATE(VALUE(RIGHT(Raw_Orders!G411,4)),VALUE(MID(Raw_Orders!G411,4,2)),VALUE(LEFT(Raw_Orders!G411,2)))</f>
        <v>44928</v>
      </c>
      <c r="N411" s="7">
        <f t="shared" si="13"/>
        <v>1</v>
      </c>
      <c r="O411" s="7" t="str">
        <f>Raw_Orders!J411</f>
        <v>Birthday</v>
      </c>
      <c r="P411" s="7" t="str">
        <f>Raw_Orders!I411</f>
        <v>Surendranagar Dudhrej</v>
      </c>
    </row>
    <row r="412" spans="1:16">
      <c r="A412" s="7" t="str">
        <f>Raw_Orders!A412</f>
        <v>411</v>
      </c>
      <c r="B412" s="7" t="str">
        <f>Raw_Orders!B412</f>
        <v>C006</v>
      </c>
      <c r="C412" s="7" t="str">
        <f>INDEX(Raw_Customers!$B$2:$B$101,MATCH($B412,Raw_Customers!$A$2:$A$101,0))</f>
        <v>Rania Mann</v>
      </c>
      <c r="D412" s="7" t="str">
        <f>TRIM(INDEX(Raw_Customers!$C$2:$C$101,MATCH($B412,Raw_Customers!$A$2:$A$101,0)))</f>
        <v>Karimnagar</v>
      </c>
      <c r="E412" s="7" t="str">
        <f>"+91-"&amp;RIGHT("0000000000"&amp;INDEX(Raw_Customers!$D$2:$D$101,MATCH($B412,Raw_Customers!$A$2:$A$101,0)),10)</f>
        <v>+91-9363577179</v>
      </c>
      <c r="F412" s="7" t="str">
        <f>Raw_Orders!C412</f>
        <v>48</v>
      </c>
      <c r="G412" s="7" t="str">
        <f>INDEX(Raw_Products!$B$2:$B$71,MATCH($F412,Raw_Products!$A$2:$A$71,0))</f>
        <v>Maiores Gift</v>
      </c>
      <c r="H412" s="7" t="str">
        <f>INDEX(Raw_Products!$C$2:$C$71,MATCH($F412,Raw_Products!$A$2:$A$71,0))</f>
        <v>Colors</v>
      </c>
      <c r="I412" s="7">
        <f>VALUE(Raw_Orders!D412)</f>
        <v>1</v>
      </c>
      <c r="J412" s="11" t="str">
        <f>INDEX(Raw_Products!$D$2:$D$71,MATCH($F412,Raw_Products!$A$2:$A$71,0))</f>
        <v>433</v>
      </c>
      <c r="K412" s="11">
        <f t="shared" si="12"/>
        <v>433</v>
      </c>
      <c r="L412" s="12">
        <f>DATE(VALUE(RIGHT(Raw_Orders!E412,4)),VALUE(MID(Raw_Orders!E412,4,2)),VALUE(LEFT(Raw_Orders!E412,2)))</f>
        <v>45235</v>
      </c>
      <c r="M412" s="12">
        <f>DATE(VALUE(RIGHT(Raw_Orders!G412,4)),VALUE(MID(Raw_Orders!G412,4,2)),VALUE(LEFT(Raw_Orders!G412,2)))</f>
        <v>45238</v>
      </c>
      <c r="N412" s="7">
        <f t="shared" si="13"/>
        <v>3</v>
      </c>
      <c r="O412" s="7" t="str">
        <f>Raw_Orders!J412</f>
        <v>Diwali</v>
      </c>
      <c r="P412" s="7" t="str">
        <f>Raw_Orders!I412</f>
        <v>Nadiad</v>
      </c>
    </row>
    <row r="413" spans="1:16">
      <c r="A413" s="7" t="str">
        <f>Raw_Orders!A413</f>
        <v>412</v>
      </c>
      <c r="B413" s="7" t="str">
        <f>Raw_Orders!B413</f>
        <v>C081</v>
      </c>
      <c r="C413" s="7" t="str">
        <f>INDEX(Raw_Customers!$B$2:$B$101,MATCH($B413,Raw_Customers!$A$2:$A$101,0))</f>
        <v>Kaira Ramachandran</v>
      </c>
      <c r="D413" s="7" t="str">
        <f>TRIM(INDEX(Raw_Customers!$C$2:$C$101,MATCH($B413,Raw_Customers!$A$2:$A$101,0)))</f>
        <v>Ratlam</v>
      </c>
      <c r="E413" s="7" t="str">
        <f>"+91-"&amp;RIGHT("0000000000"&amp;INDEX(Raw_Customers!$D$2:$D$101,MATCH($B413,Raw_Customers!$A$2:$A$101,0)),10)</f>
        <v>+91-4987395025</v>
      </c>
      <c r="F413" s="7" t="str">
        <f>Raw_Orders!C413</f>
        <v>67</v>
      </c>
      <c r="G413" s="7" t="str">
        <f>INDEX(Raw_Products!$B$2:$B$71,MATCH($F413,Raw_Products!$A$2:$A$71,0))</f>
        <v>Maiores Box</v>
      </c>
      <c r="H413" s="7" t="str">
        <f>INDEX(Raw_Products!$C$2:$C$71,MATCH($F413,Raw_Products!$A$2:$A$71,0))</f>
        <v>Raksha Bandhan</v>
      </c>
      <c r="I413" s="7">
        <f>VALUE(Raw_Orders!D413)</f>
        <v>2</v>
      </c>
      <c r="J413" s="11" t="str">
        <f>INDEX(Raw_Products!$D$2:$D$71,MATCH($F413,Raw_Products!$A$2:$A$71,0))</f>
        <v>1374</v>
      </c>
      <c r="K413" s="11">
        <f t="shared" si="12"/>
        <v>2748</v>
      </c>
      <c r="L413" s="12">
        <f>DATE(VALUE(RIGHT(Raw_Orders!E413,4)),VALUE(MID(Raw_Orders!E413,4,2)),VALUE(LEFT(Raw_Orders!E413,2)))</f>
        <v>45227</v>
      </c>
      <c r="M413" s="12">
        <f>DATE(VALUE(RIGHT(Raw_Orders!G413,4)),VALUE(MID(Raw_Orders!G413,4,2)),VALUE(LEFT(Raw_Orders!G413,2)))</f>
        <v>45230</v>
      </c>
      <c r="N413" s="7">
        <f t="shared" si="13"/>
        <v>3</v>
      </c>
      <c r="O413" s="7" t="str">
        <f>Raw_Orders!J413</f>
        <v>Anniversary</v>
      </c>
      <c r="P413" s="7" t="str">
        <f>Raw_Orders!I413</f>
        <v>Maheshtala</v>
      </c>
    </row>
    <row r="414" spans="1:16">
      <c r="A414" s="7" t="str">
        <f>Raw_Orders!A414</f>
        <v>413</v>
      </c>
      <c r="B414" s="7" t="str">
        <f>Raw_Orders!B414</f>
        <v>C050</v>
      </c>
      <c r="C414" s="7" t="str">
        <f>INDEX(Raw_Customers!$B$2:$B$101,MATCH($B414,Raw_Customers!$A$2:$A$101,0))</f>
        <v>Chirag Srinivas</v>
      </c>
      <c r="D414" s="7" t="str">
        <f>TRIM(INDEX(Raw_Customers!$C$2:$C$101,MATCH($B414,Raw_Customers!$A$2:$A$101,0)))</f>
        <v>Imphal</v>
      </c>
      <c r="E414" s="7" t="str">
        <f>"+91-"&amp;RIGHT("0000000000"&amp;INDEX(Raw_Customers!$D$2:$D$101,MATCH($B414,Raw_Customers!$A$2:$A$101,0)),10)</f>
        <v>+91-1157961919</v>
      </c>
      <c r="F414" s="7" t="str">
        <f>Raw_Orders!C414</f>
        <v>59</v>
      </c>
      <c r="G414" s="7" t="str">
        <f>INDEX(Raw_Products!$B$2:$B$71,MATCH($F414,Raw_Products!$A$2:$A$71,0))</f>
        <v>Pariatur Box</v>
      </c>
      <c r="H414" s="7" t="str">
        <f>INDEX(Raw_Products!$C$2:$C$71,MATCH($F414,Raw_Products!$A$2:$A$71,0))</f>
        <v>Cake</v>
      </c>
      <c r="I414" s="7">
        <f>VALUE(Raw_Orders!D414)</f>
        <v>5</v>
      </c>
      <c r="J414" s="11" t="str">
        <f>INDEX(Raw_Products!$D$2:$D$71,MATCH($F414,Raw_Products!$A$2:$A$71,0))</f>
        <v>811</v>
      </c>
      <c r="K414" s="11">
        <f t="shared" si="12"/>
        <v>4055</v>
      </c>
      <c r="L414" s="12">
        <f>DATE(VALUE(RIGHT(Raw_Orders!E414,4)),VALUE(MID(Raw_Orders!E414,4,2)),VALUE(LEFT(Raw_Orders!E414,2)))</f>
        <v>45160</v>
      </c>
      <c r="M414" s="12">
        <f>DATE(VALUE(RIGHT(Raw_Orders!G414,4)),VALUE(MID(Raw_Orders!G414,4,2)),VALUE(LEFT(Raw_Orders!G414,2)))</f>
        <v>45168</v>
      </c>
      <c r="N414" s="7">
        <f t="shared" si="13"/>
        <v>8</v>
      </c>
      <c r="O414" s="7" t="str">
        <f>Raw_Orders!J414</f>
        <v>Raksha Bandhan</v>
      </c>
      <c r="P414" s="7" t="str">
        <f>Raw_Orders!I414</f>
        <v>Amritsar</v>
      </c>
    </row>
    <row r="415" spans="1:16">
      <c r="A415" s="7" t="str">
        <f>Raw_Orders!A415</f>
        <v>414</v>
      </c>
      <c r="B415" s="7" t="str">
        <f>Raw_Orders!B415</f>
        <v>C034</v>
      </c>
      <c r="C415" s="7" t="str">
        <f>INDEX(Raw_Customers!$B$2:$B$101,MATCH($B415,Raw_Customers!$A$2:$A$101,0))</f>
        <v>Hridaan Sood</v>
      </c>
      <c r="D415" s="7" t="str">
        <f>TRIM(INDEX(Raw_Customers!$C$2:$C$101,MATCH($B415,Raw_Customers!$A$2:$A$101,0)))</f>
        <v>Bhatpara</v>
      </c>
      <c r="E415" s="7" t="str">
        <f>"+91-"&amp;RIGHT("0000000000"&amp;INDEX(Raw_Customers!$D$2:$D$101,MATCH($B415,Raw_Customers!$A$2:$A$101,0)),10)</f>
        <v>+91-6652710577</v>
      </c>
      <c r="F415" s="7" t="str">
        <f>Raw_Orders!C415</f>
        <v>7</v>
      </c>
      <c r="G415" s="7" t="str">
        <f>INDEX(Raw_Products!$B$2:$B$71,MATCH($F415,Raw_Products!$A$2:$A$71,0))</f>
        <v>Quos Set</v>
      </c>
      <c r="H415" s="7" t="str">
        <f>INDEX(Raw_Products!$C$2:$C$71,MATCH($F415,Raw_Products!$A$2:$A$71,0))</f>
        <v>Soft Toys</v>
      </c>
      <c r="I415" s="7">
        <f>VALUE(Raw_Orders!D415)</f>
        <v>4</v>
      </c>
      <c r="J415" s="11" t="str">
        <f>INDEX(Raw_Products!$D$2:$D$71,MATCH($F415,Raw_Products!$A$2:$A$71,0))</f>
        <v>409</v>
      </c>
      <c r="K415" s="11">
        <f t="shared" si="12"/>
        <v>1636</v>
      </c>
      <c r="L415" s="12">
        <f>DATE(VALUE(RIGHT(Raw_Orders!E415,4)),VALUE(MID(Raw_Orders!E415,4,2)),VALUE(LEFT(Raw_Orders!E415,2)))</f>
        <v>44985</v>
      </c>
      <c r="M415" s="12">
        <f>DATE(VALUE(RIGHT(Raw_Orders!G415,4)),VALUE(MID(Raw_Orders!G415,4,2)),VALUE(LEFT(Raw_Orders!G415,2)))</f>
        <v>44992</v>
      </c>
      <c r="N415" s="7">
        <f t="shared" si="13"/>
        <v>7</v>
      </c>
      <c r="O415" s="7" t="str">
        <f>Raw_Orders!J415</f>
        <v>Holi</v>
      </c>
      <c r="P415" s="7" t="str">
        <f>Raw_Orders!I415</f>
        <v>Raurkela Industrial Township</v>
      </c>
    </row>
    <row r="416" spans="1:16">
      <c r="A416" s="7" t="str">
        <f>Raw_Orders!A416</f>
        <v>415</v>
      </c>
      <c r="B416" s="7" t="str">
        <f>Raw_Orders!B416</f>
        <v>C065</v>
      </c>
      <c r="C416" s="7" t="str">
        <f>INDEX(Raw_Customers!$B$2:$B$101,MATCH($B416,Raw_Customers!$A$2:$A$101,0))</f>
        <v>Badal Vora</v>
      </c>
      <c r="D416" s="7" t="str">
        <f>TRIM(INDEX(Raw_Customers!$C$2:$C$101,MATCH($B416,Raw_Customers!$A$2:$A$101,0)))</f>
        <v>North Dumdum</v>
      </c>
      <c r="E416" s="7" t="str">
        <f>"+91-"&amp;RIGHT("0000000000"&amp;INDEX(Raw_Customers!$D$2:$D$101,MATCH($B416,Raw_Customers!$A$2:$A$101,0)),10)</f>
        <v>+91-9753056313</v>
      </c>
      <c r="F416" s="7" t="str">
        <f>Raw_Orders!C416</f>
        <v>14</v>
      </c>
      <c r="G416" s="7" t="str">
        <f>INDEX(Raw_Products!$B$2:$B$71,MATCH($F416,Raw_Products!$A$2:$A$71,0))</f>
        <v>Deserunt Box</v>
      </c>
      <c r="H416" s="7" t="str">
        <f>INDEX(Raw_Products!$C$2:$C$71,MATCH($F416,Raw_Products!$A$2:$A$71,0))</f>
        <v>Colors</v>
      </c>
      <c r="I416" s="7">
        <f>VALUE(Raw_Orders!D416)</f>
        <v>4</v>
      </c>
      <c r="J416" s="11" t="str">
        <f>INDEX(Raw_Products!$D$2:$D$71,MATCH($F416,Raw_Products!$A$2:$A$71,0))</f>
        <v>1915</v>
      </c>
      <c r="K416" s="11">
        <f t="shared" si="12"/>
        <v>7660</v>
      </c>
      <c r="L416" s="12">
        <f>DATE(VALUE(RIGHT(Raw_Orders!E416,4)),VALUE(MID(Raw_Orders!E416,4,2)),VALUE(LEFT(Raw_Orders!E416,2)))</f>
        <v>45085</v>
      </c>
      <c r="M416" s="12">
        <f>DATE(VALUE(RIGHT(Raw_Orders!G416,4)),VALUE(MID(Raw_Orders!G416,4,2)),VALUE(LEFT(Raw_Orders!G416,2)))</f>
        <v>45087</v>
      </c>
      <c r="N416" s="7">
        <f t="shared" si="13"/>
        <v>2</v>
      </c>
      <c r="O416" s="7" t="str">
        <f>Raw_Orders!J416</f>
        <v>Birthday</v>
      </c>
      <c r="P416" s="7" t="str">
        <f>Raw_Orders!I416</f>
        <v>Hajipur</v>
      </c>
    </row>
    <row r="417" spans="1:16">
      <c r="A417" s="7" t="str">
        <f>Raw_Orders!A417</f>
        <v>416</v>
      </c>
      <c r="B417" s="7" t="str">
        <f>Raw_Orders!B417</f>
        <v>C006</v>
      </c>
      <c r="C417" s="7" t="str">
        <f>INDEX(Raw_Customers!$B$2:$B$101,MATCH($B417,Raw_Customers!$A$2:$A$101,0))</f>
        <v>Rania Mann</v>
      </c>
      <c r="D417" s="7" t="str">
        <f>TRIM(INDEX(Raw_Customers!$C$2:$C$101,MATCH($B417,Raw_Customers!$A$2:$A$101,0)))</f>
        <v>Karimnagar</v>
      </c>
      <c r="E417" s="7" t="str">
        <f>"+91-"&amp;RIGHT("0000000000"&amp;INDEX(Raw_Customers!$D$2:$D$101,MATCH($B417,Raw_Customers!$A$2:$A$101,0)),10)</f>
        <v>+91-9363577179</v>
      </c>
      <c r="F417" s="7" t="str">
        <f>Raw_Orders!C417</f>
        <v>58</v>
      </c>
      <c r="G417" s="7" t="str">
        <f>INDEX(Raw_Products!$B$2:$B$71,MATCH($F417,Raw_Products!$A$2:$A$71,0))</f>
        <v>Sed Pack</v>
      </c>
      <c r="H417" s="7" t="str">
        <f>INDEX(Raw_Products!$C$2:$C$71,MATCH($F417,Raw_Products!$A$2:$A$71,0))</f>
        <v>Cake</v>
      </c>
      <c r="I417" s="7">
        <f>VALUE(Raw_Orders!D417)</f>
        <v>5</v>
      </c>
      <c r="J417" s="11" t="str">
        <f>INDEX(Raw_Products!$D$2:$D$71,MATCH($F417,Raw_Products!$A$2:$A$71,0))</f>
        <v>1492</v>
      </c>
      <c r="K417" s="11">
        <f t="shared" si="12"/>
        <v>7460</v>
      </c>
      <c r="L417" s="12">
        <f>DATE(VALUE(RIGHT(Raw_Orders!E417,4)),VALUE(MID(Raw_Orders!E417,4,2)),VALUE(LEFT(Raw_Orders!E417,2)))</f>
        <v>44969</v>
      </c>
      <c r="M417" s="12">
        <f>DATE(VALUE(RIGHT(Raw_Orders!G417,4)),VALUE(MID(Raw_Orders!G417,4,2)),VALUE(LEFT(Raw_Orders!G417,2)))</f>
        <v>44974</v>
      </c>
      <c r="N417" s="7">
        <f t="shared" si="13"/>
        <v>5</v>
      </c>
      <c r="O417" s="7" t="str">
        <f>Raw_Orders!J417</f>
        <v>Valentine's Day</v>
      </c>
      <c r="P417" s="7" t="str">
        <f>Raw_Orders!I417</f>
        <v>Saharanpur</v>
      </c>
    </row>
    <row r="418" spans="1:16">
      <c r="A418" s="7" t="str">
        <f>Raw_Orders!A418</f>
        <v>417</v>
      </c>
      <c r="B418" s="7" t="str">
        <f>Raw_Orders!B418</f>
        <v>C004</v>
      </c>
      <c r="C418" s="7" t="str">
        <f>INDEX(Raw_Customers!$B$2:$B$101,MATCH($B418,Raw_Customers!$A$2:$A$101,0))</f>
        <v>Tarini Bava</v>
      </c>
      <c r="D418" s="7" t="str">
        <f>TRIM(INDEX(Raw_Customers!$C$2:$C$101,MATCH($B418,Raw_Customers!$A$2:$A$101,0)))</f>
        <v>Miryalaguda</v>
      </c>
      <c r="E418" s="7" t="str">
        <f>"+91-"&amp;RIGHT("0000000000"&amp;INDEX(Raw_Customers!$D$2:$D$101,MATCH($B418,Raw_Customers!$A$2:$A$101,0)),10)</f>
        <v>+91-7232349928</v>
      </c>
      <c r="F418" s="7" t="str">
        <f>Raw_Orders!C418</f>
        <v>62</v>
      </c>
      <c r="G418" s="7" t="str">
        <f>INDEX(Raw_Products!$B$2:$B$71,MATCH($F418,Raw_Products!$A$2:$A$71,0))</f>
        <v>Sed Set</v>
      </c>
      <c r="H418" s="7" t="str">
        <f>INDEX(Raw_Products!$C$2:$C$71,MATCH($F418,Raw_Products!$A$2:$A$71,0))</f>
        <v>Colors</v>
      </c>
      <c r="I418" s="7">
        <f>VALUE(Raw_Orders!D418)</f>
        <v>4</v>
      </c>
      <c r="J418" s="11" t="str">
        <f>INDEX(Raw_Products!$D$2:$D$71,MATCH($F418,Raw_Products!$A$2:$A$71,0))</f>
        <v>1356</v>
      </c>
      <c r="K418" s="11">
        <f t="shared" si="12"/>
        <v>5424</v>
      </c>
      <c r="L418" s="12">
        <f>DATE(VALUE(RIGHT(Raw_Orders!E418,4)),VALUE(MID(Raw_Orders!E418,4,2)),VALUE(LEFT(Raw_Orders!E418,2)))</f>
        <v>44992</v>
      </c>
      <c r="M418" s="12">
        <f>DATE(VALUE(RIGHT(Raw_Orders!G418,4)),VALUE(MID(Raw_Orders!G418,4,2)),VALUE(LEFT(Raw_Orders!G418,2)))</f>
        <v>44996</v>
      </c>
      <c r="N418" s="7">
        <f t="shared" si="13"/>
        <v>4</v>
      </c>
      <c r="O418" s="7" t="str">
        <f>Raw_Orders!J418</f>
        <v>Holi</v>
      </c>
      <c r="P418" s="7" t="str">
        <f>Raw_Orders!I418</f>
        <v>Khammam</v>
      </c>
    </row>
    <row r="419" spans="1:16">
      <c r="A419" s="7" t="str">
        <f>Raw_Orders!A419</f>
        <v>418</v>
      </c>
      <c r="B419" s="7" t="str">
        <f>Raw_Orders!B419</f>
        <v>C069</v>
      </c>
      <c r="C419" s="7" t="str">
        <f>INDEX(Raw_Customers!$B$2:$B$101,MATCH($B419,Raw_Customers!$A$2:$A$101,0))</f>
        <v>Hunar Tripathi</v>
      </c>
      <c r="D419" s="7" t="str">
        <f>TRIM(INDEX(Raw_Customers!$C$2:$C$101,MATCH($B419,Raw_Customers!$A$2:$A$101,0)))</f>
        <v>Madhyamgram</v>
      </c>
      <c r="E419" s="7" t="str">
        <f>"+91-"&amp;RIGHT("0000000000"&amp;INDEX(Raw_Customers!$D$2:$D$101,MATCH($B419,Raw_Customers!$A$2:$A$101,0)),10)</f>
        <v>+91-1440411271</v>
      </c>
      <c r="F419" s="7" t="str">
        <f>Raw_Orders!C419</f>
        <v>64</v>
      </c>
      <c r="G419" s="7" t="str">
        <f>INDEX(Raw_Products!$B$2:$B$71,MATCH($F419,Raw_Products!$A$2:$A$71,0))</f>
        <v>Nostrum Box</v>
      </c>
      <c r="H419" s="7" t="str">
        <f>INDEX(Raw_Products!$C$2:$C$71,MATCH($F419,Raw_Products!$A$2:$A$71,0))</f>
        <v>Soft Toys</v>
      </c>
      <c r="I419" s="7">
        <f>VALUE(Raw_Orders!D419)</f>
        <v>3</v>
      </c>
      <c r="J419" s="11" t="str">
        <f>INDEX(Raw_Products!$D$2:$D$71,MATCH($F419,Raw_Products!$A$2:$A$71,0))</f>
        <v>1878</v>
      </c>
      <c r="K419" s="11">
        <f t="shared" si="12"/>
        <v>5634</v>
      </c>
      <c r="L419" s="12">
        <f>DATE(VALUE(RIGHT(Raw_Orders!E419,4)),VALUE(MID(Raw_Orders!E419,4,2)),VALUE(LEFT(Raw_Orders!E419,2)))</f>
        <v>45162</v>
      </c>
      <c r="M419" s="12">
        <f>DATE(VALUE(RIGHT(Raw_Orders!G419,4)),VALUE(MID(Raw_Orders!G419,4,2)),VALUE(LEFT(Raw_Orders!G419,2)))</f>
        <v>45170</v>
      </c>
      <c r="N419" s="7">
        <f t="shared" si="13"/>
        <v>8</v>
      </c>
      <c r="O419" s="7" t="str">
        <f>Raw_Orders!J419</f>
        <v>Raksha Bandhan</v>
      </c>
      <c r="P419" s="7" t="str">
        <f>Raw_Orders!I419</f>
        <v>Karimnagar</v>
      </c>
    </row>
    <row r="420" spans="1:16">
      <c r="A420" s="7" t="str">
        <f>Raw_Orders!A420</f>
        <v>419</v>
      </c>
      <c r="B420" s="7" t="str">
        <f>Raw_Orders!B420</f>
        <v>C065</v>
      </c>
      <c r="C420" s="7" t="str">
        <f>INDEX(Raw_Customers!$B$2:$B$101,MATCH($B420,Raw_Customers!$A$2:$A$101,0))</f>
        <v>Badal Vora</v>
      </c>
      <c r="D420" s="7" t="str">
        <f>TRIM(INDEX(Raw_Customers!$C$2:$C$101,MATCH($B420,Raw_Customers!$A$2:$A$101,0)))</f>
        <v>North Dumdum</v>
      </c>
      <c r="E420" s="7" t="str">
        <f>"+91-"&amp;RIGHT("0000000000"&amp;INDEX(Raw_Customers!$D$2:$D$101,MATCH($B420,Raw_Customers!$A$2:$A$101,0)),10)</f>
        <v>+91-9753056313</v>
      </c>
      <c r="F420" s="7" t="str">
        <f>Raw_Orders!C420</f>
        <v>47</v>
      </c>
      <c r="G420" s="7" t="str">
        <f>INDEX(Raw_Products!$B$2:$B$71,MATCH($F420,Raw_Products!$A$2:$A$71,0))</f>
        <v>Harum Pack</v>
      </c>
      <c r="H420" s="7" t="str">
        <f>INDEX(Raw_Products!$C$2:$C$71,MATCH($F420,Raw_Products!$A$2:$A$71,0))</f>
        <v>Colors</v>
      </c>
      <c r="I420" s="7">
        <f>VALUE(Raw_Orders!D420)</f>
        <v>3</v>
      </c>
      <c r="J420" s="11" t="str">
        <f>INDEX(Raw_Products!$D$2:$D$71,MATCH($F420,Raw_Products!$A$2:$A$71,0))</f>
        <v>1638</v>
      </c>
      <c r="K420" s="11">
        <f t="shared" si="12"/>
        <v>4914</v>
      </c>
      <c r="L420" s="12">
        <f>DATE(VALUE(RIGHT(Raw_Orders!E420,4)),VALUE(MID(Raw_Orders!E420,4,2)),VALUE(LEFT(Raw_Orders!E420,2)))</f>
        <v>44990</v>
      </c>
      <c r="M420" s="12">
        <f>DATE(VALUE(RIGHT(Raw_Orders!G420,4)),VALUE(MID(Raw_Orders!G420,4,2)),VALUE(LEFT(Raw_Orders!G420,2)))</f>
        <v>44996</v>
      </c>
      <c r="N420" s="7">
        <f t="shared" si="13"/>
        <v>6</v>
      </c>
      <c r="O420" s="7" t="str">
        <f>Raw_Orders!J420</f>
        <v>Holi</v>
      </c>
      <c r="P420" s="7" t="str">
        <f>Raw_Orders!I420</f>
        <v>Agartala</v>
      </c>
    </row>
    <row r="421" spans="1:16">
      <c r="A421" s="7" t="str">
        <f>Raw_Orders!A421</f>
        <v>420</v>
      </c>
      <c r="B421" s="7" t="str">
        <f>Raw_Orders!B421</f>
        <v>C039</v>
      </c>
      <c r="C421" s="7" t="str">
        <f>INDEX(Raw_Customers!$B$2:$B$101,MATCH($B421,Raw_Customers!$A$2:$A$101,0))</f>
        <v>Kaira Bahl</v>
      </c>
      <c r="D421" s="7" t="str">
        <f>TRIM(INDEX(Raw_Customers!$C$2:$C$101,MATCH($B421,Raw_Customers!$A$2:$A$101,0)))</f>
        <v>Kamarhati</v>
      </c>
      <c r="E421" s="7" t="str">
        <f>"+91-"&amp;RIGHT("0000000000"&amp;INDEX(Raw_Customers!$D$2:$D$101,MATCH($B421,Raw_Customers!$A$2:$A$101,0)),10)</f>
        <v>+91-8804850295</v>
      </c>
      <c r="F421" s="7" t="str">
        <f>Raw_Orders!C421</f>
        <v>6</v>
      </c>
      <c r="G421" s="7" t="str">
        <f>INDEX(Raw_Products!$B$2:$B$71,MATCH($F421,Raw_Products!$A$2:$A$71,0))</f>
        <v>Quos Box</v>
      </c>
      <c r="H421" s="7" t="str">
        <f>INDEX(Raw_Products!$C$2:$C$71,MATCH($F421,Raw_Products!$A$2:$A$71,0))</f>
        <v>Cake</v>
      </c>
      <c r="I421" s="7">
        <f>VALUE(Raw_Orders!D421)</f>
        <v>3</v>
      </c>
      <c r="J421" s="11" t="str">
        <f>INDEX(Raw_Products!$D$2:$D$71,MATCH($F421,Raw_Products!$A$2:$A$71,0))</f>
        <v>1112</v>
      </c>
      <c r="K421" s="11">
        <f t="shared" si="12"/>
        <v>3336</v>
      </c>
      <c r="L421" s="12">
        <f>DATE(VALUE(RIGHT(Raw_Orders!E421,4)),VALUE(MID(Raw_Orders!E421,4,2)),VALUE(LEFT(Raw_Orders!E421,2)))</f>
        <v>44984</v>
      </c>
      <c r="M421" s="12">
        <f>DATE(VALUE(RIGHT(Raw_Orders!G421,4)),VALUE(MID(Raw_Orders!G421,4,2)),VALUE(LEFT(Raw_Orders!G421,2)))</f>
        <v>44985</v>
      </c>
      <c r="N421" s="7">
        <f t="shared" si="13"/>
        <v>1</v>
      </c>
      <c r="O421" s="7" t="str">
        <f>Raw_Orders!J421</f>
        <v>Holi</v>
      </c>
      <c r="P421" s="7" t="str">
        <f>Raw_Orders!I421</f>
        <v>Kota</v>
      </c>
    </row>
    <row r="422" spans="1:16">
      <c r="A422" s="7" t="str">
        <f>Raw_Orders!A422</f>
        <v>421</v>
      </c>
      <c r="B422" s="7" t="str">
        <f>Raw_Orders!B422</f>
        <v>C066</v>
      </c>
      <c r="C422" s="7" t="str">
        <f>INDEX(Raw_Customers!$B$2:$B$101,MATCH($B422,Raw_Customers!$A$2:$A$101,0))</f>
        <v>Eshani Buch</v>
      </c>
      <c r="D422" s="7" t="str">
        <f>TRIM(INDEX(Raw_Customers!$C$2:$C$101,MATCH($B422,Raw_Customers!$A$2:$A$101,0)))</f>
        <v>Malegaon</v>
      </c>
      <c r="E422" s="7" t="str">
        <f>"+91-"&amp;RIGHT("0000000000"&amp;INDEX(Raw_Customers!$D$2:$D$101,MATCH($B422,Raw_Customers!$A$2:$A$101,0)),10)</f>
        <v>+91-7436178055</v>
      </c>
      <c r="F422" s="7" t="str">
        <f>Raw_Orders!C422</f>
        <v>38</v>
      </c>
      <c r="G422" s="7" t="str">
        <f>INDEX(Raw_Products!$B$2:$B$71,MATCH($F422,Raw_Products!$A$2:$A$71,0))</f>
        <v>Mollitia Set</v>
      </c>
      <c r="H422" s="7" t="str">
        <f>INDEX(Raw_Products!$C$2:$C$71,MATCH($F422,Raw_Products!$A$2:$A$71,0))</f>
        <v>Cake</v>
      </c>
      <c r="I422" s="7">
        <f>VALUE(Raw_Orders!D422)</f>
        <v>4</v>
      </c>
      <c r="J422" s="11" t="str">
        <f>INDEX(Raw_Products!$D$2:$D$71,MATCH($F422,Raw_Products!$A$2:$A$71,0))</f>
        <v>562</v>
      </c>
      <c r="K422" s="11">
        <f t="shared" si="12"/>
        <v>2248</v>
      </c>
      <c r="L422" s="12">
        <f>DATE(VALUE(RIGHT(Raw_Orders!E422,4)),VALUE(MID(Raw_Orders!E422,4,2)),VALUE(LEFT(Raw_Orders!E422,2)))</f>
        <v>45146</v>
      </c>
      <c r="M422" s="12">
        <f>DATE(VALUE(RIGHT(Raw_Orders!G422,4)),VALUE(MID(Raw_Orders!G422,4,2)),VALUE(LEFT(Raw_Orders!G422,2)))</f>
        <v>45150</v>
      </c>
      <c r="N422" s="7">
        <f t="shared" si="13"/>
        <v>4</v>
      </c>
      <c r="O422" s="7" t="str">
        <f>Raw_Orders!J422</f>
        <v>Birthday</v>
      </c>
      <c r="P422" s="7" t="str">
        <f>Raw_Orders!I422</f>
        <v>Serampore</v>
      </c>
    </row>
    <row r="423" spans="1:16">
      <c r="A423" s="7" t="str">
        <f>Raw_Orders!A423</f>
        <v>422</v>
      </c>
      <c r="B423" s="7" t="str">
        <f>Raw_Orders!B423</f>
        <v>C044</v>
      </c>
      <c r="C423" s="7" t="str">
        <f>INDEX(Raw_Customers!$B$2:$B$101,MATCH($B423,Raw_Customers!$A$2:$A$101,0))</f>
        <v>Seher Mann</v>
      </c>
      <c r="D423" s="7" t="str">
        <f>TRIM(INDEX(Raw_Customers!$C$2:$C$101,MATCH($B423,Raw_Customers!$A$2:$A$101,0)))</f>
        <v>Agra</v>
      </c>
      <c r="E423" s="7" t="str">
        <f>"+91-"&amp;RIGHT("0000000000"&amp;INDEX(Raw_Customers!$D$2:$D$101,MATCH($B423,Raw_Customers!$A$2:$A$101,0)),10)</f>
        <v>+91-9843970658</v>
      </c>
      <c r="F423" s="7" t="str">
        <f>Raw_Orders!C423</f>
        <v>53</v>
      </c>
      <c r="G423" s="7" t="str">
        <f>INDEX(Raw_Products!$B$2:$B$71,MATCH($F423,Raw_Products!$A$2:$A$71,0))</f>
        <v>Ipsam Set</v>
      </c>
      <c r="H423" s="7" t="str">
        <f>INDEX(Raw_Products!$C$2:$C$71,MATCH($F423,Raw_Products!$A$2:$A$71,0))</f>
        <v>Sweets</v>
      </c>
      <c r="I423" s="7">
        <f>VALUE(Raw_Orders!D423)</f>
        <v>2</v>
      </c>
      <c r="J423" s="11" t="str">
        <f>INDEX(Raw_Products!$D$2:$D$71,MATCH($F423,Raw_Products!$A$2:$A$71,0))</f>
        <v>1672</v>
      </c>
      <c r="K423" s="11">
        <f t="shared" si="12"/>
        <v>3344</v>
      </c>
      <c r="L423" s="12">
        <f>DATE(VALUE(RIGHT(Raw_Orders!E423,4)),VALUE(MID(Raw_Orders!E423,4,2)),VALUE(LEFT(Raw_Orders!E423,2)))</f>
        <v>45158</v>
      </c>
      <c r="M423" s="12">
        <f>DATE(VALUE(RIGHT(Raw_Orders!G423,4)),VALUE(MID(Raw_Orders!G423,4,2)),VALUE(LEFT(Raw_Orders!G423,2)))</f>
        <v>45167</v>
      </c>
      <c r="N423" s="7">
        <f t="shared" si="13"/>
        <v>9</v>
      </c>
      <c r="O423" s="7" t="str">
        <f>Raw_Orders!J423</f>
        <v>Raksha Bandhan</v>
      </c>
      <c r="P423" s="7" t="str">
        <f>Raw_Orders!I423</f>
        <v>Eluru</v>
      </c>
    </row>
    <row r="424" spans="1:16">
      <c r="A424" s="7" t="str">
        <f>Raw_Orders!A424</f>
        <v>423</v>
      </c>
      <c r="B424" s="7" t="str">
        <f>Raw_Orders!B424</f>
        <v>C067</v>
      </c>
      <c r="C424" s="7" t="str">
        <f>INDEX(Raw_Customers!$B$2:$B$101,MATCH($B424,Raw_Customers!$A$2:$A$101,0))</f>
        <v>Eva Sankaran</v>
      </c>
      <c r="D424" s="7" t="str">
        <f>TRIM(INDEX(Raw_Customers!$C$2:$C$101,MATCH($B424,Raw_Customers!$A$2:$A$101,0)))</f>
        <v>Anand</v>
      </c>
      <c r="E424" s="7" t="str">
        <f>"+91-"&amp;RIGHT("0000000000"&amp;INDEX(Raw_Customers!$D$2:$D$101,MATCH($B424,Raw_Customers!$A$2:$A$101,0)),10)</f>
        <v>+91-0407409251</v>
      </c>
      <c r="F424" s="7" t="str">
        <f>Raw_Orders!C424</f>
        <v>19</v>
      </c>
      <c r="G424" s="7" t="str">
        <f>INDEX(Raw_Products!$B$2:$B$71,MATCH($F424,Raw_Products!$A$2:$A$71,0))</f>
        <v>Iure Gift</v>
      </c>
      <c r="H424" s="7" t="str">
        <f>INDEX(Raw_Products!$C$2:$C$71,MATCH($F424,Raw_Products!$A$2:$A$71,0))</f>
        <v>Mugs</v>
      </c>
      <c r="I424" s="7">
        <f>VALUE(Raw_Orders!D424)</f>
        <v>1</v>
      </c>
      <c r="J424" s="11" t="str">
        <f>INDEX(Raw_Products!$D$2:$D$71,MATCH($F424,Raw_Products!$A$2:$A$71,0))</f>
        <v>1234</v>
      </c>
      <c r="K424" s="11">
        <f t="shared" si="12"/>
        <v>1234</v>
      </c>
      <c r="L424" s="12">
        <f>DATE(VALUE(RIGHT(Raw_Orders!E424,4)),VALUE(MID(Raw_Orders!E424,4,2)),VALUE(LEFT(Raw_Orders!E424,2)))</f>
        <v>44968</v>
      </c>
      <c r="M424" s="12">
        <f>DATE(VALUE(RIGHT(Raw_Orders!G424,4)),VALUE(MID(Raw_Orders!G424,4,2)),VALUE(LEFT(Raw_Orders!G424,2)))</f>
        <v>44974</v>
      </c>
      <c r="N424" s="7">
        <f t="shared" si="13"/>
        <v>6</v>
      </c>
      <c r="O424" s="7" t="str">
        <f>Raw_Orders!J424</f>
        <v>Valentine's Day</v>
      </c>
      <c r="P424" s="7" t="str">
        <f>Raw_Orders!I424</f>
        <v>Alappuzha</v>
      </c>
    </row>
    <row r="425" spans="1:16">
      <c r="A425" s="7" t="str">
        <f>Raw_Orders!A425</f>
        <v>424</v>
      </c>
      <c r="B425" s="7" t="str">
        <f>Raw_Orders!B425</f>
        <v>C072</v>
      </c>
      <c r="C425" s="7" t="str">
        <f>INDEX(Raw_Customers!$B$2:$B$101,MATCH($B425,Raw_Customers!$A$2:$A$101,0))</f>
        <v>Charvi Karnik</v>
      </c>
      <c r="D425" s="7" t="str">
        <f>TRIM(INDEX(Raw_Customers!$C$2:$C$101,MATCH($B425,Raw_Customers!$A$2:$A$101,0)))</f>
        <v>Hyderabad</v>
      </c>
      <c r="E425" s="7" t="str">
        <f>"+91-"&amp;RIGHT("0000000000"&amp;INDEX(Raw_Customers!$D$2:$D$101,MATCH($B425,Raw_Customers!$A$2:$A$101,0)),10)</f>
        <v>+91-7573085232</v>
      </c>
      <c r="F425" s="7" t="str">
        <f>Raw_Orders!C425</f>
        <v>7</v>
      </c>
      <c r="G425" s="7" t="str">
        <f>INDEX(Raw_Products!$B$2:$B$71,MATCH($F425,Raw_Products!$A$2:$A$71,0))</f>
        <v>Quos Set</v>
      </c>
      <c r="H425" s="7" t="str">
        <f>INDEX(Raw_Products!$C$2:$C$71,MATCH($F425,Raw_Products!$A$2:$A$71,0))</f>
        <v>Soft Toys</v>
      </c>
      <c r="I425" s="7">
        <f>VALUE(Raw_Orders!D425)</f>
        <v>4</v>
      </c>
      <c r="J425" s="11" t="str">
        <f>INDEX(Raw_Products!$D$2:$D$71,MATCH($F425,Raw_Products!$A$2:$A$71,0))</f>
        <v>409</v>
      </c>
      <c r="K425" s="11">
        <f t="shared" si="12"/>
        <v>1636</v>
      </c>
      <c r="L425" s="12">
        <f>DATE(VALUE(RIGHT(Raw_Orders!E425,4)),VALUE(MID(Raw_Orders!E425,4,2)),VALUE(LEFT(Raw_Orders!E425,2)))</f>
        <v>44986</v>
      </c>
      <c r="M425" s="12">
        <f>DATE(VALUE(RIGHT(Raw_Orders!G425,4)),VALUE(MID(Raw_Orders!G425,4,2)),VALUE(LEFT(Raw_Orders!G425,2)))</f>
        <v>44994</v>
      </c>
      <c r="N425" s="7">
        <f t="shared" si="13"/>
        <v>8</v>
      </c>
      <c r="O425" s="7" t="str">
        <f>Raw_Orders!J425</f>
        <v>Holi</v>
      </c>
      <c r="P425" s="7" t="str">
        <f>Raw_Orders!I425</f>
        <v>Kishanganj</v>
      </c>
    </row>
    <row r="426" spans="1:16">
      <c r="A426" s="7" t="str">
        <f>Raw_Orders!A426</f>
        <v>425</v>
      </c>
      <c r="B426" s="7" t="str">
        <f>Raw_Orders!B426</f>
        <v>C071</v>
      </c>
      <c r="C426" s="7" t="str">
        <f>INDEX(Raw_Customers!$B$2:$B$101,MATCH($B426,Raw_Customers!$A$2:$A$101,0))</f>
        <v>Purab Sheth</v>
      </c>
      <c r="D426" s="7" t="str">
        <f>TRIM(INDEX(Raw_Customers!$C$2:$C$101,MATCH($B426,Raw_Customers!$A$2:$A$101,0)))</f>
        <v>Tiruppur</v>
      </c>
      <c r="E426" s="7" t="str">
        <f>"+91-"&amp;RIGHT("0000000000"&amp;INDEX(Raw_Customers!$D$2:$D$101,MATCH($B426,Raw_Customers!$A$2:$A$101,0)),10)</f>
        <v>+91-8410472405</v>
      </c>
      <c r="F426" s="7" t="str">
        <f>Raw_Orders!C426</f>
        <v>56</v>
      </c>
      <c r="G426" s="7" t="str">
        <f>INDEX(Raw_Products!$B$2:$B$71,MATCH($F426,Raw_Products!$A$2:$A$71,0))</f>
        <v>Quia Gift</v>
      </c>
      <c r="H426" s="7" t="str">
        <f>INDEX(Raw_Products!$C$2:$C$71,MATCH($F426,Raw_Products!$A$2:$A$71,0))</f>
        <v>Raksha Bandhan</v>
      </c>
      <c r="I426" s="7">
        <f>VALUE(Raw_Orders!D426)</f>
        <v>1</v>
      </c>
      <c r="J426" s="11" t="str">
        <f>INDEX(Raw_Products!$D$2:$D$71,MATCH($F426,Raw_Products!$A$2:$A$71,0))</f>
        <v>1272</v>
      </c>
      <c r="K426" s="11">
        <f t="shared" si="12"/>
        <v>1272</v>
      </c>
      <c r="L426" s="12">
        <f>DATE(VALUE(RIGHT(Raw_Orders!E426,4)),VALUE(MID(Raw_Orders!E426,4,2)),VALUE(LEFT(Raw_Orders!E426,2)))</f>
        <v>45199</v>
      </c>
      <c r="M426" s="12">
        <f>DATE(VALUE(RIGHT(Raw_Orders!G426,4)),VALUE(MID(Raw_Orders!G426,4,2)),VALUE(LEFT(Raw_Orders!G426,2)))</f>
        <v>45208</v>
      </c>
      <c r="N426" s="7">
        <f t="shared" si="13"/>
        <v>9</v>
      </c>
      <c r="O426" s="7" t="str">
        <f>Raw_Orders!J426</f>
        <v>Anniversary</v>
      </c>
      <c r="P426" s="7" t="str">
        <f>Raw_Orders!I426</f>
        <v>North Dumdum</v>
      </c>
    </row>
    <row r="427" spans="1:16">
      <c r="A427" s="7" t="str">
        <f>Raw_Orders!A427</f>
        <v>426</v>
      </c>
      <c r="B427" s="7" t="str">
        <f>Raw_Orders!B427</f>
        <v>C073</v>
      </c>
      <c r="C427" s="7" t="str">
        <f>INDEX(Raw_Customers!$B$2:$B$101,MATCH($B427,Raw_Customers!$A$2:$A$101,0))</f>
        <v>Zeeshan Tailor</v>
      </c>
      <c r="D427" s="7" t="str">
        <f>TRIM(INDEX(Raw_Customers!$C$2:$C$101,MATCH($B427,Raw_Customers!$A$2:$A$101,0)))</f>
        <v>Parbhani</v>
      </c>
      <c r="E427" s="7" t="str">
        <f>"+91-"&amp;RIGHT("0000000000"&amp;INDEX(Raw_Customers!$D$2:$D$101,MATCH($B427,Raw_Customers!$A$2:$A$101,0)),10)</f>
        <v>+91-8037721297</v>
      </c>
      <c r="F427" s="7" t="str">
        <f>Raw_Orders!C427</f>
        <v>2</v>
      </c>
      <c r="G427" s="7" t="str">
        <f>INDEX(Raw_Products!$B$2:$B$71,MATCH($F427,Raw_Products!$A$2:$A$71,0))</f>
        <v>Voluptas Box</v>
      </c>
      <c r="H427" s="7" t="str">
        <f>INDEX(Raw_Products!$C$2:$C$71,MATCH($F427,Raw_Products!$A$2:$A$71,0))</f>
        <v>Plants</v>
      </c>
      <c r="I427" s="7">
        <f>VALUE(Raw_Orders!D427)</f>
        <v>2</v>
      </c>
      <c r="J427" s="11" t="str">
        <f>INDEX(Raw_Products!$D$2:$D$71,MATCH($F427,Raw_Products!$A$2:$A$71,0))</f>
        <v>441</v>
      </c>
      <c r="K427" s="11">
        <f t="shared" si="12"/>
        <v>882</v>
      </c>
      <c r="L427" s="12">
        <f>DATE(VALUE(RIGHT(Raw_Orders!E427,4)),VALUE(MID(Raw_Orders!E427,4,2)),VALUE(LEFT(Raw_Orders!E427,2)))</f>
        <v>44970</v>
      </c>
      <c r="M427" s="12">
        <f>DATE(VALUE(RIGHT(Raw_Orders!G427,4)),VALUE(MID(Raw_Orders!G427,4,2)),VALUE(LEFT(Raw_Orders!G427,2)))</f>
        <v>44974</v>
      </c>
      <c r="N427" s="7">
        <f t="shared" si="13"/>
        <v>4</v>
      </c>
      <c r="O427" s="7" t="str">
        <f>Raw_Orders!J427</f>
        <v>Valentine's Day</v>
      </c>
      <c r="P427" s="7" t="str">
        <f>Raw_Orders!I427</f>
        <v>Kharagpur</v>
      </c>
    </row>
    <row r="428" spans="1:16">
      <c r="A428" s="7" t="str">
        <f>Raw_Orders!A428</f>
        <v>427</v>
      </c>
      <c r="B428" s="7" t="str">
        <f>Raw_Orders!B428</f>
        <v>C042</v>
      </c>
      <c r="C428" s="7" t="str">
        <f>INDEX(Raw_Customers!$B$2:$B$101,MATCH($B428,Raw_Customers!$A$2:$A$101,0))</f>
        <v>Eshani Sharma</v>
      </c>
      <c r="D428" s="7" t="str">
        <f>TRIM(INDEX(Raw_Customers!$C$2:$C$101,MATCH($B428,Raw_Customers!$A$2:$A$101,0)))</f>
        <v>Ajmer</v>
      </c>
      <c r="E428" s="7" t="str">
        <f>"+91-"&amp;RIGHT("0000000000"&amp;INDEX(Raw_Customers!$D$2:$D$101,MATCH($B428,Raw_Customers!$A$2:$A$101,0)),10)</f>
        <v>+91-6843169694</v>
      </c>
      <c r="F428" s="7" t="str">
        <f>Raw_Orders!C428</f>
        <v>48</v>
      </c>
      <c r="G428" s="7" t="str">
        <f>INDEX(Raw_Products!$B$2:$B$71,MATCH($F428,Raw_Products!$A$2:$A$71,0))</f>
        <v>Maiores Gift</v>
      </c>
      <c r="H428" s="7" t="str">
        <f>INDEX(Raw_Products!$C$2:$C$71,MATCH($F428,Raw_Products!$A$2:$A$71,0))</f>
        <v>Colors</v>
      </c>
      <c r="I428" s="7">
        <f>VALUE(Raw_Orders!D428)</f>
        <v>5</v>
      </c>
      <c r="J428" s="11" t="str">
        <f>INDEX(Raw_Products!$D$2:$D$71,MATCH($F428,Raw_Products!$A$2:$A$71,0))</f>
        <v>433</v>
      </c>
      <c r="K428" s="11">
        <f t="shared" si="12"/>
        <v>2165</v>
      </c>
      <c r="L428" s="12">
        <f>DATE(VALUE(RIGHT(Raw_Orders!E428,4)),VALUE(MID(Raw_Orders!E428,4,2)),VALUE(LEFT(Raw_Orders!E428,2)))</f>
        <v>45233</v>
      </c>
      <c r="M428" s="12">
        <f>DATE(VALUE(RIGHT(Raw_Orders!G428,4)),VALUE(MID(Raw_Orders!G428,4,2)),VALUE(LEFT(Raw_Orders!G428,2)))</f>
        <v>45243</v>
      </c>
      <c r="N428" s="7">
        <f t="shared" si="13"/>
        <v>10</v>
      </c>
      <c r="O428" s="7" t="str">
        <f>Raw_Orders!J428</f>
        <v>Diwali</v>
      </c>
      <c r="P428" s="7" t="str">
        <f>Raw_Orders!I428</f>
        <v>Gudivada</v>
      </c>
    </row>
    <row r="429" spans="1:16">
      <c r="A429" s="7" t="str">
        <f>Raw_Orders!A429</f>
        <v>428</v>
      </c>
      <c r="B429" s="7" t="str">
        <f>Raw_Orders!B429</f>
        <v>C038</v>
      </c>
      <c r="C429" s="7" t="str">
        <f>INDEX(Raw_Customers!$B$2:$B$101,MATCH($B429,Raw_Customers!$A$2:$A$101,0))</f>
        <v>Yakshit Shah</v>
      </c>
      <c r="D429" s="7" t="str">
        <f>TRIM(INDEX(Raw_Customers!$C$2:$C$101,MATCH($B429,Raw_Customers!$A$2:$A$101,0)))</f>
        <v>Aizawl</v>
      </c>
      <c r="E429" s="7" t="str">
        <f>"+91-"&amp;RIGHT("0000000000"&amp;INDEX(Raw_Customers!$D$2:$D$101,MATCH($B429,Raw_Customers!$A$2:$A$101,0)),10)</f>
        <v>+91-2847411902</v>
      </c>
      <c r="F429" s="7" t="str">
        <f>Raw_Orders!C429</f>
        <v>10</v>
      </c>
      <c r="G429" s="7" t="str">
        <f>INDEX(Raw_Products!$B$2:$B$71,MATCH($F429,Raw_Products!$A$2:$A$71,0))</f>
        <v>Accusantium Gift</v>
      </c>
      <c r="H429" s="7" t="str">
        <f>INDEX(Raw_Products!$C$2:$C$71,MATCH($F429,Raw_Products!$A$2:$A$71,0))</f>
        <v>Cake</v>
      </c>
      <c r="I429" s="7">
        <f>VALUE(Raw_Orders!D429)</f>
        <v>2</v>
      </c>
      <c r="J429" s="11" t="str">
        <f>INDEX(Raw_Products!$D$2:$D$71,MATCH($F429,Raw_Products!$A$2:$A$71,0))</f>
        <v>259</v>
      </c>
      <c r="K429" s="11">
        <f t="shared" si="12"/>
        <v>518</v>
      </c>
      <c r="L429" s="12">
        <f>DATE(VALUE(RIGHT(Raw_Orders!E429,4)),VALUE(MID(Raw_Orders!E429,4,2)),VALUE(LEFT(Raw_Orders!E429,2)))</f>
        <v>45266</v>
      </c>
      <c r="M429" s="12">
        <f>DATE(VALUE(RIGHT(Raw_Orders!G429,4)),VALUE(MID(Raw_Orders!G429,4,2)),VALUE(LEFT(Raw_Orders!G429,2)))</f>
        <v>45272</v>
      </c>
      <c r="N429" s="7">
        <f t="shared" si="13"/>
        <v>6</v>
      </c>
      <c r="O429" s="7" t="str">
        <f>Raw_Orders!J429</f>
        <v>Birthday</v>
      </c>
      <c r="P429" s="7" t="str">
        <f>Raw_Orders!I429</f>
        <v>Khora </v>
      </c>
    </row>
    <row r="430" spans="1:16">
      <c r="A430" s="7" t="str">
        <f>Raw_Orders!A430</f>
        <v>429</v>
      </c>
      <c r="B430" s="7" t="str">
        <f>Raw_Orders!B430</f>
        <v>C007</v>
      </c>
      <c r="C430" s="7" t="str">
        <f>INDEX(Raw_Customers!$B$2:$B$101,MATCH($B430,Raw_Customers!$A$2:$A$101,0))</f>
        <v>Jayant Kamdar</v>
      </c>
      <c r="D430" s="7" t="str">
        <f>TRIM(INDEX(Raw_Customers!$C$2:$C$101,MATCH($B430,Raw_Customers!$A$2:$A$101,0)))</f>
        <v>Berhampore</v>
      </c>
      <c r="E430" s="7" t="str">
        <f>"+91-"&amp;RIGHT("0000000000"&amp;INDEX(Raw_Customers!$D$2:$D$101,MATCH($B430,Raw_Customers!$A$2:$A$101,0)),10)</f>
        <v>+91-8576675504</v>
      </c>
      <c r="F430" s="7" t="str">
        <f>Raw_Orders!C430</f>
        <v>9</v>
      </c>
      <c r="G430" s="7" t="str">
        <f>INDEX(Raw_Products!$B$2:$B$71,MATCH($F430,Raw_Products!$A$2:$A$71,0))</f>
        <v>Aperiam Box</v>
      </c>
      <c r="H430" s="7" t="str">
        <f>INDEX(Raw_Products!$C$2:$C$71,MATCH($F430,Raw_Products!$A$2:$A$71,0))</f>
        <v>Colors</v>
      </c>
      <c r="I430" s="7">
        <f>VALUE(Raw_Orders!D430)</f>
        <v>5</v>
      </c>
      <c r="J430" s="11" t="str">
        <f>INDEX(Raw_Products!$D$2:$D$71,MATCH($F430,Raw_Products!$A$2:$A$71,0))</f>
        <v>1605</v>
      </c>
      <c r="K430" s="11">
        <f t="shared" si="12"/>
        <v>8025</v>
      </c>
      <c r="L430" s="12">
        <f>DATE(VALUE(RIGHT(Raw_Orders!E430,4)),VALUE(MID(Raw_Orders!E430,4,2)),VALUE(LEFT(Raw_Orders!E430,2)))</f>
        <v>45160</v>
      </c>
      <c r="M430" s="12">
        <f>DATE(VALUE(RIGHT(Raw_Orders!G430,4)),VALUE(MID(Raw_Orders!G430,4,2)),VALUE(LEFT(Raw_Orders!G430,2)))</f>
        <v>45169</v>
      </c>
      <c r="N430" s="7">
        <f t="shared" si="13"/>
        <v>9</v>
      </c>
      <c r="O430" s="7" t="str">
        <f>Raw_Orders!J430</f>
        <v>Raksha Bandhan</v>
      </c>
      <c r="P430" s="7" t="str">
        <f>Raw_Orders!I430</f>
        <v>Bahraich</v>
      </c>
    </row>
    <row r="431" spans="1:16">
      <c r="A431" s="7" t="str">
        <f>Raw_Orders!A431</f>
        <v>430</v>
      </c>
      <c r="B431" s="7" t="str">
        <f>Raw_Orders!B431</f>
        <v>C045</v>
      </c>
      <c r="C431" s="7" t="str">
        <f>INDEX(Raw_Customers!$B$2:$B$101,MATCH($B431,Raw_Customers!$A$2:$A$101,0))</f>
        <v>Divit Mahajan</v>
      </c>
      <c r="D431" s="7" t="str">
        <f>TRIM(INDEX(Raw_Customers!$C$2:$C$101,MATCH($B431,Raw_Customers!$A$2:$A$101,0)))</f>
        <v>Maheshtala</v>
      </c>
      <c r="E431" s="7" t="str">
        <f>"+91-"&amp;RIGHT("0000000000"&amp;INDEX(Raw_Customers!$D$2:$D$101,MATCH($B431,Raw_Customers!$A$2:$A$101,0)),10)</f>
        <v>+91-6789522856</v>
      </c>
      <c r="F431" s="7" t="str">
        <f>Raw_Orders!C431</f>
        <v>27</v>
      </c>
      <c r="G431" s="7" t="str">
        <f>INDEX(Raw_Products!$B$2:$B$71,MATCH($F431,Raw_Products!$A$2:$A$71,0))</f>
        <v>Architecto Gift</v>
      </c>
      <c r="H431" s="7" t="str">
        <f>INDEX(Raw_Products!$C$2:$C$71,MATCH($F431,Raw_Products!$A$2:$A$71,0))</f>
        <v>Cake</v>
      </c>
      <c r="I431" s="7">
        <f>VALUE(Raw_Orders!D431)</f>
        <v>2</v>
      </c>
      <c r="J431" s="11" t="str">
        <f>INDEX(Raw_Products!$D$2:$D$71,MATCH($F431,Raw_Products!$A$2:$A$71,0))</f>
        <v>548</v>
      </c>
      <c r="K431" s="11">
        <f t="shared" si="12"/>
        <v>1096</v>
      </c>
      <c r="L431" s="12">
        <f>DATE(VALUE(RIGHT(Raw_Orders!E431,4)),VALUE(MID(Raw_Orders!E431,4,2)),VALUE(LEFT(Raw_Orders!E431,2)))</f>
        <v>45165</v>
      </c>
      <c r="M431" s="12">
        <f>DATE(VALUE(RIGHT(Raw_Orders!G431,4)),VALUE(MID(Raw_Orders!G431,4,2)),VALUE(LEFT(Raw_Orders!G431,2)))</f>
        <v>45169</v>
      </c>
      <c r="N431" s="7">
        <f t="shared" si="13"/>
        <v>4</v>
      </c>
      <c r="O431" s="7" t="str">
        <f>Raw_Orders!J431</f>
        <v>Raksha Bandhan</v>
      </c>
      <c r="P431" s="7" t="str">
        <f>Raw_Orders!I431</f>
        <v>Rourkela</v>
      </c>
    </row>
    <row r="432" spans="1:16">
      <c r="A432" s="7" t="str">
        <f>Raw_Orders!A432</f>
        <v>431</v>
      </c>
      <c r="B432" s="7" t="str">
        <f>Raw_Orders!B432</f>
        <v>C057</v>
      </c>
      <c r="C432" s="7" t="str">
        <f>INDEX(Raw_Customers!$B$2:$B$101,MATCH($B432,Raw_Customers!$A$2:$A$101,0))</f>
        <v>Zain Hegde</v>
      </c>
      <c r="D432" s="7" t="str">
        <f>TRIM(INDEX(Raw_Customers!$C$2:$C$101,MATCH($B432,Raw_Customers!$A$2:$A$101,0)))</f>
        <v>Delhi</v>
      </c>
      <c r="E432" s="7" t="str">
        <f>"+91-"&amp;RIGHT("0000000000"&amp;INDEX(Raw_Customers!$D$2:$D$101,MATCH($B432,Raw_Customers!$A$2:$A$101,0)),10)</f>
        <v>+91-8736997123</v>
      </c>
      <c r="F432" s="7" t="str">
        <f>Raw_Orders!C432</f>
        <v>1</v>
      </c>
      <c r="G432" s="7" t="str">
        <f>INDEX(Raw_Products!$B$2:$B$71,MATCH($F432,Raw_Products!$A$2:$A$71,0))</f>
        <v>Magnam Set</v>
      </c>
      <c r="H432" s="7" t="str">
        <f>INDEX(Raw_Products!$C$2:$C$71,MATCH($F432,Raw_Products!$A$2:$A$71,0))</f>
        <v>Soft Toys</v>
      </c>
      <c r="I432" s="7">
        <f>VALUE(Raw_Orders!D432)</f>
        <v>4</v>
      </c>
      <c r="J432" s="11" t="str">
        <f>INDEX(Raw_Products!$D$2:$D$71,MATCH($F432,Raw_Products!$A$2:$A$71,0))</f>
        <v>1935</v>
      </c>
      <c r="K432" s="11">
        <f t="shared" si="12"/>
        <v>7740</v>
      </c>
      <c r="L432" s="12">
        <f>DATE(VALUE(RIGHT(Raw_Orders!E432,4)),VALUE(MID(Raw_Orders!E432,4,2)),VALUE(LEFT(Raw_Orders!E432,2)))</f>
        <v>45273</v>
      </c>
      <c r="M432" s="12">
        <f>DATE(VALUE(RIGHT(Raw_Orders!G432,4)),VALUE(MID(Raw_Orders!G432,4,2)),VALUE(LEFT(Raw_Orders!G432,2)))</f>
        <v>45279</v>
      </c>
      <c r="N432" s="7">
        <f t="shared" si="13"/>
        <v>6</v>
      </c>
      <c r="O432" s="7" t="str">
        <f>Raw_Orders!J432</f>
        <v>All Occasions</v>
      </c>
      <c r="P432" s="7" t="str">
        <f>Raw_Orders!I432</f>
        <v>Varanasi</v>
      </c>
    </row>
    <row r="433" spans="1:16">
      <c r="A433" s="7" t="str">
        <f>Raw_Orders!A433</f>
        <v>432</v>
      </c>
      <c r="B433" s="7" t="str">
        <f>Raw_Orders!B433</f>
        <v>C092</v>
      </c>
      <c r="C433" s="7" t="str">
        <f>INDEX(Raw_Customers!$B$2:$B$101,MATCH($B433,Raw_Customers!$A$2:$A$101,0))</f>
        <v>Zoya Mani</v>
      </c>
      <c r="D433" s="7" t="str">
        <f>TRIM(INDEX(Raw_Customers!$C$2:$C$101,MATCH($B433,Raw_Customers!$A$2:$A$101,0)))</f>
        <v>Dibrugarh</v>
      </c>
      <c r="E433" s="7" t="str">
        <f>"+91-"&amp;RIGHT("0000000000"&amp;INDEX(Raw_Customers!$D$2:$D$101,MATCH($B433,Raw_Customers!$A$2:$A$101,0)),10)</f>
        <v>+91-8918356963</v>
      </c>
      <c r="F433" s="7" t="str">
        <f>Raw_Orders!C433</f>
        <v>12</v>
      </c>
      <c r="G433" s="7" t="str">
        <f>INDEX(Raw_Products!$B$2:$B$71,MATCH($F433,Raw_Products!$A$2:$A$71,0))</f>
        <v>Non Set</v>
      </c>
      <c r="H433" s="7" t="str">
        <f>INDEX(Raw_Products!$C$2:$C$71,MATCH($F433,Raw_Products!$A$2:$A$71,0))</f>
        <v>Plants</v>
      </c>
      <c r="I433" s="7">
        <f>VALUE(Raw_Orders!D433)</f>
        <v>4</v>
      </c>
      <c r="J433" s="11" t="str">
        <f>INDEX(Raw_Products!$D$2:$D$71,MATCH($F433,Raw_Products!$A$2:$A$71,0))</f>
        <v>672</v>
      </c>
      <c r="K433" s="11">
        <f t="shared" si="12"/>
        <v>2688</v>
      </c>
      <c r="L433" s="12">
        <f>DATE(VALUE(RIGHT(Raw_Orders!E433,4)),VALUE(MID(Raw_Orders!E433,4,2)),VALUE(LEFT(Raw_Orders!E433,2)))</f>
        <v>44931</v>
      </c>
      <c r="M433" s="12">
        <f>DATE(VALUE(RIGHT(Raw_Orders!G433,4)),VALUE(MID(Raw_Orders!G433,4,2)),VALUE(LEFT(Raw_Orders!G433,2)))</f>
        <v>44939</v>
      </c>
      <c r="N433" s="7">
        <f t="shared" si="13"/>
        <v>8</v>
      </c>
      <c r="O433" s="7" t="str">
        <f>Raw_Orders!J433</f>
        <v>Anniversary</v>
      </c>
      <c r="P433" s="7" t="str">
        <f>Raw_Orders!I433</f>
        <v>Ballia</v>
      </c>
    </row>
    <row r="434" spans="1:16">
      <c r="A434" s="7" t="str">
        <f>Raw_Orders!A434</f>
        <v>433</v>
      </c>
      <c r="B434" s="7" t="str">
        <f>Raw_Orders!B434</f>
        <v>C068</v>
      </c>
      <c r="C434" s="7" t="str">
        <f>INDEX(Raw_Customers!$B$2:$B$101,MATCH($B434,Raw_Customers!$A$2:$A$101,0))</f>
        <v>Ritvik Garde</v>
      </c>
      <c r="D434" s="7" t="str">
        <f>TRIM(INDEX(Raw_Customers!$C$2:$C$101,MATCH($B434,Raw_Customers!$A$2:$A$101,0)))</f>
        <v>Kalyan-Dombivli</v>
      </c>
      <c r="E434" s="7" t="str">
        <f>"+91-"&amp;RIGHT("0000000000"&amp;INDEX(Raw_Customers!$D$2:$D$101,MATCH($B434,Raw_Customers!$A$2:$A$101,0)),10)</f>
        <v>+91-3719858588</v>
      </c>
      <c r="F434" s="7" t="str">
        <f>Raw_Orders!C434</f>
        <v>7</v>
      </c>
      <c r="G434" s="7" t="str">
        <f>INDEX(Raw_Products!$B$2:$B$71,MATCH($F434,Raw_Products!$A$2:$A$71,0))</f>
        <v>Quos Set</v>
      </c>
      <c r="H434" s="7" t="str">
        <f>INDEX(Raw_Products!$C$2:$C$71,MATCH($F434,Raw_Products!$A$2:$A$71,0))</f>
        <v>Soft Toys</v>
      </c>
      <c r="I434" s="7">
        <f>VALUE(Raw_Orders!D434)</f>
        <v>5</v>
      </c>
      <c r="J434" s="11" t="str">
        <f>INDEX(Raw_Products!$D$2:$D$71,MATCH($F434,Raw_Products!$A$2:$A$71,0))</f>
        <v>409</v>
      </c>
      <c r="K434" s="11">
        <f t="shared" si="12"/>
        <v>2045</v>
      </c>
      <c r="L434" s="12">
        <f>DATE(VALUE(RIGHT(Raw_Orders!E434,4)),VALUE(MID(Raw_Orders!E434,4,2)),VALUE(LEFT(Raw_Orders!E434,2)))</f>
        <v>44983</v>
      </c>
      <c r="M434" s="12">
        <f>DATE(VALUE(RIGHT(Raw_Orders!G434,4)),VALUE(MID(Raw_Orders!G434,4,2)),VALUE(LEFT(Raw_Orders!G434,2)))</f>
        <v>44987</v>
      </c>
      <c r="N434" s="7">
        <f t="shared" si="13"/>
        <v>4</v>
      </c>
      <c r="O434" s="7" t="str">
        <f>Raw_Orders!J434</f>
        <v>Holi</v>
      </c>
      <c r="P434" s="7" t="str">
        <f>Raw_Orders!I434</f>
        <v>Amravati</v>
      </c>
    </row>
    <row r="435" spans="1:16">
      <c r="A435" s="7" t="str">
        <f>Raw_Orders!A435</f>
        <v>434</v>
      </c>
      <c r="B435" s="7" t="str">
        <f>Raw_Orders!B435</f>
        <v>C020</v>
      </c>
      <c r="C435" s="7" t="str">
        <f>INDEX(Raw_Customers!$B$2:$B$101,MATCH($B435,Raw_Customers!$A$2:$A$101,0))</f>
        <v>Samaira Ganesh</v>
      </c>
      <c r="D435" s="7" t="str">
        <f>TRIM(INDEX(Raw_Customers!$C$2:$C$101,MATCH($B435,Raw_Customers!$A$2:$A$101,0)))</f>
        <v>Machilipatnam</v>
      </c>
      <c r="E435" s="7" t="str">
        <f>"+91-"&amp;RIGHT("0000000000"&amp;INDEX(Raw_Customers!$D$2:$D$101,MATCH($B435,Raw_Customers!$A$2:$A$101,0)),10)</f>
        <v>+91-1731643700</v>
      </c>
      <c r="F435" s="7" t="str">
        <f>Raw_Orders!C435</f>
        <v>51</v>
      </c>
      <c r="G435" s="7" t="str">
        <f>INDEX(Raw_Products!$B$2:$B$71,MATCH($F435,Raw_Products!$A$2:$A$71,0))</f>
        <v>Fugit Set</v>
      </c>
      <c r="H435" s="7" t="str">
        <f>INDEX(Raw_Products!$C$2:$C$71,MATCH($F435,Raw_Products!$A$2:$A$71,0))</f>
        <v>Soft Toys</v>
      </c>
      <c r="I435" s="7">
        <f>VALUE(Raw_Orders!D435)</f>
        <v>4</v>
      </c>
      <c r="J435" s="11" t="str">
        <f>INDEX(Raw_Products!$D$2:$D$71,MATCH($F435,Raw_Products!$A$2:$A$71,0))</f>
        <v>1084</v>
      </c>
      <c r="K435" s="11">
        <f t="shared" si="12"/>
        <v>4336</v>
      </c>
      <c r="L435" s="12">
        <f>DATE(VALUE(RIGHT(Raw_Orders!E435,4)),VALUE(MID(Raw_Orders!E435,4,2)),VALUE(LEFT(Raw_Orders!E435,2)))</f>
        <v>45258</v>
      </c>
      <c r="M435" s="12">
        <f>DATE(VALUE(RIGHT(Raw_Orders!G435,4)),VALUE(MID(Raw_Orders!G435,4,2)),VALUE(LEFT(Raw_Orders!G435,2)))</f>
        <v>45259</v>
      </c>
      <c r="N435" s="7">
        <f t="shared" si="13"/>
        <v>1</v>
      </c>
      <c r="O435" s="7" t="str">
        <f>Raw_Orders!J435</f>
        <v>All Occasions</v>
      </c>
      <c r="P435" s="7" t="str">
        <f>Raw_Orders!I435</f>
        <v>Kirari Suleman Nagar</v>
      </c>
    </row>
    <row r="436" spans="1:16">
      <c r="A436" s="7" t="str">
        <f>Raw_Orders!A436</f>
        <v>435</v>
      </c>
      <c r="B436" s="7" t="str">
        <f>Raw_Orders!B436</f>
        <v>C017</v>
      </c>
      <c r="C436" s="7" t="str">
        <f>INDEX(Raw_Customers!$B$2:$B$101,MATCH($B436,Raw_Customers!$A$2:$A$101,0))</f>
        <v>Advika Dhar</v>
      </c>
      <c r="D436" s="7" t="str">
        <f>TRIM(INDEX(Raw_Customers!$C$2:$C$101,MATCH($B436,Raw_Customers!$A$2:$A$101,0)))</f>
        <v>Gangtok</v>
      </c>
      <c r="E436" s="7" t="str">
        <f>"+91-"&amp;RIGHT("0000000000"&amp;INDEX(Raw_Customers!$D$2:$D$101,MATCH($B436,Raw_Customers!$A$2:$A$101,0)),10)</f>
        <v>+91-2738556486</v>
      </c>
      <c r="F436" s="7" t="str">
        <f>Raw_Orders!C436</f>
        <v>53</v>
      </c>
      <c r="G436" s="7" t="str">
        <f>INDEX(Raw_Products!$B$2:$B$71,MATCH($F436,Raw_Products!$A$2:$A$71,0))</f>
        <v>Ipsam Set</v>
      </c>
      <c r="H436" s="7" t="str">
        <f>INDEX(Raw_Products!$C$2:$C$71,MATCH($F436,Raw_Products!$A$2:$A$71,0))</f>
        <v>Sweets</v>
      </c>
      <c r="I436" s="7">
        <f>VALUE(Raw_Orders!D436)</f>
        <v>4</v>
      </c>
      <c r="J436" s="11" t="str">
        <f>INDEX(Raw_Products!$D$2:$D$71,MATCH($F436,Raw_Products!$A$2:$A$71,0))</f>
        <v>1672</v>
      </c>
      <c r="K436" s="11">
        <f t="shared" si="12"/>
        <v>6688</v>
      </c>
      <c r="L436" s="12">
        <f>DATE(VALUE(RIGHT(Raw_Orders!E436,4)),VALUE(MID(Raw_Orders!E436,4,2)),VALUE(LEFT(Raw_Orders!E436,2)))</f>
        <v>45160</v>
      </c>
      <c r="M436" s="12">
        <f>DATE(VALUE(RIGHT(Raw_Orders!G436,4)),VALUE(MID(Raw_Orders!G436,4,2)),VALUE(LEFT(Raw_Orders!G436,2)))</f>
        <v>45165</v>
      </c>
      <c r="N436" s="7">
        <f t="shared" si="13"/>
        <v>5</v>
      </c>
      <c r="O436" s="7" t="str">
        <f>Raw_Orders!J436</f>
        <v>Raksha Bandhan</v>
      </c>
      <c r="P436" s="7" t="str">
        <f>Raw_Orders!I436</f>
        <v>Mira-Bhayandar</v>
      </c>
    </row>
    <row r="437" spans="1:16">
      <c r="A437" s="7" t="str">
        <f>Raw_Orders!A437</f>
        <v>436</v>
      </c>
      <c r="B437" s="7" t="str">
        <f>Raw_Orders!B437</f>
        <v>C058</v>
      </c>
      <c r="C437" s="7" t="str">
        <f>INDEX(Raw_Customers!$B$2:$B$101,MATCH($B437,Raw_Customers!$A$2:$A$101,0))</f>
        <v>Charvi Kanda</v>
      </c>
      <c r="D437" s="7" t="str">
        <f>TRIM(INDEX(Raw_Customers!$C$2:$C$101,MATCH($B437,Raw_Customers!$A$2:$A$101,0)))</f>
        <v>Guntakal</v>
      </c>
      <c r="E437" s="7" t="str">
        <f>"+91-"&amp;RIGHT("0000000000"&amp;INDEX(Raw_Customers!$D$2:$D$101,MATCH($B437,Raw_Customers!$A$2:$A$101,0)),10)</f>
        <v>+91-9771604920</v>
      </c>
      <c r="F437" s="7" t="str">
        <f>Raw_Orders!C437</f>
        <v>8</v>
      </c>
      <c r="G437" s="7" t="str">
        <f>INDEX(Raw_Products!$B$2:$B$71,MATCH($F437,Raw_Products!$A$2:$A$71,0))</f>
        <v>Qui Box</v>
      </c>
      <c r="H437" s="7" t="str">
        <f>INDEX(Raw_Products!$C$2:$C$71,MATCH($F437,Raw_Products!$A$2:$A$71,0))</f>
        <v>Sweets</v>
      </c>
      <c r="I437" s="7">
        <f>VALUE(Raw_Orders!D437)</f>
        <v>1</v>
      </c>
      <c r="J437" s="11" t="str">
        <f>INDEX(Raw_Products!$D$2:$D$71,MATCH($F437,Raw_Products!$A$2:$A$71,0))</f>
        <v>252</v>
      </c>
      <c r="K437" s="11">
        <f t="shared" si="12"/>
        <v>252</v>
      </c>
      <c r="L437" s="12">
        <f>DATE(VALUE(RIGHT(Raw_Orders!E437,4)),VALUE(MID(Raw_Orders!E437,4,2)),VALUE(LEFT(Raw_Orders!E437,2)))</f>
        <v>44953</v>
      </c>
      <c r="M437" s="12">
        <f>DATE(VALUE(RIGHT(Raw_Orders!G437,4)),VALUE(MID(Raw_Orders!G437,4,2)),VALUE(LEFT(Raw_Orders!G437,2)))</f>
        <v>44960</v>
      </c>
      <c r="N437" s="7">
        <f t="shared" si="13"/>
        <v>7</v>
      </c>
      <c r="O437" s="7" t="str">
        <f>Raw_Orders!J437</f>
        <v>Anniversary</v>
      </c>
      <c r="P437" s="7" t="str">
        <f>Raw_Orders!I437</f>
        <v>Salem</v>
      </c>
    </row>
    <row r="438" spans="1:16">
      <c r="A438" s="7" t="str">
        <f>Raw_Orders!A438</f>
        <v>437</v>
      </c>
      <c r="B438" s="7" t="str">
        <f>Raw_Orders!B438</f>
        <v>C010</v>
      </c>
      <c r="C438" s="7" t="str">
        <f>INDEX(Raw_Customers!$B$2:$B$101,MATCH($B438,Raw_Customers!$A$2:$A$101,0))</f>
        <v>Darshit Dave</v>
      </c>
      <c r="D438" s="7" t="str">
        <f>TRIM(INDEX(Raw_Customers!$C$2:$C$101,MATCH($B438,Raw_Customers!$A$2:$A$101,0)))</f>
        <v>Kanpur</v>
      </c>
      <c r="E438" s="7" t="str">
        <f>"+91-"&amp;RIGHT("0000000000"&amp;INDEX(Raw_Customers!$D$2:$D$101,MATCH($B438,Raw_Customers!$A$2:$A$101,0)),10)</f>
        <v>+91-1608833065</v>
      </c>
      <c r="F438" s="7" t="str">
        <f>Raw_Orders!C438</f>
        <v>55</v>
      </c>
      <c r="G438" s="7" t="str">
        <f>INDEX(Raw_Products!$B$2:$B$71,MATCH($F438,Raw_Products!$A$2:$A$71,0))</f>
        <v>Dolores Gift</v>
      </c>
      <c r="H438" s="7" t="str">
        <f>INDEX(Raw_Products!$C$2:$C$71,MATCH($F438,Raw_Products!$A$2:$A$71,0))</f>
        <v>Soft Toys</v>
      </c>
      <c r="I438" s="7">
        <f>VALUE(Raw_Orders!D438)</f>
        <v>1</v>
      </c>
      <c r="J438" s="11" t="str">
        <f>INDEX(Raw_Products!$D$2:$D$71,MATCH($F438,Raw_Products!$A$2:$A$71,0))</f>
        <v>1904</v>
      </c>
      <c r="K438" s="11">
        <f t="shared" si="12"/>
        <v>1904</v>
      </c>
      <c r="L438" s="12">
        <f>DATE(VALUE(RIGHT(Raw_Orders!E438,4)),VALUE(MID(Raw_Orders!E438,4,2)),VALUE(LEFT(Raw_Orders!E438,2)))</f>
        <v>45162</v>
      </c>
      <c r="M438" s="12">
        <f>DATE(VALUE(RIGHT(Raw_Orders!G438,4)),VALUE(MID(Raw_Orders!G438,4,2)),VALUE(LEFT(Raw_Orders!G438,2)))</f>
        <v>45165</v>
      </c>
      <c r="N438" s="7">
        <f t="shared" si="13"/>
        <v>3</v>
      </c>
      <c r="O438" s="7" t="str">
        <f>Raw_Orders!J438</f>
        <v>Raksha Bandhan</v>
      </c>
      <c r="P438" s="7" t="str">
        <f>Raw_Orders!I438</f>
        <v>Uluberia</v>
      </c>
    </row>
    <row r="439" spans="1:16">
      <c r="A439" s="7" t="str">
        <f>Raw_Orders!A439</f>
        <v>438</v>
      </c>
      <c r="B439" s="7" t="str">
        <f>Raw_Orders!B439</f>
        <v>C037</v>
      </c>
      <c r="C439" s="7" t="str">
        <f>INDEX(Raw_Customers!$B$2:$B$101,MATCH($B439,Raw_Customers!$A$2:$A$101,0))</f>
        <v>Aradhya Kumar</v>
      </c>
      <c r="D439" s="7" t="str">
        <f>TRIM(INDEX(Raw_Customers!$C$2:$C$101,MATCH($B439,Raw_Customers!$A$2:$A$101,0)))</f>
        <v>Davanagere</v>
      </c>
      <c r="E439" s="7" t="str">
        <f>"+91-"&amp;RIGHT("0000000000"&amp;INDEX(Raw_Customers!$D$2:$D$101,MATCH($B439,Raw_Customers!$A$2:$A$101,0)),10)</f>
        <v>+91-1972392634</v>
      </c>
      <c r="F439" s="7" t="str">
        <f>Raw_Orders!C439</f>
        <v>34</v>
      </c>
      <c r="G439" s="7" t="str">
        <f>INDEX(Raw_Products!$B$2:$B$71,MATCH($F439,Raw_Products!$A$2:$A$71,0))</f>
        <v>Placeat Pack</v>
      </c>
      <c r="H439" s="7" t="str">
        <f>INDEX(Raw_Products!$C$2:$C$71,MATCH($F439,Raw_Products!$A$2:$A$71,0))</f>
        <v>Soft Toys</v>
      </c>
      <c r="I439" s="7">
        <f>VALUE(Raw_Orders!D439)</f>
        <v>2</v>
      </c>
      <c r="J439" s="11" t="str">
        <f>INDEX(Raw_Products!$D$2:$D$71,MATCH($F439,Raw_Products!$A$2:$A$71,0))</f>
        <v>1335</v>
      </c>
      <c r="K439" s="11">
        <f t="shared" si="12"/>
        <v>2670</v>
      </c>
      <c r="L439" s="12">
        <f>DATE(VALUE(RIGHT(Raw_Orders!E439,4)),VALUE(MID(Raw_Orders!E439,4,2)),VALUE(LEFT(Raw_Orders!E439,2)))</f>
        <v>45164</v>
      </c>
      <c r="M439" s="12">
        <f>DATE(VALUE(RIGHT(Raw_Orders!G439,4)),VALUE(MID(Raw_Orders!G439,4,2)),VALUE(LEFT(Raw_Orders!G439,2)))</f>
        <v>45165</v>
      </c>
      <c r="N439" s="7">
        <f t="shared" si="13"/>
        <v>1</v>
      </c>
      <c r="O439" s="7" t="str">
        <f>Raw_Orders!J439</f>
        <v>Raksha Bandhan</v>
      </c>
      <c r="P439" s="7" t="str">
        <f>Raw_Orders!I439</f>
        <v>Tadepalligudem</v>
      </c>
    </row>
    <row r="440" spans="1:16">
      <c r="A440" s="7" t="str">
        <f>Raw_Orders!A440</f>
        <v>439</v>
      </c>
      <c r="B440" s="7" t="str">
        <f>Raw_Orders!B440</f>
        <v>C037</v>
      </c>
      <c r="C440" s="7" t="str">
        <f>INDEX(Raw_Customers!$B$2:$B$101,MATCH($B440,Raw_Customers!$A$2:$A$101,0))</f>
        <v>Aradhya Kumar</v>
      </c>
      <c r="D440" s="7" t="str">
        <f>TRIM(INDEX(Raw_Customers!$C$2:$C$101,MATCH($B440,Raw_Customers!$A$2:$A$101,0)))</f>
        <v>Davanagere</v>
      </c>
      <c r="E440" s="7" t="str">
        <f>"+91-"&amp;RIGHT("0000000000"&amp;INDEX(Raw_Customers!$D$2:$D$101,MATCH($B440,Raw_Customers!$A$2:$A$101,0)),10)</f>
        <v>+91-1972392634</v>
      </c>
      <c r="F440" s="7" t="str">
        <f>Raw_Orders!C440</f>
        <v>12</v>
      </c>
      <c r="G440" s="7" t="str">
        <f>INDEX(Raw_Products!$B$2:$B$71,MATCH($F440,Raw_Products!$A$2:$A$71,0))</f>
        <v>Non Set</v>
      </c>
      <c r="H440" s="7" t="str">
        <f>INDEX(Raw_Products!$C$2:$C$71,MATCH($F440,Raw_Products!$A$2:$A$71,0))</f>
        <v>Plants</v>
      </c>
      <c r="I440" s="7">
        <f>VALUE(Raw_Orders!D440)</f>
        <v>3</v>
      </c>
      <c r="J440" s="11" t="str">
        <f>INDEX(Raw_Products!$D$2:$D$71,MATCH($F440,Raw_Products!$A$2:$A$71,0))</f>
        <v>672</v>
      </c>
      <c r="K440" s="11">
        <f t="shared" si="12"/>
        <v>2016</v>
      </c>
      <c r="L440" s="12">
        <f>DATE(VALUE(RIGHT(Raw_Orders!E440,4)),VALUE(MID(Raw_Orders!E440,4,2)),VALUE(LEFT(Raw_Orders!E440,2)))</f>
        <v>45273</v>
      </c>
      <c r="M440" s="12">
        <f>DATE(VALUE(RIGHT(Raw_Orders!G440,4)),VALUE(MID(Raw_Orders!G440,4,2)),VALUE(LEFT(Raw_Orders!G440,2)))</f>
        <v>45282</v>
      </c>
      <c r="N440" s="7">
        <f t="shared" si="13"/>
        <v>9</v>
      </c>
      <c r="O440" s="7" t="str">
        <f>Raw_Orders!J440</f>
        <v>Anniversary</v>
      </c>
      <c r="P440" s="7" t="str">
        <f>Raw_Orders!I440</f>
        <v>Hyderabad</v>
      </c>
    </row>
    <row r="441" spans="1:16">
      <c r="A441" s="7" t="str">
        <f>Raw_Orders!A441</f>
        <v>440</v>
      </c>
      <c r="B441" s="7" t="str">
        <f>Raw_Orders!B441</f>
        <v>C018</v>
      </c>
      <c r="C441" s="7" t="str">
        <f>INDEX(Raw_Customers!$B$2:$B$101,MATCH($B441,Raw_Customers!$A$2:$A$101,0))</f>
        <v>Eva Vaidya</v>
      </c>
      <c r="D441" s="7" t="str">
        <f>TRIM(INDEX(Raw_Customers!$C$2:$C$101,MATCH($B441,Raw_Customers!$A$2:$A$101,0)))</f>
        <v>Nizamabad</v>
      </c>
      <c r="E441" s="7" t="str">
        <f>"+91-"&amp;RIGHT("0000000000"&amp;INDEX(Raw_Customers!$D$2:$D$101,MATCH($B441,Raw_Customers!$A$2:$A$101,0)),10)</f>
        <v>+91-9080029661</v>
      </c>
      <c r="F441" s="7" t="str">
        <f>Raw_Orders!C441</f>
        <v>13</v>
      </c>
      <c r="G441" s="7" t="str">
        <f>INDEX(Raw_Products!$B$2:$B$71,MATCH($F441,Raw_Products!$A$2:$A$71,0))</f>
        <v>Et Set</v>
      </c>
      <c r="H441" s="7" t="str">
        <f>INDEX(Raw_Products!$C$2:$C$71,MATCH($F441,Raw_Products!$A$2:$A$71,0))</f>
        <v>Mugs</v>
      </c>
      <c r="I441" s="7">
        <f>VALUE(Raw_Orders!D441)</f>
        <v>4</v>
      </c>
      <c r="J441" s="11" t="str">
        <f>INDEX(Raw_Products!$D$2:$D$71,MATCH($F441,Raw_Products!$A$2:$A$71,0))</f>
        <v>1141</v>
      </c>
      <c r="K441" s="11">
        <f t="shared" si="12"/>
        <v>4564</v>
      </c>
      <c r="L441" s="12">
        <f>DATE(VALUE(RIGHT(Raw_Orders!E441,4)),VALUE(MID(Raw_Orders!E441,4,2)),VALUE(LEFT(Raw_Orders!E441,2)))</f>
        <v>44992</v>
      </c>
      <c r="M441" s="12">
        <f>DATE(VALUE(RIGHT(Raw_Orders!G441,4)),VALUE(MID(Raw_Orders!G441,4,2)),VALUE(LEFT(Raw_Orders!G441,2)))</f>
        <v>44994</v>
      </c>
      <c r="N441" s="7">
        <f t="shared" si="13"/>
        <v>2</v>
      </c>
      <c r="O441" s="7" t="str">
        <f>Raw_Orders!J441</f>
        <v>Holi</v>
      </c>
      <c r="P441" s="7" t="str">
        <f>Raw_Orders!I441</f>
        <v>Gudivada</v>
      </c>
    </row>
    <row r="442" spans="1:16">
      <c r="A442" s="7" t="str">
        <f>Raw_Orders!A442</f>
        <v>441</v>
      </c>
      <c r="B442" s="7" t="str">
        <f>Raw_Orders!B442</f>
        <v>C052</v>
      </c>
      <c r="C442" s="7" t="str">
        <f>INDEX(Raw_Customers!$B$2:$B$101,MATCH($B442,Raw_Customers!$A$2:$A$101,0))</f>
        <v>Vardaniya Apte</v>
      </c>
      <c r="D442" s="7" t="str">
        <f>TRIM(INDEX(Raw_Customers!$C$2:$C$101,MATCH($B442,Raw_Customers!$A$2:$A$101,0)))</f>
        <v>Dhanbad</v>
      </c>
      <c r="E442" s="7" t="str">
        <f>"+91-"&amp;RIGHT("0000000000"&amp;INDEX(Raw_Customers!$D$2:$D$101,MATCH($B442,Raw_Customers!$A$2:$A$101,0)),10)</f>
        <v>+91-5846932069</v>
      </c>
      <c r="F442" s="7" t="str">
        <f>Raw_Orders!C442</f>
        <v>26</v>
      </c>
      <c r="G442" s="7" t="str">
        <f>INDEX(Raw_Products!$B$2:$B$71,MATCH($F442,Raw_Products!$A$2:$A$71,0))</f>
        <v>Aliquam Box</v>
      </c>
      <c r="H442" s="7" t="str">
        <f>INDEX(Raw_Products!$C$2:$C$71,MATCH($F442,Raw_Products!$A$2:$A$71,0))</f>
        <v>Colors</v>
      </c>
      <c r="I442" s="7">
        <f>VALUE(Raw_Orders!D442)</f>
        <v>2</v>
      </c>
      <c r="J442" s="11" t="str">
        <f>INDEX(Raw_Products!$D$2:$D$71,MATCH($F442,Raw_Products!$A$2:$A$71,0))</f>
        <v>289</v>
      </c>
      <c r="K442" s="11">
        <f t="shared" si="12"/>
        <v>578</v>
      </c>
      <c r="L442" s="12">
        <f>DATE(VALUE(RIGHT(Raw_Orders!E442,4)),VALUE(MID(Raw_Orders!E442,4,2)),VALUE(LEFT(Raw_Orders!E442,2)))</f>
        <v>44983</v>
      </c>
      <c r="M442" s="12">
        <f>DATE(VALUE(RIGHT(Raw_Orders!G442,4)),VALUE(MID(Raw_Orders!G442,4,2)),VALUE(LEFT(Raw_Orders!G442,2)))</f>
        <v>44991</v>
      </c>
      <c r="N442" s="7">
        <f t="shared" si="13"/>
        <v>8</v>
      </c>
      <c r="O442" s="7" t="str">
        <f>Raw_Orders!J442</f>
        <v>Holi</v>
      </c>
      <c r="P442" s="7" t="str">
        <f>Raw_Orders!I442</f>
        <v>Kurnool</v>
      </c>
    </row>
    <row r="443" spans="1:16">
      <c r="A443" s="7" t="str">
        <f>Raw_Orders!A443</f>
        <v>442</v>
      </c>
      <c r="B443" s="7" t="str">
        <f>Raw_Orders!B443</f>
        <v>C023</v>
      </c>
      <c r="C443" s="7" t="str">
        <f>INDEX(Raw_Customers!$B$2:$B$101,MATCH($B443,Raw_Customers!$A$2:$A$101,0))</f>
        <v>Abram Sandhu</v>
      </c>
      <c r="D443" s="7" t="str">
        <f>TRIM(INDEX(Raw_Customers!$C$2:$C$101,MATCH($B443,Raw_Customers!$A$2:$A$101,0)))</f>
        <v>Bidhannagar</v>
      </c>
      <c r="E443" s="7" t="str">
        <f>"+91-"&amp;RIGHT("0000000000"&amp;INDEX(Raw_Customers!$D$2:$D$101,MATCH($B443,Raw_Customers!$A$2:$A$101,0)),10)</f>
        <v>+91-7196287267</v>
      </c>
      <c r="F443" s="7" t="str">
        <f>Raw_Orders!C443</f>
        <v>3</v>
      </c>
      <c r="G443" s="7" t="str">
        <f>INDEX(Raw_Products!$B$2:$B$71,MATCH($F443,Raw_Products!$A$2:$A$71,0))</f>
        <v>Eius Gift</v>
      </c>
      <c r="H443" s="7" t="str">
        <f>INDEX(Raw_Products!$C$2:$C$71,MATCH($F443,Raw_Products!$A$2:$A$71,0))</f>
        <v>Colors</v>
      </c>
      <c r="I443" s="7">
        <f>VALUE(Raw_Orders!D443)</f>
        <v>3</v>
      </c>
      <c r="J443" s="11" t="str">
        <f>INDEX(Raw_Products!$D$2:$D$71,MATCH($F443,Raw_Products!$A$2:$A$71,0))</f>
        <v>1534</v>
      </c>
      <c r="K443" s="11">
        <f t="shared" si="12"/>
        <v>4602</v>
      </c>
      <c r="L443" s="12">
        <f>DATE(VALUE(RIGHT(Raw_Orders!E443,4)),VALUE(MID(Raw_Orders!E443,4,2)),VALUE(LEFT(Raw_Orders!E443,2)))</f>
        <v>44965</v>
      </c>
      <c r="M443" s="12">
        <f>DATE(VALUE(RIGHT(Raw_Orders!G443,4)),VALUE(MID(Raw_Orders!G443,4,2)),VALUE(LEFT(Raw_Orders!G443,2)))</f>
        <v>44972</v>
      </c>
      <c r="N443" s="7">
        <f t="shared" si="13"/>
        <v>7</v>
      </c>
      <c r="O443" s="7" t="str">
        <f>Raw_Orders!J443</f>
        <v>Valentine's Day</v>
      </c>
      <c r="P443" s="7" t="str">
        <f>Raw_Orders!I443</f>
        <v>Khandwa</v>
      </c>
    </row>
    <row r="444" spans="1:16">
      <c r="A444" s="7" t="str">
        <f>Raw_Orders!A444</f>
        <v>443</v>
      </c>
      <c r="B444" s="7" t="str">
        <f>Raw_Orders!B444</f>
        <v>C046</v>
      </c>
      <c r="C444" s="7" t="str">
        <f>INDEX(Raw_Customers!$B$2:$B$101,MATCH($B444,Raw_Customers!$A$2:$A$101,0))</f>
        <v>Tara Kannan</v>
      </c>
      <c r="D444" s="7" t="str">
        <f>TRIM(INDEX(Raw_Customers!$C$2:$C$101,MATCH($B444,Raw_Customers!$A$2:$A$101,0)))</f>
        <v>Guna</v>
      </c>
      <c r="E444" s="7" t="str">
        <f>"+91-"&amp;RIGHT("0000000000"&amp;INDEX(Raw_Customers!$D$2:$D$101,MATCH($B444,Raw_Customers!$A$2:$A$101,0)),10)</f>
        <v>+91-7543187237</v>
      </c>
      <c r="F444" s="7" t="str">
        <f>Raw_Orders!C444</f>
        <v>49</v>
      </c>
      <c r="G444" s="7" t="str">
        <f>INDEX(Raw_Products!$B$2:$B$71,MATCH($F444,Raw_Products!$A$2:$A$71,0))</f>
        <v>Voluptate Pack</v>
      </c>
      <c r="H444" s="7" t="str">
        <f>INDEX(Raw_Products!$C$2:$C$71,MATCH($F444,Raw_Products!$A$2:$A$71,0))</f>
        <v>Colors</v>
      </c>
      <c r="I444" s="7">
        <f>VALUE(Raw_Orders!D444)</f>
        <v>3</v>
      </c>
      <c r="J444" s="11" t="str">
        <f>INDEX(Raw_Products!$D$2:$D$71,MATCH($F444,Raw_Products!$A$2:$A$71,0))</f>
        <v>903</v>
      </c>
      <c r="K444" s="11">
        <f t="shared" si="12"/>
        <v>2709</v>
      </c>
      <c r="L444" s="12">
        <f>DATE(VALUE(RIGHT(Raw_Orders!E444,4)),VALUE(MID(Raw_Orders!E444,4,2)),VALUE(LEFT(Raw_Orders!E444,2)))</f>
        <v>44961</v>
      </c>
      <c r="M444" s="12">
        <f>DATE(VALUE(RIGHT(Raw_Orders!G444,4)),VALUE(MID(Raw_Orders!G444,4,2)),VALUE(LEFT(Raw_Orders!G444,2)))</f>
        <v>44970</v>
      </c>
      <c r="N444" s="7">
        <f t="shared" si="13"/>
        <v>9</v>
      </c>
      <c r="O444" s="7" t="str">
        <f>Raw_Orders!J444</f>
        <v>Valentine's Day</v>
      </c>
      <c r="P444" s="7" t="str">
        <f>Raw_Orders!I444</f>
        <v>Secunderabad</v>
      </c>
    </row>
    <row r="445" spans="1:16">
      <c r="A445" s="7" t="str">
        <f>Raw_Orders!A445</f>
        <v>444</v>
      </c>
      <c r="B445" s="7" t="str">
        <f>Raw_Orders!B445</f>
        <v>C021</v>
      </c>
      <c r="C445" s="7" t="str">
        <f>INDEX(Raw_Customers!$B$2:$B$101,MATCH($B445,Raw_Customers!$A$2:$A$101,0))</f>
        <v>Siya Talwar</v>
      </c>
      <c r="D445" s="7" t="str">
        <f>TRIM(INDEX(Raw_Customers!$C$2:$C$101,MATCH($B445,Raw_Customers!$A$2:$A$101,0)))</f>
        <v>Mehsana</v>
      </c>
      <c r="E445" s="7" t="str">
        <f>"+91-"&amp;RIGHT("0000000000"&amp;INDEX(Raw_Customers!$D$2:$D$101,MATCH($B445,Raw_Customers!$A$2:$A$101,0)),10)</f>
        <v>+91-5555408563</v>
      </c>
      <c r="F445" s="7" t="str">
        <f>Raw_Orders!C445</f>
        <v>60</v>
      </c>
      <c r="G445" s="7" t="str">
        <f>INDEX(Raw_Products!$B$2:$B$71,MATCH($F445,Raw_Products!$A$2:$A$71,0))</f>
        <v>Ea Set</v>
      </c>
      <c r="H445" s="7" t="str">
        <f>INDEX(Raw_Products!$C$2:$C$71,MATCH($F445,Raw_Products!$A$2:$A$71,0))</f>
        <v>Sweets</v>
      </c>
      <c r="I445" s="7">
        <f>VALUE(Raw_Orders!D445)</f>
        <v>3</v>
      </c>
      <c r="J445" s="11" t="str">
        <f>INDEX(Raw_Products!$D$2:$D$71,MATCH($F445,Raw_Products!$A$2:$A$71,0))</f>
        <v>827</v>
      </c>
      <c r="K445" s="11">
        <f t="shared" si="12"/>
        <v>2481</v>
      </c>
      <c r="L445" s="12">
        <f>DATE(VALUE(RIGHT(Raw_Orders!E445,4)),VALUE(MID(Raw_Orders!E445,4,2)),VALUE(LEFT(Raw_Orders!E445,2)))</f>
        <v>45232</v>
      </c>
      <c r="M445" s="12">
        <f>DATE(VALUE(RIGHT(Raw_Orders!G445,4)),VALUE(MID(Raw_Orders!G445,4,2)),VALUE(LEFT(Raw_Orders!G445,2)))</f>
        <v>45239</v>
      </c>
      <c r="N445" s="7">
        <f t="shared" si="13"/>
        <v>7</v>
      </c>
      <c r="O445" s="7" t="str">
        <f>Raw_Orders!J445</f>
        <v>Diwali</v>
      </c>
      <c r="P445" s="7" t="str">
        <f>Raw_Orders!I445</f>
        <v>Jalna</v>
      </c>
    </row>
    <row r="446" spans="1:16">
      <c r="A446" s="7" t="str">
        <f>Raw_Orders!A446</f>
        <v>445</v>
      </c>
      <c r="B446" s="7" t="str">
        <f>Raw_Orders!B446</f>
        <v>C047</v>
      </c>
      <c r="C446" s="7" t="str">
        <f>INDEX(Raw_Customers!$B$2:$B$101,MATCH($B446,Raw_Customers!$A$2:$A$101,0))</f>
        <v>Bhamini Ravi</v>
      </c>
      <c r="D446" s="7" t="str">
        <f>TRIM(INDEX(Raw_Customers!$C$2:$C$101,MATCH($B446,Raw_Customers!$A$2:$A$101,0)))</f>
        <v>Jorhat</v>
      </c>
      <c r="E446" s="7" t="str">
        <f>"+91-"&amp;RIGHT("0000000000"&amp;INDEX(Raw_Customers!$D$2:$D$101,MATCH($B446,Raw_Customers!$A$2:$A$101,0)),10)</f>
        <v>+91-0798274175</v>
      </c>
      <c r="F446" s="7" t="str">
        <f>Raw_Orders!C446</f>
        <v>30</v>
      </c>
      <c r="G446" s="7" t="str">
        <f>INDEX(Raw_Products!$B$2:$B$71,MATCH($F446,Raw_Products!$A$2:$A$71,0))</f>
        <v>Recusandae Pack</v>
      </c>
      <c r="H446" s="7" t="str">
        <f>INDEX(Raw_Products!$C$2:$C$71,MATCH($F446,Raw_Products!$A$2:$A$71,0))</f>
        <v>Colors</v>
      </c>
      <c r="I446" s="7">
        <f>VALUE(Raw_Orders!D446)</f>
        <v>5</v>
      </c>
      <c r="J446" s="11" t="str">
        <f>INDEX(Raw_Products!$D$2:$D$71,MATCH($F446,Raw_Products!$A$2:$A$71,0))</f>
        <v>751</v>
      </c>
      <c r="K446" s="11">
        <f t="shared" si="12"/>
        <v>3755</v>
      </c>
      <c r="L446" s="12">
        <f>DATE(VALUE(RIGHT(Raw_Orders!E446,4)),VALUE(MID(Raw_Orders!E446,4,2)),VALUE(LEFT(Raw_Orders!E446,2)))</f>
        <v>45091</v>
      </c>
      <c r="M446" s="12">
        <f>DATE(VALUE(RIGHT(Raw_Orders!G446,4)),VALUE(MID(Raw_Orders!G446,4,2)),VALUE(LEFT(Raw_Orders!G446,2)))</f>
        <v>45092</v>
      </c>
      <c r="N446" s="7">
        <f t="shared" si="13"/>
        <v>1</v>
      </c>
      <c r="O446" s="7" t="str">
        <f>Raw_Orders!J446</f>
        <v>Anniversary</v>
      </c>
      <c r="P446" s="7" t="str">
        <f>Raw_Orders!I446</f>
        <v>Karnal</v>
      </c>
    </row>
    <row r="447" spans="1:16">
      <c r="A447" s="7" t="str">
        <f>Raw_Orders!A447</f>
        <v>446</v>
      </c>
      <c r="B447" s="7" t="str">
        <f>Raw_Orders!B447</f>
        <v>C079</v>
      </c>
      <c r="C447" s="7" t="str">
        <f>INDEX(Raw_Customers!$B$2:$B$101,MATCH($B447,Raw_Customers!$A$2:$A$101,0))</f>
        <v>Vedika Sankaran</v>
      </c>
      <c r="D447" s="7" t="str">
        <f>TRIM(INDEX(Raw_Customers!$C$2:$C$101,MATCH($B447,Raw_Customers!$A$2:$A$101,0)))</f>
        <v>Bhilai</v>
      </c>
      <c r="E447" s="7" t="str">
        <f>"+91-"&amp;RIGHT("0000000000"&amp;INDEX(Raw_Customers!$D$2:$D$101,MATCH($B447,Raw_Customers!$A$2:$A$101,0)),10)</f>
        <v>+91-7606054646</v>
      </c>
      <c r="F447" s="7" t="str">
        <f>Raw_Orders!C447</f>
        <v>33</v>
      </c>
      <c r="G447" s="7" t="str">
        <f>INDEX(Raw_Products!$B$2:$B$71,MATCH($F447,Raw_Products!$A$2:$A$71,0))</f>
        <v>Earum Set</v>
      </c>
      <c r="H447" s="7" t="str">
        <f>INDEX(Raw_Products!$C$2:$C$71,MATCH($F447,Raw_Products!$A$2:$A$71,0))</f>
        <v>Colors</v>
      </c>
      <c r="I447" s="7">
        <f>VALUE(Raw_Orders!D447)</f>
        <v>5</v>
      </c>
      <c r="J447" s="11" t="str">
        <f>INDEX(Raw_Products!$D$2:$D$71,MATCH($F447,Raw_Products!$A$2:$A$71,0))</f>
        <v>314</v>
      </c>
      <c r="K447" s="11">
        <f t="shared" si="12"/>
        <v>1570</v>
      </c>
      <c r="L447" s="12">
        <f>DATE(VALUE(RIGHT(Raw_Orders!E447,4)),VALUE(MID(Raw_Orders!E447,4,2)),VALUE(LEFT(Raw_Orders!E447,2)))</f>
        <v>44969</v>
      </c>
      <c r="M447" s="12">
        <f>DATE(VALUE(RIGHT(Raw_Orders!G447,4)),VALUE(MID(Raw_Orders!G447,4,2)),VALUE(LEFT(Raw_Orders!G447,2)))</f>
        <v>44972</v>
      </c>
      <c r="N447" s="7">
        <f t="shared" si="13"/>
        <v>3</v>
      </c>
      <c r="O447" s="7" t="str">
        <f>Raw_Orders!J447</f>
        <v>Valentine's Day</v>
      </c>
      <c r="P447" s="7" t="str">
        <f>Raw_Orders!I447</f>
        <v>Bokaro</v>
      </c>
    </row>
    <row r="448" spans="1:16">
      <c r="A448" s="7" t="str">
        <f>Raw_Orders!A448</f>
        <v>447</v>
      </c>
      <c r="B448" s="7" t="str">
        <f>Raw_Orders!B448</f>
        <v>C032</v>
      </c>
      <c r="C448" s="7" t="str">
        <f>INDEX(Raw_Customers!$B$2:$B$101,MATCH($B448,Raw_Customers!$A$2:$A$101,0))</f>
        <v>Mannat Anand</v>
      </c>
      <c r="D448" s="7" t="str">
        <f>TRIM(INDEX(Raw_Customers!$C$2:$C$101,MATCH($B448,Raw_Customers!$A$2:$A$101,0)))</f>
        <v>Surat</v>
      </c>
      <c r="E448" s="7" t="str">
        <f>"+91-"&amp;RIGHT("0000000000"&amp;INDEX(Raw_Customers!$D$2:$D$101,MATCH($B448,Raw_Customers!$A$2:$A$101,0)),10)</f>
        <v>+91-1611365500</v>
      </c>
      <c r="F448" s="7" t="str">
        <f>Raw_Orders!C448</f>
        <v>47</v>
      </c>
      <c r="G448" s="7" t="str">
        <f>INDEX(Raw_Products!$B$2:$B$71,MATCH($F448,Raw_Products!$A$2:$A$71,0))</f>
        <v>Harum Pack</v>
      </c>
      <c r="H448" s="7" t="str">
        <f>INDEX(Raw_Products!$C$2:$C$71,MATCH($F448,Raw_Products!$A$2:$A$71,0))</f>
        <v>Colors</v>
      </c>
      <c r="I448" s="7">
        <f>VALUE(Raw_Orders!D448)</f>
        <v>4</v>
      </c>
      <c r="J448" s="11" t="str">
        <f>INDEX(Raw_Products!$D$2:$D$71,MATCH($F448,Raw_Products!$A$2:$A$71,0))</f>
        <v>1638</v>
      </c>
      <c r="K448" s="11">
        <f t="shared" si="12"/>
        <v>6552</v>
      </c>
      <c r="L448" s="12">
        <f>DATE(VALUE(RIGHT(Raw_Orders!E448,4)),VALUE(MID(Raw_Orders!E448,4,2)),VALUE(LEFT(Raw_Orders!E448,2)))</f>
        <v>44984</v>
      </c>
      <c r="M448" s="12">
        <f>DATE(VALUE(RIGHT(Raw_Orders!G448,4)),VALUE(MID(Raw_Orders!G448,4,2)),VALUE(LEFT(Raw_Orders!G448,2)))</f>
        <v>44989</v>
      </c>
      <c r="N448" s="7">
        <f t="shared" si="13"/>
        <v>5</v>
      </c>
      <c r="O448" s="7" t="str">
        <f>Raw_Orders!J448</f>
        <v>Holi</v>
      </c>
      <c r="P448" s="7" t="str">
        <f>Raw_Orders!I448</f>
        <v>Bhilwara</v>
      </c>
    </row>
    <row r="449" spans="1:16">
      <c r="A449" s="7" t="str">
        <f>Raw_Orders!A449</f>
        <v>448</v>
      </c>
      <c r="B449" s="7" t="str">
        <f>Raw_Orders!B449</f>
        <v>C086</v>
      </c>
      <c r="C449" s="7" t="str">
        <f>INDEX(Raw_Customers!$B$2:$B$101,MATCH($B449,Raw_Customers!$A$2:$A$101,0))</f>
        <v>Ivana Amble</v>
      </c>
      <c r="D449" s="7" t="str">
        <f>TRIM(INDEX(Raw_Customers!$C$2:$C$101,MATCH($B449,Raw_Customers!$A$2:$A$101,0)))</f>
        <v>Purnia</v>
      </c>
      <c r="E449" s="7" t="str">
        <f>"+91-"&amp;RIGHT("0000000000"&amp;INDEX(Raw_Customers!$D$2:$D$101,MATCH($B449,Raw_Customers!$A$2:$A$101,0)),10)</f>
        <v>+91-9628920018</v>
      </c>
      <c r="F449" s="7" t="str">
        <f>Raw_Orders!C449</f>
        <v>16</v>
      </c>
      <c r="G449" s="7" t="str">
        <f>INDEX(Raw_Products!$B$2:$B$71,MATCH($F449,Raw_Products!$A$2:$A$71,0))</f>
        <v>Ut Pack</v>
      </c>
      <c r="H449" s="7" t="str">
        <f>INDEX(Raw_Products!$C$2:$C$71,MATCH($F449,Raw_Products!$A$2:$A$71,0))</f>
        <v>Sweets</v>
      </c>
      <c r="I449" s="7">
        <f>VALUE(Raw_Orders!D449)</f>
        <v>1</v>
      </c>
      <c r="J449" s="11" t="str">
        <f>INDEX(Raw_Products!$D$2:$D$71,MATCH($F449,Raw_Products!$A$2:$A$71,0))</f>
        <v>1721</v>
      </c>
      <c r="K449" s="11">
        <f t="shared" si="12"/>
        <v>1721</v>
      </c>
      <c r="L449" s="12">
        <f>DATE(VALUE(RIGHT(Raw_Orders!E449,4)),VALUE(MID(Raw_Orders!E449,4,2)),VALUE(LEFT(Raw_Orders!E449,2)))</f>
        <v>44987</v>
      </c>
      <c r="M449" s="12">
        <f>DATE(VALUE(RIGHT(Raw_Orders!G449,4)),VALUE(MID(Raw_Orders!G449,4,2)),VALUE(LEFT(Raw_Orders!G449,2)))</f>
        <v>44988</v>
      </c>
      <c r="N449" s="7">
        <f t="shared" si="13"/>
        <v>1</v>
      </c>
      <c r="O449" s="7" t="str">
        <f>Raw_Orders!J449</f>
        <v>Holi</v>
      </c>
      <c r="P449" s="7" t="str">
        <f>Raw_Orders!I449</f>
        <v>Bulandshahr</v>
      </c>
    </row>
    <row r="450" spans="1:16">
      <c r="A450" s="7" t="str">
        <f>Raw_Orders!A450</f>
        <v>449</v>
      </c>
      <c r="B450" s="7" t="str">
        <f>Raw_Orders!B450</f>
        <v>C045</v>
      </c>
      <c r="C450" s="7" t="str">
        <f>INDEX(Raw_Customers!$B$2:$B$101,MATCH($B450,Raw_Customers!$A$2:$A$101,0))</f>
        <v>Divit Mahajan</v>
      </c>
      <c r="D450" s="7" t="str">
        <f>TRIM(INDEX(Raw_Customers!$C$2:$C$101,MATCH($B450,Raw_Customers!$A$2:$A$101,0)))</f>
        <v>Maheshtala</v>
      </c>
      <c r="E450" s="7" t="str">
        <f>"+91-"&amp;RIGHT("0000000000"&amp;INDEX(Raw_Customers!$D$2:$D$101,MATCH($B450,Raw_Customers!$A$2:$A$101,0)),10)</f>
        <v>+91-6789522856</v>
      </c>
      <c r="F450" s="7" t="str">
        <f>Raw_Orders!C450</f>
        <v>49</v>
      </c>
      <c r="G450" s="7" t="str">
        <f>INDEX(Raw_Products!$B$2:$B$71,MATCH($F450,Raw_Products!$A$2:$A$71,0))</f>
        <v>Voluptate Pack</v>
      </c>
      <c r="H450" s="7" t="str">
        <f>INDEX(Raw_Products!$C$2:$C$71,MATCH($F450,Raw_Products!$A$2:$A$71,0))</f>
        <v>Colors</v>
      </c>
      <c r="I450" s="7">
        <f>VALUE(Raw_Orders!D450)</f>
        <v>4</v>
      </c>
      <c r="J450" s="11" t="str">
        <f>INDEX(Raw_Products!$D$2:$D$71,MATCH($F450,Raw_Products!$A$2:$A$71,0))</f>
        <v>903</v>
      </c>
      <c r="K450" s="11">
        <f t="shared" ref="K450:K513" si="14">I450*J450</f>
        <v>3612</v>
      </c>
      <c r="L450" s="12">
        <f>DATE(VALUE(RIGHT(Raw_Orders!E450,4)),VALUE(MID(Raw_Orders!E450,4,2)),VALUE(LEFT(Raw_Orders!E450,2)))</f>
        <v>44970</v>
      </c>
      <c r="M450" s="12">
        <f>DATE(VALUE(RIGHT(Raw_Orders!G450,4)),VALUE(MID(Raw_Orders!G450,4,2)),VALUE(LEFT(Raw_Orders!G450,2)))</f>
        <v>44973</v>
      </c>
      <c r="N450" s="7">
        <f t="shared" ref="N450:N513" si="15">M450-L450</f>
        <v>3</v>
      </c>
      <c r="O450" s="7" t="str">
        <f>Raw_Orders!J450</f>
        <v>Valentine's Day</v>
      </c>
      <c r="P450" s="7" t="str">
        <f>Raw_Orders!I450</f>
        <v>Ichalkaranji</v>
      </c>
    </row>
    <row r="451" spans="1:16">
      <c r="A451" s="7" t="str">
        <f>Raw_Orders!A451</f>
        <v>450</v>
      </c>
      <c r="B451" s="7" t="str">
        <f>Raw_Orders!B451</f>
        <v>C096</v>
      </c>
      <c r="C451" s="7" t="str">
        <f>INDEX(Raw_Customers!$B$2:$B$101,MATCH($B451,Raw_Customers!$A$2:$A$101,0))</f>
        <v>Kavya Reddy</v>
      </c>
      <c r="D451" s="7" t="str">
        <f>TRIM(INDEX(Raw_Customers!$C$2:$C$101,MATCH($B451,Raw_Customers!$A$2:$A$101,0)))</f>
        <v>Medininagar</v>
      </c>
      <c r="E451" s="7" t="str">
        <f>"+91-"&amp;RIGHT("0000000000"&amp;INDEX(Raw_Customers!$D$2:$D$101,MATCH($B451,Raw_Customers!$A$2:$A$101,0)),10)</f>
        <v>+91-8680724565</v>
      </c>
      <c r="F451" s="7" t="str">
        <f>Raw_Orders!C451</f>
        <v>39</v>
      </c>
      <c r="G451" s="7" t="str">
        <f>INDEX(Raw_Products!$B$2:$B$71,MATCH($F451,Raw_Products!$A$2:$A$71,0))</f>
        <v>Voluptate Set</v>
      </c>
      <c r="H451" s="7" t="str">
        <f>INDEX(Raw_Products!$C$2:$C$71,MATCH($F451,Raw_Products!$A$2:$A$71,0))</f>
        <v>Mugs</v>
      </c>
      <c r="I451" s="7">
        <f>VALUE(Raw_Orders!D451)</f>
        <v>5</v>
      </c>
      <c r="J451" s="11" t="str">
        <f>INDEX(Raw_Products!$D$2:$D$71,MATCH($F451,Raw_Products!$A$2:$A$71,0))</f>
        <v>387</v>
      </c>
      <c r="K451" s="11">
        <f t="shared" si="14"/>
        <v>1935</v>
      </c>
      <c r="L451" s="12">
        <f>DATE(VALUE(RIGHT(Raw_Orders!E451,4)),VALUE(MID(Raw_Orders!E451,4,2)),VALUE(LEFT(Raw_Orders!E451,2)))</f>
        <v>45262</v>
      </c>
      <c r="M451" s="12">
        <f>DATE(VALUE(RIGHT(Raw_Orders!G451,4)),VALUE(MID(Raw_Orders!G451,4,2)),VALUE(LEFT(Raw_Orders!G451,2)))</f>
        <v>45272</v>
      </c>
      <c r="N451" s="7">
        <f t="shared" si="15"/>
        <v>10</v>
      </c>
      <c r="O451" s="7" t="str">
        <f>Raw_Orders!J451</f>
        <v>All Occasions</v>
      </c>
      <c r="P451" s="7" t="str">
        <f>Raw_Orders!I451</f>
        <v>Sri Ganganagar</v>
      </c>
    </row>
    <row r="452" spans="1:16">
      <c r="A452" s="7" t="str">
        <f>Raw_Orders!A452</f>
        <v>451</v>
      </c>
      <c r="B452" s="7" t="str">
        <f>Raw_Orders!B452</f>
        <v>C079</v>
      </c>
      <c r="C452" s="7" t="str">
        <f>INDEX(Raw_Customers!$B$2:$B$101,MATCH($B452,Raw_Customers!$A$2:$A$101,0))</f>
        <v>Vedika Sankaran</v>
      </c>
      <c r="D452" s="7" t="str">
        <f>TRIM(INDEX(Raw_Customers!$C$2:$C$101,MATCH($B452,Raw_Customers!$A$2:$A$101,0)))</f>
        <v>Bhilai</v>
      </c>
      <c r="E452" s="7" t="str">
        <f>"+91-"&amp;RIGHT("0000000000"&amp;INDEX(Raw_Customers!$D$2:$D$101,MATCH($B452,Raw_Customers!$A$2:$A$101,0)),10)</f>
        <v>+91-7606054646</v>
      </c>
      <c r="F452" s="7" t="str">
        <f>Raw_Orders!C452</f>
        <v>33</v>
      </c>
      <c r="G452" s="7" t="str">
        <f>INDEX(Raw_Products!$B$2:$B$71,MATCH($F452,Raw_Products!$A$2:$A$71,0))</f>
        <v>Earum Set</v>
      </c>
      <c r="H452" s="7" t="str">
        <f>INDEX(Raw_Products!$C$2:$C$71,MATCH($F452,Raw_Products!$A$2:$A$71,0))</f>
        <v>Colors</v>
      </c>
      <c r="I452" s="7">
        <f>VALUE(Raw_Orders!D452)</f>
        <v>5</v>
      </c>
      <c r="J452" s="11" t="str">
        <f>INDEX(Raw_Products!$D$2:$D$71,MATCH($F452,Raw_Products!$A$2:$A$71,0))</f>
        <v>314</v>
      </c>
      <c r="K452" s="11">
        <f t="shared" si="14"/>
        <v>1570</v>
      </c>
      <c r="L452" s="12">
        <f>DATE(VALUE(RIGHT(Raw_Orders!E452,4)),VALUE(MID(Raw_Orders!E452,4,2)),VALUE(LEFT(Raw_Orders!E452,2)))</f>
        <v>44964</v>
      </c>
      <c r="M452" s="12">
        <f>DATE(VALUE(RIGHT(Raw_Orders!G452,4)),VALUE(MID(Raw_Orders!G452,4,2)),VALUE(LEFT(Raw_Orders!G452,2)))</f>
        <v>44970</v>
      </c>
      <c r="N452" s="7">
        <f t="shared" si="15"/>
        <v>6</v>
      </c>
      <c r="O452" s="7" t="str">
        <f>Raw_Orders!J452</f>
        <v>Valentine's Day</v>
      </c>
      <c r="P452" s="7" t="str">
        <f>Raw_Orders!I452</f>
        <v>Ujjain</v>
      </c>
    </row>
    <row r="453" spans="1:16">
      <c r="A453" s="7" t="str">
        <f>Raw_Orders!A453</f>
        <v>452</v>
      </c>
      <c r="B453" s="7" t="str">
        <f>Raw_Orders!B453</f>
        <v>C045</v>
      </c>
      <c r="C453" s="7" t="str">
        <f>INDEX(Raw_Customers!$B$2:$B$101,MATCH($B453,Raw_Customers!$A$2:$A$101,0))</f>
        <v>Divit Mahajan</v>
      </c>
      <c r="D453" s="7" t="str">
        <f>TRIM(INDEX(Raw_Customers!$C$2:$C$101,MATCH($B453,Raw_Customers!$A$2:$A$101,0)))</f>
        <v>Maheshtala</v>
      </c>
      <c r="E453" s="7" t="str">
        <f>"+91-"&amp;RIGHT("0000000000"&amp;INDEX(Raw_Customers!$D$2:$D$101,MATCH($B453,Raw_Customers!$A$2:$A$101,0)),10)</f>
        <v>+91-6789522856</v>
      </c>
      <c r="F453" s="7" t="str">
        <f>Raw_Orders!C453</f>
        <v>70</v>
      </c>
      <c r="G453" s="7" t="str">
        <f>INDEX(Raw_Products!$B$2:$B$71,MATCH($F453,Raw_Products!$A$2:$A$71,0))</f>
        <v>Error Gift</v>
      </c>
      <c r="H453" s="7" t="str">
        <f>INDEX(Raw_Products!$C$2:$C$71,MATCH($F453,Raw_Products!$A$2:$A$71,0))</f>
        <v>Sweets</v>
      </c>
      <c r="I453" s="7">
        <f>VALUE(Raw_Orders!D453)</f>
        <v>3</v>
      </c>
      <c r="J453" s="11" t="str">
        <f>INDEX(Raw_Products!$D$2:$D$71,MATCH($F453,Raw_Products!$A$2:$A$71,0))</f>
        <v>866</v>
      </c>
      <c r="K453" s="11">
        <f t="shared" si="14"/>
        <v>2598</v>
      </c>
      <c r="L453" s="12">
        <f>DATE(VALUE(RIGHT(Raw_Orders!E453,4)),VALUE(MID(Raw_Orders!E453,4,2)),VALUE(LEFT(Raw_Orders!E453,2)))</f>
        <v>45116</v>
      </c>
      <c r="M453" s="12">
        <f>DATE(VALUE(RIGHT(Raw_Orders!G453,4)),VALUE(MID(Raw_Orders!G453,4,2)),VALUE(LEFT(Raw_Orders!G453,2)))</f>
        <v>45124</v>
      </c>
      <c r="N453" s="7">
        <f t="shared" si="15"/>
        <v>8</v>
      </c>
      <c r="O453" s="7" t="str">
        <f>Raw_Orders!J453</f>
        <v>Birthday</v>
      </c>
      <c r="P453" s="7" t="str">
        <f>Raw_Orders!I453</f>
        <v>Mahbubnagar</v>
      </c>
    </row>
    <row r="454" spans="1:16">
      <c r="A454" s="7" t="str">
        <f>Raw_Orders!A454</f>
        <v>453</v>
      </c>
      <c r="B454" s="7" t="str">
        <f>Raw_Orders!B454</f>
        <v>C032</v>
      </c>
      <c r="C454" s="7" t="str">
        <f>INDEX(Raw_Customers!$B$2:$B$101,MATCH($B454,Raw_Customers!$A$2:$A$101,0))</f>
        <v>Mannat Anand</v>
      </c>
      <c r="D454" s="7" t="str">
        <f>TRIM(INDEX(Raw_Customers!$C$2:$C$101,MATCH($B454,Raw_Customers!$A$2:$A$101,0)))</f>
        <v>Surat</v>
      </c>
      <c r="E454" s="7" t="str">
        <f>"+91-"&amp;RIGHT("0000000000"&amp;INDEX(Raw_Customers!$D$2:$D$101,MATCH($B454,Raw_Customers!$A$2:$A$101,0)),10)</f>
        <v>+91-1611365500</v>
      </c>
      <c r="F454" s="7" t="str">
        <f>Raw_Orders!C454</f>
        <v>27</v>
      </c>
      <c r="G454" s="7" t="str">
        <f>INDEX(Raw_Products!$B$2:$B$71,MATCH($F454,Raw_Products!$A$2:$A$71,0))</f>
        <v>Architecto Gift</v>
      </c>
      <c r="H454" s="7" t="str">
        <f>INDEX(Raw_Products!$C$2:$C$71,MATCH($F454,Raw_Products!$A$2:$A$71,0))</f>
        <v>Cake</v>
      </c>
      <c r="I454" s="7">
        <f>VALUE(Raw_Orders!D454)</f>
        <v>2</v>
      </c>
      <c r="J454" s="11" t="str">
        <f>INDEX(Raw_Products!$D$2:$D$71,MATCH($F454,Raw_Products!$A$2:$A$71,0))</f>
        <v>548</v>
      </c>
      <c r="K454" s="11">
        <f t="shared" si="14"/>
        <v>1096</v>
      </c>
      <c r="L454" s="12">
        <f>DATE(VALUE(RIGHT(Raw_Orders!E454,4)),VALUE(MID(Raw_Orders!E454,4,2)),VALUE(LEFT(Raw_Orders!E454,2)))</f>
        <v>45159</v>
      </c>
      <c r="M454" s="12">
        <f>DATE(VALUE(RIGHT(Raw_Orders!G454,4)),VALUE(MID(Raw_Orders!G454,4,2)),VALUE(LEFT(Raw_Orders!G454,2)))</f>
        <v>45169</v>
      </c>
      <c r="N454" s="7">
        <f t="shared" si="15"/>
        <v>10</v>
      </c>
      <c r="O454" s="7" t="str">
        <f>Raw_Orders!J454</f>
        <v>Raksha Bandhan</v>
      </c>
      <c r="P454" s="7" t="str">
        <f>Raw_Orders!I454</f>
        <v>Varanasi</v>
      </c>
    </row>
    <row r="455" spans="1:16">
      <c r="A455" s="7" t="str">
        <f>Raw_Orders!A455</f>
        <v>454</v>
      </c>
      <c r="B455" s="7" t="str">
        <f>Raw_Orders!B455</f>
        <v>C088</v>
      </c>
      <c r="C455" s="7" t="str">
        <f>INDEX(Raw_Customers!$B$2:$B$101,MATCH($B455,Raw_Customers!$A$2:$A$101,0))</f>
        <v>Shalv Kulkarni</v>
      </c>
      <c r="D455" s="7" t="str">
        <f>TRIM(INDEX(Raw_Customers!$C$2:$C$101,MATCH($B455,Raw_Customers!$A$2:$A$101,0)))</f>
        <v>Khora</v>
      </c>
      <c r="E455" s="7" t="str">
        <f>"+91-"&amp;RIGHT("0000000000"&amp;INDEX(Raw_Customers!$D$2:$D$101,MATCH($B455,Raw_Customers!$A$2:$A$101,0)),10)</f>
        <v>+91-9113488461</v>
      </c>
      <c r="F455" s="7" t="str">
        <f>Raw_Orders!C455</f>
        <v>3</v>
      </c>
      <c r="G455" s="7" t="str">
        <f>INDEX(Raw_Products!$B$2:$B$71,MATCH($F455,Raw_Products!$A$2:$A$71,0))</f>
        <v>Eius Gift</v>
      </c>
      <c r="H455" s="7" t="str">
        <f>INDEX(Raw_Products!$C$2:$C$71,MATCH($F455,Raw_Products!$A$2:$A$71,0))</f>
        <v>Colors</v>
      </c>
      <c r="I455" s="7">
        <f>VALUE(Raw_Orders!D455)</f>
        <v>2</v>
      </c>
      <c r="J455" s="11" t="str">
        <f>INDEX(Raw_Products!$D$2:$D$71,MATCH($F455,Raw_Products!$A$2:$A$71,0))</f>
        <v>1534</v>
      </c>
      <c r="K455" s="11">
        <f t="shared" si="14"/>
        <v>3068</v>
      </c>
      <c r="L455" s="12">
        <f>DATE(VALUE(RIGHT(Raw_Orders!E455,4)),VALUE(MID(Raw_Orders!E455,4,2)),VALUE(LEFT(Raw_Orders!E455,2)))</f>
        <v>44964</v>
      </c>
      <c r="M455" s="12">
        <f>DATE(VALUE(RIGHT(Raw_Orders!G455,4)),VALUE(MID(Raw_Orders!G455,4,2)),VALUE(LEFT(Raw_Orders!G455,2)))</f>
        <v>44966</v>
      </c>
      <c r="N455" s="7">
        <f t="shared" si="15"/>
        <v>2</v>
      </c>
      <c r="O455" s="7" t="str">
        <f>Raw_Orders!J455</f>
        <v>Valentine's Day</v>
      </c>
      <c r="P455" s="7" t="str">
        <f>Raw_Orders!I455</f>
        <v>Suryapet</v>
      </c>
    </row>
    <row r="456" spans="1:16">
      <c r="A456" s="7" t="str">
        <f>Raw_Orders!A456</f>
        <v>455</v>
      </c>
      <c r="B456" s="7" t="str">
        <f>Raw_Orders!B456</f>
        <v>C072</v>
      </c>
      <c r="C456" s="7" t="str">
        <f>INDEX(Raw_Customers!$B$2:$B$101,MATCH($B456,Raw_Customers!$A$2:$A$101,0))</f>
        <v>Charvi Karnik</v>
      </c>
      <c r="D456" s="7" t="str">
        <f>TRIM(INDEX(Raw_Customers!$C$2:$C$101,MATCH($B456,Raw_Customers!$A$2:$A$101,0)))</f>
        <v>Hyderabad</v>
      </c>
      <c r="E456" s="7" t="str">
        <f>"+91-"&amp;RIGHT("0000000000"&amp;INDEX(Raw_Customers!$D$2:$D$101,MATCH($B456,Raw_Customers!$A$2:$A$101,0)),10)</f>
        <v>+91-7573085232</v>
      </c>
      <c r="F456" s="7" t="str">
        <f>Raw_Orders!C456</f>
        <v>1</v>
      </c>
      <c r="G456" s="7" t="str">
        <f>INDEX(Raw_Products!$B$2:$B$71,MATCH($F456,Raw_Products!$A$2:$A$71,0))</f>
        <v>Magnam Set</v>
      </c>
      <c r="H456" s="7" t="str">
        <f>INDEX(Raw_Products!$C$2:$C$71,MATCH($F456,Raw_Products!$A$2:$A$71,0))</f>
        <v>Soft Toys</v>
      </c>
      <c r="I456" s="7">
        <f>VALUE(Raw_Orders!D456)</f>
        <v>2</v>
      </c>
      <c r="J456" s="11" t="str">
        <f>INDEX(Raw_Products!$D$2:$D$71,MATCH($F456,Raw_Products!$A$2:$A$71,0))</f>
        <v>1935</v>
      </c>
      <c r="K456" s="11">
        <f t="shared" si="14"/>
        <v>3870</v>
      </c>
      <c r="L456" s="12">
        <f>DATE(VALUE(RIGHT(Raw_Orders!E456,4)),VALUE(MID(Raw_Orders!E456,4,2)),VALUE(LEFT(Raw_Orders!E456,2)))</f>
        <v>45219</v>
      </c>
      <c r="M456" s="12">
        <f>DATE(VALUE(RIGHT(Raw_Orders!G456,4)),VALUE(MID(Raw_Orders!G456,4,2)),VALUE(LEFT(Raw_Orders!G456,2)))</f>
        <v>45224</v>
      </c>
      <c r="N456" s="7">
        <f t="shared" si="15"/>
        <v>5</v>
      </c>
      <c r="O456" s="7" t="str">
        <f>Raw_Orders!J456</f>
        <v>All Occasions</v>
      </c>
      <c r="P456" s="7" t="str">
        <f>Raw_Orders!I456</f>
        <v>Eluru</v>
      </c>
    </row>
    <row r="457" spans="1:16">
      <c r="A457" s="7" t="str">
        <f>Raw_Orders!A457</f>
        <v>456</v>
      </c>
      <c r="B457" s="7" t="str">
        <f>Raw_Orders!B457</f>
        <v>C071</v>
      </c>
      <c r="C457" s="7" t="str">
        <f>INDEX(Raw_Customers!$B$2:$B$101,MATCH($B457,Raw_Customers!$A$2:$A$101,0))</f>
        <v>Purab Sheth</v>
      </c>
      <c r="D457" s="7" t="str">
        <f>TRIM(INDEX(Raw_Customers!$C$2:$C$101,MATCH($B457,Raw_Customers!$A$2:$A$101,0)))</f>
        <v>Tiruppur</v>
      </c>
      <c r="E457" s="7" t="str">
        <f>"+91-"&amp;RIGHT("0000000000"&amp;INDEX(Raw_Customers!$D$2:$D$101,MATCH($B457,Raw_Customers!$A$2:$A$101,0)),10)</f>
        <v>+91-8410472405</v>
      </c>
      <c r="F457" s="7" t="str">
        <f>Raw_Orders!C457</f>
        <v>33</v>
      </c>
      <c r="G457" s="7" t="str">
        <f>INDEX(Raw_Products!$B$2:$B$71,MATCH($F457,Raw_Products!$A$2:$A$71,0))</f>
        <v>Earum Set</v>
      </c>
      <c r="H457" s="7" t="str">
        <f>INDEX(Raw_Products!$C$2:$C$71,MATCH($F457,Raw_Products!$A$2:$A$71,0))</f>
        <v>Colors</v>
      </c>
      <c r="I457" s="7">
        <f>VALUE(Raw_Orders!D457)</f>
        <v>2</v>
      </c>
      <c r="J457" s="11" t="str">
        <f>INDEX(Raw_Products!$D$2:$D$71,MATCH($F457,Raw_Products!$A$2:$A$71,0))</f>
        <v>314</v>
      </c>
      <c r="K457" s="11">
        <f t="shared" si="14"/>
        <v>628</v>
      </c>
      <c r="L457" s="12">
        <f>DATE(VALUE(RIGHT(Raw_Orders!E457,4)),VALUE(MID(Raw_Orders!E457,4,2)),VALUE(LEFT(Raw_Orders!E457,2)))</f>
        <v>44969</v>
      </c>
      <c r="M457" s="12">
        <f>DATE(VALUE(RIGHT(Raw_Orders!G457,4)),VALUE(MID(Raw_Orders!G457,4,2)),VALUE(LEFT(Raw_Orders!G457,2)))</f>
        <v>44972</v>
      </c>
      <c r="N457" s="7">
        <f t="shared" si="15"/>
        <v>3</v>
      </c>
      <c r="O457" s="7" t="str">
        <f>Raw_Orders!J457</f>
        <v>Valentine's Day</v>
      </c>
      <c r="P457" s="7" t="str">
        <f>Raw_Orders!I457</f>
        <v>Nangloi Jat</v>
      </c>
    </row>
    <row r="458" spans="1:16">
      <c r="A458" s="7" t="str">
        <f>Raw_Orders!A458</f>
        <v>457</v>
      </c>
      <c r="B458" s="7" t="str">
        <f>Raw_Orders!B458</f>
        <v>C036</v>
      </c>
      <c r="C458" s="7" t="str">
        <f>INDEX(Raw_Customers!$B$2:$B$101,MATCH($B458,Raw_Customers!$A$2:$A$101,0))</f>
        <v>Biju Bajwa</v>
      </c>
      <c r="D458" s="7" t="str">
        <f>TRIM(INDEX(Raw_Customers!$C$2:$C$101,MATCH($B458,Raw_Customers!$A$2:$A$101,0)))</f>
        <v>Dibrugarh</v>
      </c>
      <c r="E458" s="7" t="str">
        <f>"+91-"&amp;RIGHT("0000000000"&amp;INDEX(Raw_Customers!$D$2:$D$101,MATCH($B458,Raw_Customers!$A$2:$A$101,0)),10)</f>
        <v>+91-8721850071</v>
      </c>
      <c r="F458" s="7" t="str">
        <f>Raw_Orders!C458</f>
        <v>22</v>
      </c>
      <c r="G458" s="7" t="str">
        <f>INDEX(Raw_Products!$B$2:$B$71,MATCH($F458,Raw_Products!$A$2:$A$71,0))</f>
        <v>Exercitationem Pack</v>
      </c>
      <c r="H458" s="7" t="str">
        <f>INDEX(Raw_Products!$C$2:$C$71,MATCH($F458,Raw_Products!$A$2:$A$71,0))</f>
        <v>Soft Toys</v>
      </c>
      <c r="I458" s="7">
        <f>VALUE(Raw_Orders!D458)</f>
        <v>5</v>
      </c>
      <c r="J458" s="11" t="str">
        <f>INDEX(Raw_Products!$D$2:$D$71,MATCH($F458,Raw_Products!$A$2:$A$71,0))</f>
        <v>1639</v>
      </c>
      <c r="K458" s="11">
        <f t="shared" si="14"/>
        <v>8195</v>
      </c>
      <c r="L458" s="12">
        <f>DATE(VALUE(RIGHT(Raw_Orders!E458,4)),VALUE(MID(Raw_Orders!E458,4,2)),VALUE(LEFT(Raw_Orders!E458,2)))</f>
        <v>45073</v>
      </c>
      <c r="M458" s="12">
        <f>DATE(VALUE(RIGHT(Raw_Orders!G458,4)),VALUE(MID(Raw_Orders!G458,4,2)),VALUE(LEFT(Raw_Orders!G458,2)))</f>
        <v>45075</v>
      </c>
      <c r="N458" s="7">
        <f t="shared" si="15"/>
        <v>2</v>
      </c>
      <c r="O458" s="7" t="str">
        <f>Raw_Orders!J458</f>
        <v>All Occasions</v>
      </c>
      <c r="P458" s="7" t="str">
        <f>Raw_Orders!I458</f>
        <v>Mirzapur</v>
      </c>
    </row>
    <row r="459" spans="1:16">
      <c r="A459" s="7" t="str">
        <f>Raw_Orders!A459</f>
        <v>458</v>
      </c>
      <c r="B459" s="7" t="str">
        <f>Raw_Orders!B459</f>
        <v>C054</v>
      </c>
      <c r="C459" s="7" t="str">
        <f>INDEX(Raw_Customers!$B$2:$B$101,MATCH($B459,Raw_Customers!$A$2:$A$101,0))</f>
        <v>Umang Ahuja</v>
      </c>
      <c r="D459" s="7" t="str">
        <f>TRIM(INDEX(Raw_Customers!$C$2:$C$101,MATCH($B459,Raw_Customers!$A$2:$A$101,0)))</f>
        <v>Bidhannagar</v>
      </c>
      <c r="E459" s="7" t="str">
        <f>"+91-"&amp;RIGHT("0000000000"&amp;INDEX(Raw_Customers!$D$2:$D$101,MATCH($B459,Raw_Customers!$A$2:$A$101,0)),10)</f>
        <v>+91-7271590783</v>
      </c>
      <c r="F459" s="7" t="str">
        <f>Raw_Orders!C459</f>
        <v>32</v>
      </c>
      <c r="G459" s="7" t="str">
        <f>INDEX(Raw_Products!$B$2:$B$71,MATCH($F459,Raw_Products!$A$2:$A$71,0))</f>
        <v>Fuga Set</v>
      </c>
      <c r="H459" s="7" t="str">
        <f>INDEX(Raw_Products!$C$2:$C$71,MATCH($F459,Raw_Products!$A$2:$A$71,0))</f>
        <v>Soft Toys</v>
      </c>
      <c r="I459" s="7">
        <f>VALUE(Raw_Orders!D459)</f>
        <v>2</v>
      </c>
      <c r="J459" s="11" t="str">
        <f>INDEX(Raw_Products!$D$2:$D$71,MATCH($F459,Raw_Products!$A$2:$A$71,0))</f>
        <v>1792</v>
      </c>
      <c r="K459" s="11">
        <f t="shared" si="14"/>
        <v>3584</v>
      </c>
      <c r="L459" s="12">
        <f>DATE(VALUE(RIGHT(Raw_Orders!E459,4)),VALUE(MID(Raw_Orders!E459,4,2)),VALUE(LEFT(Raw_Orders!E459,2)))</f>
        <v>45126</v>
      </c>
      <c r="M459" s="12">
        <f>DATE(VALUE(RIGHT(Raw_Orders!G459,4)),VALUE(MID(Raw_Orders!G459,4,2)),VALUE(LEFT(Raw_Orders!G459,2)))</f>
        <v>45131</v>
      </c>
      <c r="N459" s="7">
        <f t="shared" si="15"/>
        <v>5</v>
      </c>
      <c r="O459" s="7" t="str">
        <f>Raw_Orders!J459</f>
        <v>Birthday</v>
      </c>
      <c r="P459" s="7" t="str">
        <f>Raw_Orders!I459</f>
        <v>Ramgarh</v>
      </c>
    </row>
    <row r="460" spans="1:16">
      <c r="A460" s="7" t="str">
        <f>Raw_Orders!A460</f>
        <v>459</v>
      </c>
      <c r="B460" s="7" t="str">
        <f>Raw_Orders!B460</f>
        <v>C093</v>
      </c>
      <c r="C460" s="7" t="str">
        <f>INDEX(Raw_Customers!$B$2:$B$101,MATCH($B460,Raw_Customers!$A$2:$A$101,0))</f>
        <v>Mamooty Bawa</v>
      </c>
      <c r="D460" s="7" t="str">
        <f>TRIM(INDEX(Raw_Customers!$C$2:$C$101,MATCH($B460,Raw_Customers!$A$2:$A$101,0)))</f>
        <v>Tumkur</v>
      </c>
      <c r="E460" s="7" t="str">
        <f>"+91-"&amp;RIGHT("0000000000"&amp;INDEX(Raw_Customers!$D$2:$D$101,MATCH($B460,Raw_Customers!$A$2:$A$101,0)),10)</f>
        <v>+91-2783169130</v>
      </c>
      <c r="F460" s="7" t="str">
        <f>Raw_Orders!C460</f>
        <v>12</v>
      </c>
      <c r="G460" s="7" t="str">
        <f>INDEX(Raw_Products!$B$2:$B$71,MATCH($F460,Raw_Products!$A$2:$A$71,0))</f>
        <v>Non Set</v>
      </c>
      <c r="H460" s="7" t="str">
        <f>INDEX(Raw_Products!$C$2:$C$71,MATCH($F460,Raw_Products!$A$2:$A$71,0))</f>
        <v>Plants</v>
      </c>
      <c r="I460" s="7">
        <f>VALUE(Raw_Orders!D460)</f>
        <v>2</v>
      </c>
      <c r="J460" s="11" t="str">
        <f>INDEX(Raw_Products!$D$2:$D$71,MATCH($F460,Raw_Products!$A$2:$A$71,0))</f>
        <v>672</v>
      </c>
      <c r="K460" s="11">
        <f t="shared" si="14"/>
        <v>1344</v>
      </c>
      <c r="L460" s="12">
        <f>DATE(VALUE(RIGHT(Raw_Orders!E460,4)),VALUE(MID(Raw_Orders!E460,4,2)),VALUE(LEFT(Raw_Orders!E460,2)))</f>
        <v>45014</v>
      </c>
      <c r="M460" s="12">
        <f>DATE(VALUE(RIGHT(Raw_Orders!G460,4)),VALUE(MID(Raw_Orders!G460,4,2)),VALUE(LEFT(Raw_Orders!G460,2)))</f>
        <v>45015</v>
      </c>
      <c r="N460" s="7">
        <f t="shared" si="15"/>
        <v>1</v>
      </c>
      <c r="O460" s="7" t="str">
        <f>Raw_Orders!J460</f>
        <v>Anniversary</v>
      </c>
      <c r="P460" s="7" t="str">
        <f>Raw_Orders!I460</f>
        <v>Ranchi</v>
      </c>
    </row>
    <row r="461" spans="1:16">
      <c r="A461" s="7" t="str">
        <f>Raw_Orders!A461</f>
        <v>460</v>
      </c>
      <c r="B461" s="7" t="str">
        <f>Raw_Orders!B461</f>
        <v>C007</v>
      </c>
      <c r="C461" s="7" t="str">
        <f>INDEX(Raw_Customers!$B$2:$B$101,MATCH($B461,Raw_Customers!$A$2:$A$101,0))</f>
        <v>Jayant Kamdar</v>
      </c>
      <c r="D461" s="7" t="str">
        <f>TRIM(INDEX(Raw_Customers!$C$2:$C$101,MATCH($B461,Raw_Customers!$A$2:$A$101,0)))</f>
        <v>Berhampore</v>
      </c>
      <c r="E461" s="7" t="str">
        <f>"+91-"&amp;RIGHT("0000000000"&amp;INDEX(Raw_Customers!$D$2:$D$101,MATCH($B461,Raw_Customers!$A$2:$A$101,0)),10)</f>
        <v>+91-8576675504</v>
      </c>
      <c r="F461" s="7" t="str">
        <f>Raw_Orders!C461</f>
        <v>29</v>
      </c>
      <c r="G461" s="7" t="str">
        <f>INDEX(Raw_Products!$B$2:$B$71,MATCH($F461,Raw_Products!$A$2:$A$71,0))</f>
        <v>In Set</v>
      </c>
      <c r="H461" s="7" t="str">
        <f>INDEX(Raw_Products!$C$2:$C$71,MATCH($F461,Raw_Products!$A$2:$A$71,0))</f>
        <v>Colors</v>
      </c>
      <c r="I461" s="7">
        <f>VALUE(Raw_Orders!D461)</f>
        <v>2</v>
      </c>
      <c r="J461" s="11" t="str">
        <f>INDEX(Raw_Products!$D$2:$D$71,MATCH($F461,Raw_Products!$A$2:$A$71,0))</f>
        <v>1252</v>
      </c>
      <c r="K461" s="11">
        <f t="shared" si="14"/>
        <v>2504</v>
      </c>
      <c r="L461" s="12">
        <f>DATE(VALUE(RIGHT(Raw_Orders!E461,4)),VALUE(MID(Raw_Orders!E461,4,2)),VALUE(LEFT(Raw_Orders!E461,2)))</f>
        <v>44989</v>
      </c>
      <c r="M461" s="12">
        <f>DATE(VALUE(RIGHT(Raw_Orders!G461,4)),VALUE(MID(Raw_Orders!G461,4,2)),VALUE(LEFT(Raw_Orders!G461,2)))</f>
        <v>44991</v>
      </c>
      <c r="N461" s="7">
        <f t="shared" si="15"/>
        <v>2</v>
      </c>
      <c r="O461" s="7" t="str">
        <f>Raw_Orders!J461</f>
        <v>Holi</v>
      </c>
      <c r="P461" s="7" t="str">
        <f>Raw_Orders!I461</f>
        <v>Kolhapur</v>
      </c>
    </row>
    <row r="462" spans="1:16">
      <c r="A462" s="7" t="str">
        <f>Raw_Orders!A462</f>
        <v>461</v>
      </c>
      <c r="B462" s="7" t="str">
        <f>Raw_Orders!B462</f>
        <v>C083</v>
      </c>
      <c r="C462" s="7" t="str">
        <f>INDEX(Raw_Customers!$B$2:$B$101,MATCH($B462,Raw_Customers!$A$2:$A$101,0))</f>
        <v>Aaryahi Sodhi</v>
      </c>
      <c r="D462" s="7" t="str">
        <f>TRIM(INDEX(Raw_Customers!$C$2:$C$101,MATCH($B462,Raw_Customers!$A$2:$A$101,0)))</f>
        <v>Raurkela Industrial Township</v>
      </c>
      <c r="E462" s="7" t="str">
        <f>"+91-"&amp;RIGHT("0000000000"&amp;INDEX(Raw_Customers!$D$2:$D$101,MATCH($B462,Raw_Customers!$A$2:$A$101,0)),10)</f>
        <v>+91-2690208110</v>
      </c>
      <c r="F462" s="7" t="str">
        <f>Raw_Orders!C462</f>
        <v>12</v>
      </c>
      <c r="G462" s="7" t="str">
        <f>INDEX(Raw_Products!$B$2:$B$71,MATCH($F462,Raw_Products!$A$2:$A$71,0))</f>
        <v>Non Set</v>
      </c>
      <c r="H462" s="7" t="str">
        <f>INDEX(Raw_Products!$C$2:$C$71,MATCH($F462,Raw_Products!$A$2:$A$71,0))</f>
        <v>Plants</v>
      </c>
      <c r="I462" s="7">
        <f>VALUE(Raw_Orders!D462)</f>
        <v>4</v>
      </c>
      <c r="J462" s="11" t="str">
        <f>INDEX(Raw_Products!$D$2:$D$71,MATCH($F462,Raw_Products!$A$2:$A$71,0))</f>
        <v>672</v>
      </c>
      <c r="K462" s="11">
        <f t="shared" si="14"/>
        <v>2688</v>
      </c>
      <c r="L462" s="12">
        <f>DATE(VALUE(RIGHT(Raw_Orders!E462,4)),VALUE(MID(Raw_Orders!E462,4,2)),VALUE(LEFT(Raw_Orders!E462,2)))</f>
        <v>45099</v>
      </c>
      <c r="M462" s="12">
        <f>DATE(VALUE(RIGHT(Raw_Orders!G462,4)),VALUE(MID(Raw_Orders!G462,4,2)),VALUE(LEFT(Raw_Orders!G462,2)))</f>
        <v>45104</v>
      </c>
      <c r="N462" s="7">
        <f t="shared" si="15"/>
        <v>5</v>
      </c>
      <c r="O462" s="7" t="str">
        <f>Raw_Orders!J462</f>
        <v>Anniversary</v>
      </c>
      <c r="P462" s="7" t="str">
        <f>Raw_Orders!I462</f>
        <v>Srinagar</v>
      </c>
    </row>
    <row r="463" spans="1:16">
      <c r="A463" s="7" t="str">
        <f>Raw_Orders!A463</f>
        <v>462</v>
      </c>
      <c r="B463" s="7" t="str">
        <f>Raw_Orders!B463</f>
        <v>C069</v>
      </c>
      <c r="C463" s="7" t="str">
        <f>INDEX(Raw_Customers!$B$2:$B$101,MATCH($B463,Raw_Customers!$A$2:$A$101,0))</f>
        <v>Hunar Tripathi</v>
      </c>
      <c r="D463" s="7" t="str">
        <f>TRIM(INDEX(Raw_Customers!$C$2:$C$101,MATCH($B463,Raw_Customers!$A$2:$A$101,0)))</f>
        <v>Madhyamgram</v>
      </c>
      <c r="E463" s="7" t="str">
        <f>"+91-"&amp;RIGHT("0000000000"&amp;INDEX(Raw_Customers!$D$2:$D$101,MATCH($B463,Raw_Customers!$A$2:$A$101,0)),10)</f>
        <v>+91-1440411271</v>
      </c>
      <c r="F463" s="7" t="str">
        <f>Raw_Orders!C463</f>
        <v>60</v>
      </c>
      <c r="G463" s="7" t="str">
        <f>INDEX(Raw_Products!$B$2:$B$71,MATCH($F463,Raw_Products!$A$2:$A$71,0))</f>
        <v>Ea Set</v>
      </c>
      <c r="H463" s="7" t="str">
        <f>INDEX(Raw_Products!$C$2:$C$71,MATCH($F463,Raw_Products!$A$2:$A$71,0))</f>
        <v>Sweets</v>
      </c>
      <c r="I463" s="7">
        <f>VALUE(Raw_Orders!D463)</f>
        <v>5</v>
      </c>
      <c r="J463" s="11" t="str">
        <f>INDEX(Raw_Products!$D$2:$D$71,MATCH($F463,Raw_Products!$A$2:$A$71,0))</f>
        <v>827</v>
      </c>
      <c r="K463" s="11">
        <f t="shared" si="14"/>
        <v>4135</v>
      </c>
      <c r="L463" s="12">
        <f>DATE(VALUE(RIGHT(Raw_Orders!E463,4)),VALUE(MID(Raw_Orders!E463,4,2)),VALUE(LEFT(Raw_Orders!E463,2)))</f>
        <v>45234</v>
      </c>
      <c r="M463" s="12">
        <f>DATE(VALUE(RIGHT(Raw_Orders!G463,4)),VALUE(MID(Raw_Orders!G463,4,2)),VALUE(LEFT(Raw_Orders!G463,2)))</f>
        <v>45243</v>
      </c>
      <c r="N463" s="7">
        <f t="shared" si="15"/>
        <v>9</v>
      </c>
      <c r="O463" s="7" t="str">
        <f>Raw_Orders!J463</f>
        <v>Diwali</v>
      </c>
      <c r="P463" s="7" t="str">
        <f>Raw_Orders!I463</f>
        <v>Kirari Suleman Nagar</v>
      </c>
    </row>
    <row r="464" spans="1:16">
      <c r="A464" s="7" t="str">
        <f>Raw_Orders!A464</f>
        <v>463</v>
      </c>
      <c r="B464" s="7" t="str">
        <f>Raw_Orders!B464</f>
        <v>C078</v>
      </c>
      <c r="C464" s="7" t="str">
        <f>INDEX(Raw_Customers!$B$2:$B$101,MATCH($B464,Raw_Customers!$A$2:$A$101,0))</f>
        <v>Jivika Rajan</v>
      </c>
      <c r="D464" s="7" t="str">
        <f>TRIM(INDEX(Raw_Customers!$C$2:$C$101,MATCH($B464,Raw_Customers!$A$2:$A$101,0)))</f>
        <v>Bhubaneswar</v>
      </c>
      <c r="E464" s="7" t="str">
        <f>"+91-"&amp;RIGHT("0000000000"&amp;INDEX(Raw_Customers!$D$2:$D$101,MATCH($B464,Raw_Customers!$A$2:$A$101,0)),10)</f>
        <v>+91-3005266310</v>
      </c>
      <c r="F464" s="7" t="str">
        <f>Raw_Orders!C464</f>
        <v>18</v>
      </c>
      <c r="G464" s="7" t="str">
        <f>INDEX(Raw_Products!$B$2:$B$71,MATCH($F464,Raw_Products!$A$2:$A$71,0))</f>
        <v>Nemo Set</v>
      </c>
      <c r="H464" s="7" t="str">
        <f>INDEX(Raw_Products!$C$2:$C$71,MATCH($F464,Raw_Products!$A$2:$A$71,0))</f>
        <v>Plants</v>
      </c>
      <c r="I464" s="7">
        <f>VALUE(Raw_Orders!D464)</f>
        <v>3</v>
      </c>
      <c r="J464" s="11" t="str">
        <f>INDEX(Raw_Products!$D$2:$D$71,MATCH($F464,Raw_Products!$A$2:$A$71,0))</f>
        <v>781</v>
      </c>
      <c r="K464" s="11">
        <f t="shared" si="14"/>
        <v>2343</v>
      </c>
      <c r="L464" s="12">
        <f>DATE(VALUE(RIGHT(Raw_Orders!E464,4)),VALUE(MID(Raw_Orders!E464,4,2)),VALUE(LEFT(Raw_Orders!E464,2)))</f>
        <v>45193</v>
      </c>
      <c r="M464" s="12">
        <f>DATE(VALUE(RIGHT(Raw_Orders!G464,4)),VALUE(MID(Raw_Orders!G464,4,2)),VALUE(LEFT(Raw_Orders!G464,2)))</f>
        <v>45199</v>
      </c>
      <c r="N464" s="7">
        <f t="shared" si="15"/>
        <v>6</v>
      </c>
      <c r="O464" s="7" t="str">
        <f>Raw_Orders!J464</f>
        <v>Birthday</v>
      </c>
      <c r="P464" s="7" t="str">
        <f>Raw_Orders!I464</f>
        <v>Hazaribagh</v>
      </c>
    </row>
    <row r="465" spans="1:16">
      <c r="A465" s="7" t="str">
        <f>Raw_Orders!A465</f>
        <v>464</v>
      </c>
      <c r="B465" s="7" t="str">
        <f>Raw_Orders!B465</f>
        <v>C014</v>
      </c>
      <c r="C465" s="7" t="str">
        <f>INDEX(Raw_Customers!$B$2:$B$101,MATCH($B465,Raw_Customers!$A$2:$A$101,0))</f>
        <v>Indrans Shukla</v>
      </c>
      <c r="D465" s="7" t="str">
        <f>TRIM(INDEX(Raw_Customers!$C$2:$C$101,MATCH($B465,Raw_Customers!$A$2:$A$101,0)))</f>
        <v>Panvel</v>
      </c>
      <c r="E465" s="7" t="str">
        <f>"+91-"&amp;RIGHT("0000000000"&amp;INDEX(Raw_Customers!$D$2:$D$101,MATCH($B465,Raw_Customers!$A$2:$A$101,0)),10)</f>
        <v>+91-2717671919</v>
      </c>
      <c r="F465" s="7" t="str">
        <f>Raw_Orders!C465</f>
        <v>18</v>
      </c>
      <c r="G465" s="7" t="str">
        <f>INDEX(Raw_Products!$B$2:$B$71,MATCH($F465,Raw_Products!$A$2:$A$71,0))</f>
        <v>Nemo Set</v>
      </c>
      <c r="H465" s="7" t="str">
        <f>INDEX(Raw_Products!$C$2:$C$71,MATCH($F465,Raw_Products!$A$2:$A$71,0))</f>
        <v>Plants</v>
      </c>
      <c r="I465" s="7">
        <f>VALUE(Raw_Orders!D465)</f>
        <v>3</v>
      </c>
      <c r="J465" s="11" t="str">
        <f>INDEX(Raw_Products!$D$2:$D$71,MATCH($F465,Raw_Products!$A$2:$A$71,0))</f>
        <v>781</v>
      </c>
      <c r="K465" s="11">
        <f t="shared" si="14"/>
        <v>2343</v>
      </c>
      <c r="L465" s="12">
        <f>DATE(VALUE(RIGHT(Raw_Orders!E465,4)),VALUE(MID(Raw_Orders!E465,4,2)),VALUE(LEFT(Raw_Orders!E465,2)))</f>
        <v>45112</v>
      </c>
      <c r="M465" s="12">
        <f>DATE(VALUE(RIGHT(Raw_Orders!G465,4)),VALUE(MID(Raw_Orders!G465,4,2)),VALUE(LEFT(Raw_Orders!G465,2)))</f>
        <v>45115</v>
      </c>
      <c r="N465" s="7">
        <f t="shared" si="15"/>
        <v>3</v>
      </c>
      <c r="O465" s="7" t="str">
        <f>Raw_Orders!J465</f>
        <v>Birthday</v>
      </c>
      <c r="P465" s="7" t="str">
        <f>Raw_Orders!I465</f>
        <v>Buxar</v>
      </c>
    </row>
    <row r="466" spans="1:16">
      <c r="A466" s="7" t="str">
        <f>Raw_Orders!A466</f>
        <v>465</v>
      </c>
      <c r="B466" s="7" t="str">
        <f>Raw_Orders!B466</f>
        <v>C029</v>
      </c>
      <c r="C466" s="7" t="str">
        <f>INDEX(Raw_Customers!$B$2:$B$101,MATCH($B466,Raw_Customers!$A$2:$A$101,0))</f>
        <v>Badal Sathe</v>
      </c>
      <c r="D466" s="7" t="str">
        <f>TRIM(INDEX(Raw_Customers!$C$2:$C$101,MATCH($B466,Raw_Customers!$A$2:$A$101,0)))</f>
        <v>Haridwar</v>
      </c>
      <c r="E466" s="7" t="str">
        <f>"+91-"&amp;RIGHT("0000000000"&amp;INDEX(Raw_Customers!$D$2:$D$101,MATCH($B466,Raw_Customers!$A$2:$A$101,0)),10)</f>
        <v>+91-2454360885</v>
      </c>
      <c r="F466" s="7" t="str">
        <f>Raw_Orders!C466</f>
        <v>55</v>
      </c>
      <c r="G466" s="7" t="str">
        <f>INDEX(Raw_Products!$B$2:$B$71,MATCH($F466,Raw_Products!$A$2:$A$71,0))</f>
        <v>Dolores Gift</v>
      </c>
      <c r="H466" s="7" t="str">
        <f>INDEX(Raw_Products!$C$2:$C$71,MATCH($F466,Raw_Products!$A$2:$A$71,0))</f>
        <v>Soft Toys</v>
      </c>
      <c r="I466" s="7">
        <f>VALUE(Raw_Orders!D466)</f>
        <v>5</v>
      </c>
      <c r="J466" s="11" t="str">
        <f>INDEX(Raw_Products!$D$2:$D$71,MATCH($F466,Raw_Products!$A$2:$A$71,0))</f>
        <v>1904</v>
      </c>
      <c r="K466" s="11">
        <f t="shared" si="14"/>
        <v>9520</v>
      </c>
      <c r="L466" s="12">
        <f>DATE(VALUE(RIGHT(Raw_Orders!E466,4)),VALUE(MID(Raw_Orders!E466,4,2)),VALUE(LEFT(Raw_Orders!E466,2)))</f>
        <v>45161</v>
      </c>
      <c r="M466" s="12">
        <f>DATE(VALUE(RIGHT(Raw_Orders!G466,4)),VALUE(MID(Raw_Orders!G466,4,2)),VALUE(LEFT(Raw_Orders!G466,2)))</f>
        <v>45164</v>
      </c>
      <c r="N466" s="7">
        <f t="shared" si="15"/>
        <v>3</v>
      </c>
      <c r="O466" s="7" t="str">
        <f>Raw_Orders!J466</f>
        <v>Raksha Bandhan</v>
      </c>
      <c r="P466" s="7" t="str">
        <f>Raw_Orders!I466</f>
        <v>Madurai</v>
      </c>
    </row>
    <row r="467" spans="1:16">
      <c r="A467" s="7" t="str">
        <f>Raw_Orders!A467</f>
        <v>466</v>
      </c>
      <c r="B467" s="7" t="str">
        <f>Raw_Orders!B467</f>
        <v>C053</v>
      </c>
      <c r="C467" s="7" t="str">
        <f>INDEX(Raw_Customers!$B$2:$B$101,MATCH($B467,Raw_Customers!$A$2:$A$101,0))</f>
        <v>Kismat Kapadia</v>
      </c>
      <c r="D467" s="7" t="str">
        <f>TRIM(INDEX(Raw_Customers!$C$2:$C$101,MATCH($B467,Raw_Customers!$A$2:$A$101,0)))</f>
        <v>Bharatpur</v>
      </c>
      <c r="E467" s="7" t="str">
        <f>"+91-"&amp;RIGHT("0000000000"&amp;INDEX(Raw_Customers!$D$2:$D$101,MATCH($B467,Raw_Customers!$A$2:$A$101,0)),10)</f>
        <v>+91-8068004996</v>
      </c>
      <c r="F467" s="7" t="str">
        <f>Raw_Orders!C467</f>
        <v>23</v>
      </c>
      <c r="G467" s="7" t="str">
        <f>INDEX(Raw_Products!$B$2:$B$71,MATCH($F467,Raw_Products!$A$2:$A$71,0))</f>
        <v>Dignissimos Pack</v>
      </c>
      <c r="H467" s="7" t="str">
        <f>INDEX(Raw_Products!$C$2:$C$71,MATCH($F467,Raw_Products!$A$2:$A$71,0))</f>
        <v>Sweets</v>
      </c>
      <c r="I467" s="7">
        <f>VALUE(Raw_Orders!D467)</f>
        <v>1</v>
      </c>
      <c r="J467" s="11" t="str">
        <f>INDEX(Raw_Products!$D$2:$D$71,MATCH($F467,Raw_Products!$A$2:$A$71,0))</f>
        <v>1098</v>
      </c>
      <c r="K467" s="11">
        <f t="shared" si="14"/>
        <v>1098</v>
      </c>
      <c r="L467" s="12">
        <f>DATE(VALUE(RIGHT(Raw_Orders!E467,4)),VALUE(MID(Raw_Orders!E467,4,2)),VALUE(LEFT(Raw_Orders!E467,2)))</f>
        <v>45202</v>
      </c>
      <c r="M467" s="12">
        <f>DATE(VALUE(RIGHT(Raw_Orders!G467,4)),VALUE(MID(Raw_Orders!G467,4,2)),VALUE(LEFT(Raw_Orders!G467,2)))</f>
        <v>45210</v>
      </c>
      <c r="N467" s="7">
        <f t="shared" si="15"/>
        <v>8</v>
      </c>
      <c r="O467" s="7" t="str">
        <f>Raw_Orders!J467</f>
        <v>Anniversary</v>
      </c>
      <c r="P467" s="7" t="str">
        <f>Raw_Orders!I467</f>
        <v>Bally</v>
      </c>
    </row>
    <row r="468" spans="1:16">
      <c r="A468" s="7" t="str">
        <f>Raw_Orders!A468</f>
        <v>467</v>
      </c>
      <c r="B468" s="7" t="str">
        <f>Raw_Orders!B468</f>
        <v>C056</v>
      </c>
      <c r="C468" s="7" t="str">
        <f>INDEX(Raw_Customers!$B$2:$B$101,MATCH($B468,Raw_Customers!$A$2:$A$101,0))</f>
        <v>Pihu Choudhury</v>
      </c>
      <c r="D468" s="7" t="str">
        <f>TRIM(INDEX(Raw_Customers!$C$2:$C$101,MATCH($B468,Raw_Customers!$A$2:$A$101,0)))</f>
        <v>Haridwar</v>
      </c>
      <c r="E468" s="7" t="str">
        <f>"+91-"&amp;RIGHT("0000000000"&amp;INDEX(Raw_Customers!$D$2:$D$101,MATCH($B468,Raw_Customers!$A$2:$A$101,0)),10)</f>
        <v>+91-9732644810</v>
      </c>
      <c r="F468" s="7" t="str">
        <f>Raw_Orders!C468</f>
        <v>53</v>
      </c>
      <c r="G468" s="7" t="str">
        <f>INDEX(Raw_Products!$B$2:$B$71,MATCH($F468,Raw_Products!$A$2:$A$71,0))</f>
        <v>Ipsam Set</v>
      </c>
      <c r="H468" s="7" t="str">
        <f>INDEX(Raw_Products!$C$2:$C$71,MATCH($F468,Raw_Products!$A$2:$A$71,0))</f>
        <v>Sweets</v>
      </c>
      <c r="I468" s="7">
        <f>VALUE(Raw_Orders!D468)</f>
        <v>1</v>
      </c>
      <c r="J468" s="11" t="str">
        <f>INDEX(Raw_Products!$D$2:$D$71,MATCH($F468,Raw_Products!$A$2:$A$71,0))</f>
        <v>1672</v>
      </c>
      <c r="K468" s="11">
        <f t="shared" si="14"/>
        <v>1672</v>
      </c>
      <c r="L468" s="12">
        <f>DATE(VALUE(RIGHT(Raw_Orders!E468,4)),VALUE(MID(Raw_Orders!E468,4,2)),VALUE(LEFT(Raw_Orders!E468,2)))</f>
        <v>45166</v>
      </c>
      <c r="M468" s="12">
        <f>DATE(VALUE(RIGHT(Raw_Orders!G468,4)),VALUE(MID(Raw_Orders!G468,4,2)),VALUE(LEFT(Raw_Orders!G468,2)))</f>
        <v>45171</v>
      </c>
      <c r="N468" s="7">
        <f t="shared" si="15"/>
        <v>5</v>
      </c>
      <c r="O468" s="7" t="str">
        <f>Raw_Orders!J468</f>
        <v>Raksha Bandhan</v>
      </c>
      <c r="P468" s="7" t="str">
        <f>Raw_Orders!I468</f>
        <v>Gandhidham</v>
      </c>
    </row>
    <row r="469" spans="1:16">
      <c r="A469" s="7" t="str">
        <f>Raw_Orders!A469</f>
        <v>468</v>
      </c>
      <c r="B469" s="7" t="str">
        <f>Raw_Orders!B469</f>
        <v>C007</v>
      </c>
      <c r="C469" s="7" t="str">
        <f>INDEX(Raw_Customers!$B$2:$B$101,MATCH($B469,Raw_Customers!$A$2:$A$101,0))</f>
        <v>Jayant Kamdar</v>
      </c>
      <c r="D469" s="7" t="str">
        <f>TRIM(INDEX(Raw_Customers!$C$2:$C$101,MATCH($B469,Raw_Customers!$A$2:$A$101,0)))</f>
        <v>Berhampore</v>
      </c>
      <c r="E469" s="7" t="str">
        <f>"+91-"&amp;RIGHT("0000000000"&amp;INDEX(Raw_Customers!$D$2:$D$101,MATCH($B469,Raw_Customers!$A$2:$A$101,0)),10)</f>
        <v>+91-8576675504</v>
      </c>
      <c r="F469" s="7" t="str">
        <f>Raw_Orders!C469</f>
        <v>5</v>
      </c>
      <c r="G469" s="7" t="str">
        <f>INDEX(Raw_Products!$B$2:$B$71,MATCH($F469,Raw_Products!$A$2:$A$71,0))</f>
        <v>Natus Gift</v>
      </c>
      <c r="H469" s="7" t="str">
        <f>INDEX(Raw_Products!$C$2:$C$71,MATCH($F469,Raw_Products!$A$2:$A$71,0))</f>
        <v>Colors</v>
      </c>
      <c r="I469" s="7">
        <f>VALUE(Raw_Orders!D469)</f>
        <v>2</v>
      </c>
      <c r="J469" s="11" t="str">
        <f>INDEX(Raw_Products!$D$2:$D$71,MATCH($F469,Raw_Products!$A$2:$A$71,0))</f>
        <v>1444</v>
      </c>
      <c r="K469" s="11">
        <f t="shared" si="14"/>
        <v>2888</v>
      </c>
      <c r="L469" s="12">
        <f>DATE(VALUE(RIGHT(Raw_Orders!E469,4)),VALUE(MID(Raw_Orders!E469,4,2)),VALUE(LEFT(Raw_Orders!E469,2)))</f>
        <v>45132</v>
      </c>
      <c r="M469" s="12">
        <f>DATE(VALUE(RIGHT(Raw_Orders!G469,4)),VALUE(MID(Raw_Orders!G469,4,2)),VALUE(LEFT(Raw_Orders!G469,2)))</f>
        <v>45142</v>
      </c>
      <c r="N469" s="7">
        <f t="shared" si="15"/>
        <v>10</v>
      </c>
      <c r="O469" s="7" t="str">
        <f>Raw_Orders!J469</f>
        <v>All Occasions</v>
      </c>
      <c r="P469" s="7" t="str">
        <f>Raw_Orders!I469</f>
        <v>Rajahmundry</v>
      </c>
    </row>
    <row r="470" spans="1:16">
      <c r="A470" s="7" t="str">
        <f>Raw_Orders!A470</f>
        <v>469</v>
      </c>
      <c r="B470" s="7" t="str">
        <f>Raw_Orders!B470</f>
        <v>C051</v>
      </c>
      <c r="C470" s="7" t="str">
        <f>INDEX(Raw_Customers!$B$2:$B$101,MATCH($B470,Raw_Customers!$A$2:$A$101,0))</f>
        <v>Aradhya Batta</v>
      </c>
      <c r="D470" s="7" t="str">
        <f>TRIM(INDEX(Raw_Customers!$C$2:$C$101,MATCH($B470,Raw_Customers!$A$2:$A$101,0)))</f>
        <v>Kota</v>
      </c>
      <c r="E470" s="7" t="str">
        <f>"+91-"&amp;RIGHT("0000000000"&amp;INDEX(Raw_Customers!$D$2:$D$101,MATCH($B470,Raw_Customers!$A$2:$A$101,0)),10)</f>
        <v>+91-1200621501</v>
      </c>
      <c r="F470" s="7" t="str">
        <f>Raw_Orders!C470</f>
        <v>42</v>
      </c>
      <c r="G470" s="7" t="str">
        <f>INDEX(Raw_Products!$B$2:$B$71,MATCH($F470,Raw_Products!$A$2:$A$71,0))</f>
        <v>Expedita Gift</v>
      </c>
      <c r="H470" s="7" t="str">
        <f>INDEX(Raw_Products!$C$2:$C$71,MATCH($F470,Raw_Products!$A$2:$A$71,0))</f>
        <v>Sweets</v>
      </c>
      <c r="I470" s="7">
        <f>VALUE(Raw_Orders!D470)</f>
        <v>4</v>
      </c>
      <c r="J470" s="11" t="str">
        <f>INDEX(Raw_Products!$D$2:$D$71,MATCH($F470,Raw_Products!$A$2:$A$71,0))</f>
        <v>1744</v>
      </c>
      <c r="K470" s="11">
        <f t="shared" si="14"/>
        <v>6976</v>
      </c>
      <c r="L470" s="12">
        <f>DATE(VALUE(RIGHT(Raw_Orders!E470,4)),VALUE(MID(Raw_Orders!E470,4,2)),VALUE(LEFT(Raw_Orders!E470,2)))</f>
        <v>45275</v>
      </c>
      <c r="M470" s="12">
        <f>DATE(VALUE(RIGHT(Raw_Orders!G470,4)),VALUE(MID(Raw_Orders!G470,4,2)),VALUE(LEFT(Raw_Orders!G470,2)))</f>
        <v>45279</v>
      </c>
      <c r="N470" s="7">
        <f t="shared" si="15"/>
        <v>4</v>
      </c>
      <c r="O470" s="7" t="str">
        <f>Raw_Orders!J470</f>
        <v>All Occasions</v>
      </c>
      <c r="P470" s="7" t="str">
        <f>Raw_Orders!I470</f>
        <v>Kamarhati</v>
      </c>
    </row>
    <row r="471" spans="1:16">
      <c r="A471" s="7" t="str">
        <f>Raw_Orders!A471</f>
        <v>470</v>
      </c>
      <c r="B471" s="7" t="str">
        <f>Raw_Orders!B471</f>
        <v>C031</v>
      </c>
      <c r="C471" s="7" t="str">
        <f>INDEX(Raw_Customers!$B$2:$B$101,MATCH($B471,Raw_Customers!$A$2:$A$101,0))</f>
        <v>Madhup Wable</v>
      </c>
      <c r="D471" s="7" t="str">
        <f>TRIM(INDEX(Raw_Customers!$C$2:$C$101,MATCH($B471,Raw_Customers!$A$2:$A$101,0)))</f>
        <v>Sasaram</v>
      </c>
      <c r="E471" s="7" t="str">
        <f>"+91-"&amp;RIGHT("0000000000"&amp;INDEX(Raw_Customers!$D$2:$D$101,MATCH($B471,Raw_Customers!$A$2:$A$101,0)),10)</f>
        <v>+91-0135745753</v>
      </c>
      <c r="F471" s="7" t="str">
        <f>Raw_Orders!C471</f>
        <v>47</v>
      </c>
      <c r="G471" s="7" t="str">
        <f>INDEX(Raw_Products!$B$2:$B$71,MATCH($F471,Raw_Products!$A$2:$A$71,0))</f>
        <v>Harum Pack</v>
      </c>
      <c r="H471" s="7" t="str">
        <f>INDEX(Raw_Products!$C$2:$C$71,MATCH($F471,Raw_Products!$A$2:$A$71,0))</f>
        <v>Colors</v>
      </c>
      <c r="I471" s="7">
        <f>VALUE(Raw_Orders!D471)</f>
        <v>5</v>
      </c>
      <c r="J471" s="11" t="str">
        <f>INDEX(Raw_Products!$D$2:$D$71,MATCH($F471,Raw_Products!$A$2:$A$71,0))</f>
        <v>1638</v>
      </c>
      <c r="K471" s="11">
        <f t="shared" si="14"/>
        <v>8190</v>
      </c>
      <c r="L471" s="12">
        <f>DATE(VALUE(RIGHT(Raw_Orders!E471,4)),VALUE(MID(Raw_Orders!E471,4,2)),VALUE(LEFT(Raw_Orders!E471,2)))</f>
        <v>44985</v>
      </c>
      <c r="M471" s="12">
        <f>DATE(VALUE(RIGHT(Raw_Orders!G471,4)),VALUE(MID(Raw_Orders!G471,4,2)),VALUE(LEFT(Raw_Orders!G471,2)))</f>
        <v>44991</v>
      </c>
      <c r="N471" s="7">
        <f t="shared" si="15"/>
        <v>6</v>
      </c>
      <c r="O471" s="7" t="str">
        <f>Raw_Orders!J471</f>
        <v>Holi</v>
      </c>
      <c r="P471" s="7" t="str">
        <f>Raw_Orders!I471</f>
        <v>Bhavnagar</v>
      </c>
    </row>
    <row r="472" spans="1:16">
      <c r="A472" s="7" t="str">
        <f>Raw_Orders!A472</f>
        <v>471</v>
      </c>
      <c r="B472" s="7" t="str">
        <f>Raw_Orders!B472</f>
        <v>C092</v>
      </c>
      <c r="C472" s="7" t="str">
        <f>INDEX(Raw_Customers!$B$2:$B$101,MATCH($B472,Raw_Customers!$A$2:$A$101,0))</f>
        <v>Zoya Mani</v>
      </c>
      <c r="D472" s="7" t="str">
        <f>TRIM(INDEX(Raw_Customers!$C$2:$C$101,MATCH($B472,Raw_Customers!$A$2:$A$101,0)))</f>
        <v>Dibrugarh</v>
      </c>
      <c r="E472" s="7" t="str">
        <f>"+91-"&amp;RIGHT("0000000000"&amp;INDEX(Raw_Customers!$D$2:$D$101,MATCH($B472,Raw_Customers!$A$2:$A$101,0)),10)</f>
        <v>+91-8918356963</v>
      </c>
      <c r="F472" s="7" t="str">
        <f>Raw_Orders!C472</f>
        <v>23</v>
      </c>
      <c r="G472" s="7" t="str">
        <f>INDEX(Raw_Products!$B$2:$B$71,MATCH($F472,Raw_Products!$A$2:$A$71,0))</f>
        <v>Dignissimos Pack</v>
      </c>
      <c r="H472" s="7" t="str">
        <f>INDEX(Raw_Products!$C$2:$C$71,MATCH($F472,Raw_Products!$A$2:$A$71,0))</f>
        <v>Sweets</v>
      </c>
      <c r="I472" s="7">
        <f>VALUE(Raw_Orders!D472)</f>
        <v>2</v>
      </c>
      <c r="J472" s="11" t="str">
        <f>INDEX(Raw_Products!$D$2:$D$71,MATCH($F472,Raw_Products!$A$2:$A$71,0))</f>
        <v>1098</v>
      </c>
      <c r="K472" s="11">
        <f t="shared" si="14"/>
        <v>2196</v>
      </c>
      <c r="L472" s="12">
        <f>DATE(VALUE(RIGHT(Raw_Orders!E472,4)),VALUE(MID(Raw_Orders!E472,4,2)),VALUE(LEFT(Raw_Orders!E472,2)))</f>
        <v>44957</v>
      </c>
      <c r="M472" s="12">
        <f>DATE(VALUE(RIGHT(Raw_Orders!G472,4)),VALUE(MID(Raw_Orders!G472,4,2)),VALUE(LEFT(Raw_Orders!G472,2)))</f>
        <v>44967</v>
      </c>
      <c r="N472" s="7">
        <f t="shared" si="15"/>
        <v>10</v>
      </c>
      <c r="O472" s="7" t="str">
        <f>Raw_Orders!J472</f>
        <v>Anniversary</v>
      </c>
      <c r="P472" s="7" t="str">
        <f>Raw_Orders!I472</f>
        <v>Tirunelveli</v>
      </c>
    </row>
    <row r="473" spans="1:16">
      <c r="A473" s="7" t="str">
        <f>Raw_Orders!A473</f>
        <v>472</v>
      </c>
      <c r="B473" s="7" t="str">
        <f>Raw_Orders!B473</f>
        <v>C015</v>
      </c>
      <c r="C473" s="7" t="str">
        <f>INDEX(Raw_Customers!$B$2:$B$101,MATCH($B473,Raw_Customers!$A$2:$A$101,0))</f>
        <v>Romil Bajwa</v>
      </c>
      <c r="D473" s="7" t="str">
        <f>TRIM(INDEX(Raw_Customers!$C$2:$C$101,MATCH($B473,Raw_Customers!$A$2:$A$101,0)))</f>
        <v>Kolkata</v>
      </c>
      <c r="E473" s="7" t="str">
        <f>"+91-"&amp;RIGHT("0000000000"&amp;INDEX(Raw_Customers!$D$2:$D$101,MATCH($B473,Raw_Customers!$A$2:$A$101,0)),10)</f>
        <v>+91-8664164910</v>
      </c>
      <c r="F473" s="7" t="str">
        <f>Raw_Orders!C473</f>
        <v>56</v>
      </c>
      <c r="G473" s="7" t="str">
        <f>INDEX(Raw_Products!$B$2:$B$71,MATCH($F473,Raw_Products!$A$2:$A$71,0))</f>
        <v>Quia Gift</v>
      </c>
      <c r="H473" s="7" t="str">
        <f>INDEX(Raw_Products!$C$2:$C$71,MATCH($F473,Raw_Products!$A$2:$A$71,0))</f>
        <v>Raksha Bandhan</v>
      </c>
      <c r="I473" s="7">
        <f>VALUE(Raw_Orders!D473)</f>
        <v>1</v>
      </c>
      <c r="J473" s="11" t="str">
        <f>INDEX(Raw_Products!$D$2:$D$71,MATCH($F473,Raw_Products!$A$2:$A$71,0))</f>
        <v>1272</v>
      </c>
      <c r="K473" s="11">
        <f t="shared" si="14"/>
        <v>1272</v>
      </c>
      <c r="L473" s="12">
        <f>DATE(VALUE(RIGHT(Raw_Orders!E473,4)),VALUE(MID(Raw_Orders!E473,4,2)),VALUE(LEFT(Raw_Orders!E473,2)))</f>
        <v>45284</v>
      </c>
      <c r="M473" s="12">
        <f>DATE(VALUE(RIGHT(Raw_Orders!G473,4)),VALUE(MID(Raw_Orders!G473,4,2)),VALUE(LEFT(Raw_Orders!G473,2)))</f>
        <v>45290</v>
      </c>
      <c r="N473" s="7">
        <f t="shared" si="15"/>
        <v>6</v>
      </c>
      <c r="O473" s="7" t="str">
        <f>Raw_Orders!J473</f>
        <v>Anniversary</v>
      </c>
      <c r="P473" s="7" t="str">
        <f>Raw_Orders!I473</f>
        <v>Khammam</v>
      </c>
    </row>
    <row r="474" spans="1:16">
      <c r="A474" s="7" t="str">
        <f>Raw_Orders!A474</f>
        <v>473</v>
      </c>
      <c r="B474" s="7" t="str">
        <f>Raw_Orders!B474</f>
        <v>C061</v>
      </c>
      <c r="C474" s="7" t="str">
        <f>INDEX(Raw_Customers!$B$2:$B$101,MATCH($B474,Raw_Customers!$A$2:$A$101,0))</f>
        <v>Akarsh Ramesh</v>
      </c>
      <c r="D474" s="7" t="str">
        <f>TRIM(INDEX(Raw_Customers!$C$2:$C$101,MATCH($B474,Raw_Customers!$A$2:$A$101,0)))</f>
        <v>Kavali</v>
      </c>
      <c r="E474" s="7" t="str">
        <f>"+91-"&amp;RIGHT("0000000000"&amp;INDEX(Raw_Customers!$D$2:$D$101,MATCH($B474,Raw_Customers!$A$2:$A$101,0)),10)</f>
        <v>+91-4318554567</v>
      </c>
      <c r="F474" s="7" t="str">
        <f>Raw_Orders!C474</f>
        <v>22</v>
      </c>
      <c r="G474" s="7" t="str">
        <f>INDEX(Raw_Products!$B$2:$B$71,MATCH($F474,Raw_Products!$A$2:$A$71,0))</f>
        <v>Exercitationem Pack</v>
      </c>
      <c r="H474" s="7" t="str">
        <f>INDEX(Raw_Products!$C$2:$C$71,MATCH($F474,Raw_Products!$A$2:$A$71,0))</f>
        <v>Soft Toys</v>
      </c>
      <c r="I474" s="7">
        <f>VALUE(Raw_Orders!D474)</f>
        <v>3</v>
      </c>
      <c r="J474" s="11" t="str">
        <f>INDEX(Raw_Products!$D$2:$D$71,MATCH($F474,Raw_Products!$A$2:$A$71,0))</f>
        <v>1639</v>
      </c>
      <c r="K474" s="11">
        <f t="shared" si="14"/>
        <v>4917</v>
      </c>
      <c r="L474" s="12">
        <f>DATE(VALUE(RIGHT(Raw_Orders!E474,4)),VALUE(MID(Raw_Orders!E474,4,2)),VALUE(LEFT(Raw_Orders!E474,2)))</f>
        <v>45013</v>
      </c>
      <c r="M474" s="12">
        <f>DATE(VALUE(RIGHT(Raw_Orders!G474,4)),VALUE(MID(Raw_Orders!G474,4,2)),VALUE(LEFT(Raw_Orders!G474,2)))</f>
        <v>45020</v>
      </c>
      <c r="N474" s="7">
        <f t="shared" si="15"/>
        <v>7</v>
      </c>
      <c r="O474" s="7" t="str">
        <f>Raw_Orders!J474</f>
        <v>All Occasions</v>
      </c>
      <c r="P474" s="7" t="str">
        <f>Raw_Orders!I474</f>
        <v>Giridih</v>
      </c>
    </row>
    <row r="475" spans="1:16">
      <c r="A475" s="7" t="str">
        <f>Raw_Orders!A475</f>
        <v>474</v>
      </c>
      <c r="B475" s="7" t="str">
        <f>Raw_Orders!B475</f>
        <v>C051</v>
      </c>
      <c r="C475" s="7" t="str">
        <f>INDEX(Raw_Customers!$B$2:$B$101,MATCH($B475,Raw_Customers!$A$2:$A$101,0))</f>
        <v>Aradhya Batta</v>
      </c>
      <c r="D475" s="7" t="str">
        <f>TRIM(INDEX(Raw_Customers!$C$2:$C$101,MATCH($B475,Raw_Customers!$A$2:$A$101,0)))</f>
        <v>Kota</v>
      </c>
      <c r="E475" s="7" t="str">
        <f>"+91-"&amp;RIGHT("0000000000"&amp;INDEX(Raw_Customers!$D$2:$D$101,MATCH($B475,Raw_Customers!$A$2:$A$101,0)),10)</f>
        <v>+91-1200621501</v>
      </c>
      <c r="F475" s="7" t="str">
        <f>Raw_Orders!C475</f>
        <v>1</v>
      </c>
      <c r="G475" s="7" t="str">
        <f>INDEX(Raw_Products!$B$2:$B$71,MATCH($F475,Raw_Products!$A$2:$A$71,0))</f>
        <v>Magnam Set</v>
      </c>
      <c r="H475" s="7" t="str">
        <f>INDEX(Raw_Products!$C$2:$C$71,MATCH($F475,Raw_Products!$A$2:$A$71,0))</f>
        <v>Soft Toys</v>
      </c>
      <c r="I475" s="7">
        <f>VALUE(Raw_Orders!D475)</f>
        <v>4</v>
      </c>
      <c r="J475" s="11" t="str">
        <f>INDEX(Raw_Products!$D$2:$D$71,MATCH($F475,Raw_Products!$A$2:$A$71,0))</f>
        <v>1935</v>
      </c>
      <c r="K475" s="11">
        <f t="shared" si="14"/>
        <v>7740</v>
      </c>
      <c r="L475" s="12">
        <f>DATE(VALUE(RIGHT(Raw_Orders!E475,4)),VALUE(MID(Raw_Orders!E475,4,2)),VALUE(LEFT(Raw_Orders!E475,2)))</f>
        <v>44964</v>
      </c>
      <c r="M475" s="12">
        <f>DATE(VALUE(RIGHT(Raw_Orders!G475,4)),VALUE(MID(Raw_Orders!G475,4,2)),VALUE(LEFT(Raw_Orders!G475,2)))</f>
        <v>44971</v>
      </c>
      <c r="N475" s="7">
        <f t="shared" si="15"/>
        <v>7</v>
      </c>
      <c r="O475" s="7" t="str">
        <f>Raw_Orders!J475</f>
        <v>All Occasions</v>
      </c>
      <c r="P475" s="7" t="str">
        <f>Raw_Orders!I475</f>
        <v>Dibrugarh</v>
      </c>
    </row>
    <row r="476" spans="1:16">
      <c r="A476" s="7" t="str">
        <f>Raw_Orders!A476</f>
        <v>475</v>
      </c>
      <c r="B476" s="7" t="str">
        <f>Raw_Orders!B476</f>
        <v>C099</v>
      </c>
      <c r="C476" s="7" t="str">
        <f>INDEX(Raw_Customers!$B$2:$B$101,MATCH($B476,Raw_Customers!$A$2:$A$101,0))</f>
        <v>Ranbir Loyal</v>
      </c>
      <c r="D476" s="7" t="str">
        <f>TRIM(INDEX(Raw_Customers!$C$2:$C$101,MATCH($B476,Raw_Customers!$A$2:$A$101,0)))</f>
        <v>Dhanbad</v>
      </c>
      <c r="E476" s="7" t="str">
        <f>"+91-"&amp;RIGHT("0000000000"&amp;INDEX(Raw_Customers!$D$2:$D$101,MATCH($B476,Raw_Customers!$A$2:$A$101,0)),10)</f>
        <v>+91-3621448305</v>
      </c>
      <c r="F476" s="7" t="str">
        <f>Raw_Orders!C476</f>
        <v>46</v>
      </c>
      <c r="G476" s="7" t="str">
        <f>INDEX(Raw_Products!$B$2:$B$71,MATCH($F476,Raw_Products!$A$2:$A$71,0))</f>
        <v>Pariatur Set</v>
      </c>
      <c r="H476" s="7" t="str">
        <f>INDEX(Raw_Products!$C$2:$C$71,MATCH($F476,Raw_Products!$A$2:$A$71,0))</f>
        <v>Cake</v>
      </c>
      <c r="I476" s="7">
        <f>VALUE(Raw_Orders!D476)</f>
        <v>2</v>
      </c>
      <c r="J476" s="11" t="str">
        <f>INDEX(Raw_Products!$D$2:$D$71,MATCH($F476,Raw_Products!$A$2:$A$71,0))</f>
        <v>758</v>
      </c>
      <c r="K476" s="11">
        <f t="shared" si="14"/>
        <v>1516</v>
      </c>
      <c r="L476" s="12">
        <f>DATE(VALUE(RIGHT(Raw_Orders!E476,4)),VALUE(MID(Raw_Orders!E476,4,2)),VALUE(LEFT(Raw_Orders!E476,2)))</f>
        <v>45264</v>
      </c>
      <c r="M476" s="12">
        <f>DATE(VALUE(RIGHT(Raw_Orders!G476,4)),VALUE(MID(Raw_Orders!G476,4,2)),VALUE(LEFT(Raw_Orders!G476,2)))</f>
        <v>45268</v>
      </c>
      <c r="N476" s="7">
        <f t="shared" si="15"/>
        <v>4</v>
      </c>
      <c r="O476" s="7" t="str">
        <f>Raw_Orders!J476</f>
        <v>Anniversary</v>
      </c>
      <c r="P476" s="7" t="str">
        <f>Raw_Orders!I476</f>
        <v>Jalgaon</v>
      </c>
    </row>
    <row r="477" spans="1:16">
      <c r="A477" s="7" t="str">
        <f>Raw_Orders!A477</f>
        <v>476</v>
      </c>
      <c r="B477" s="7" t="str">
        <f>Raw_Orders!B477</f>
        <v>C067</v>
      </c>
      <c r="C477" s="7" t="str">
        <f>INDEX(Raw_Customers!$B$2:$B$101,MATCH($B477,Raw_Customers!$A$2:$A$101,0))</f>
        <v>Eva Sankaran</v>
      </c>
      <c r="D477" s="7" t="str">
        <f>TRIM(INDEX(Raw_Customers!$C$2:$C$101,MATCH($B477,Raw_Customers!$A$2:$A$101,0)))</f>
        <v>Anand</v>
      </c>
      <c r="E477" s="7" t="str">
        <f>"+91-"&amp;RIGHT("0000000000"&amp;INDEX(Raw_Customers!$D$2:$D$101,MATCH($B477,Raw_Customers!$A$2:$A$101,0)),10)</f>
        <v>+91-0407409251</v>
      </c>
      <c r="F477" s="7" t="str">
        <f>Raw_Orders!C477</f>
        <v>40</v>
      </c>
      <c r="G477" s="7" t="str">
        <f>INDEX(Raw_Products!$B$2:$B$71,MATCH($F477,Raw_Products!$A$2:$A$71,0))</f>
        <v>Provident Pack</v>
      </c>
      <c r="H477" s="7" t="str">
        <f>INDEX(Raw_Products!$C$2:$C$71,MATCH($F477,Raw_Products!$A$2:$A$71,0))</f>
        <v>Sweets</v>
      </c>
      <c r="I477" s="7">
        <f>VALUE(Raw_Orders!D477)</f>
        <v>2</v>
      </c>
      <c r="J477" s="11" t="str">
        <f>INDEX(Raw_Products!$D$2:$D$71,MATCH($F477,Raw_Products!$A$2:$A$71,0))</f>
        <v>1923</v>
      </c>
      <c r="K477" s="11">
        <f t="shared" si="14"/>
        <v>3846</v>
      </c>
      <c r="L477" s="12">
        <f>DATE(VALUE(RIGHT(Raw_Orders!E477,4)),VALUE(MID(Raw_Orders!E477,4,2)),VALUE(LEFT(Raw_Orders!E477,2)))</f>
        <v>45187</v>
      </c>
      <c r="M477" s="12">
        <f>DATE(VALUE(RIGHT(Raw_Orders!G477,4)),VALUE(MID(Raw_Orders!G477,4,2)),VALUE(LEFT(Raw_Orders!G477,2)))</f>
        <v>45189</v>
      </c>
      <c r="N477" s="7">
        <f t="shared" si="15"/>
        <v>2</v>
      </c>
      <c r="O477" s="7" t="str">
        <f>Raw_Orders!J477</f>
        <v>Anniversary</v>
      </c>
      <c r="P477" s="7" t="str">
        <f>Raw_Orders!I477</f>
        <v>Moradabad</v>
      </c>
    </row>
    <row r="478" spans="1:16">
      <c r="A478" s="7" t="str">
        <f>Raw_Orders!A478</f>
        <v>477</v>
      </c>
      <c r="B478" s="7" t="str">
        <f>Raw_Orders!B478</f>
        <v>C099</v>
      </c>
      <c r="C478" s="7" t="str">
        <f>INDEX(Raw_Customers!$B$2:$B$101,MATCH($B478,Raw_Customers!$A$2:$A$101,0))</f>
        <v>Ranbir Loyal</v>
      </c>
      <c r="D478" s="7" t="str">
        <f>TRIM(INDEX(Raw_Customers!$C$2:$C$101,MATCH($B478,Raw_Customers!$A$2:$A$101,0)))</f>
        <v>Dhanbad</v>
      </c>
      <c r="E478" s="7" t="str">
        <f>"+91-"&amp;RIGHT("0000000000"&amp;INDEX(Raw_Customers!$D$2:$D$101,MATCH($B478,Raw_Customers!$A$2:$A$101,0)),10)</f>
        <v>+91-3621448305</v>
      </c>
      <c r="F478" s="7" t="str">
        <f>Raw_Orders!C478</f>
        <v>33</v>
      </c>
      <c r="G478" s="7" t="str">
        <f>INDEX(Raw_Products!$B$2:$B$71,MATCH($F478,Raw_Products!$A$2:$A$71,0))</f>
        <v>Earum Set</v>
      </c>
      <c r="H478" s="7" t="str">
        <f>INDEX(Raw_Products!$C$2:$C$71,MATCH($F478,Raw_Products!$A$2:$A$71,0))</f>
        <v>Colors</v>
      </c>
      <c r="I478" s="7">
        <f>VALUE(Raw_Orders!D478)</f>
        <v>4</v>
      </c>
      <c r="J478" s="11" t="str">
        <f>INDEX(Raw_Products!$D$2:$D$71,MATCH($F478,Raw_Products!$A$2:$A$71,0))</f>
        <v>314</v>
      </c>
      <c r="K478" s="11">
        <f t="shared" si="14"/>
        <v>1256</v>
      </c>
      <c r="L478" s="12">
        <f>DATE(VALUE(RIGHT(Raw_Orders!E478,4)),VALUE(MID(Raw_Orders!E478,4,2)),VALUE(LEFT(Raw_Orders!E478,2)))</f>
        <v>44969</v>
      </c>
      <c r="M478" s="12">
        <f>DATE(VALUE(RIGHT(Raw_Orders!G478,4)),VALUE(MID(Raw_Orders!G478,4,2)),VALUE(LEFT(Raw_Orders!G478,2)))</f>
        <v>44971</v>
      </c>
      <c r="N478" s="7">
        <f t="shared" si="15"/>
        <v>2</v>
      </c>
      <c r="O478" s="7" t="str">
        <f>Raw_Orders!J478</f>
        <v>Valentine's Day</v>
      </c>
      <c r="P478" s="7" t="str">
        <f>Raw_Orders!I478</f>
        <v>Gangtok</v>
      </c>
    </row>
    <row r="479" spans="1:16">
      <c r="A479" s="7" t="str">
        <f>Raw_Orders!A479</f>
        <v>478</v>
      </c>
      <c r="B479" s="7" t="str">
        <f>Raw_Orders!B479</f>
        <v>C003</v>
      </c>
      <c r="C479" s="7" t="str">
        <f>INDEX(Raw_Customers!$B$2:$B$101,MATCH($B479,Raw_Customers!$A$2:$A$101,0))</f>
        <v>Jayesh Lanka</v>
      </c>
      <c r="D479" s="7" t="str">
        <f>TRIM(INDEX(Raw_Customers!$C$2:$C$101,MATCH($B479,Raw_Customers!$A$2:$A$101,0)))</f>
        <v>Bilaspur</v>
      </c>
      <c r="E479" s="7" t="str">
        <f>"+91-"&amp;RIGHT("0000000000"&amp;INDEX(Raw_Customers!$D$2:$D$101,MATCH($B479,Raw_Customers!$A$2:$A$101,0)),10)</f>
        <v>+91-7400208126</v>
      </c>
      <c r="F479" s="7" t="str">
        <f>Raw_Orders!C479</f>
        <v>11</v>
      </c>
      <c r="G479" s="7" t="str">
        <f>INDEX(Raw_Products!$B$2:$B$71,MATCH($F479,Raw_Products!$A$2:$A$71,0))</f>
        <v>Maxime Set</v>
      </c>
      <c r="H479" s="7" t="str">
        <f>INDEX(Raw_Products!$C$2:$C$71,MATCH($F479,Raw_Products!$A$2:$A$71,0))</f>
        <v>Mugs</v>
      </c>
      <c r="I479" s="7">
        <f>VALUE(Raw_Orders!D479)</f>
        <v>5</v>
      </c>
      <c r="J479" s="11" t="str">
        <f>INDEX(Raw_Products!$D$2:$D$71,MATCH($F479,Raw_Products!$A$2:$A$71,0))</f>
        <v>1096</v>
      </c>
      <c r="K479" s="11">
        <f t="shared" si="14"/>
        <v>5480</v>
      </c>
      <c r="L479" s="12">
        <f>DATE(VALUE(RIGHT(Raw_Orders!E479,4)),VALUE(MID(Raw_Orders!E479,4,2)),VALUE(LEFT(Raw_Orders!E479,2)))</f>
        <v>44965</v>
      </c>
      <c r="M479" s="12">
        <f>DATE(VALUE(RIGHT(Raw_Orders!G479,4)),VALUE(MID(Raw_Orders!G479,4,2)),VALUE(LEFT(Raw_Orders!G479,2)))</f>
        <v>44966</v>
      </c>
      <c r="N479" s="7">
        <f t="shared" si="15"/>
        <v>1</v>
      </c>
      <c r="O479" s="7" t="str">
        <f>Raw_Orders!J479</f>
        <v>Valentine's Day</v>
      </c>
      <c r="P479" s="7" t="str">
        <f>Raw_Orders!I479</f>
        <v>Ambarnath</v>
      </c>
    </row>
    <row r="480" spans="1:16">
      <c r="A480" s="7" t="str">
        <f>Raw_Orders!A480</f>
        <v>479</v>
      </c>
      <c r="B480" s="7" t="str">
        <f>Raw_Orders!B480</f>
        <v>C071</v>
      </c>
      <c r="C480" s="7" t="str">
        <f>INDEX(Raw_Customers!$B$2:$B$101,MATCH($B480,Raw_Customers!$A$2:$A$101,0))</f>
        <v>Purab Sheth</v>
      </c>
      <c r="D480" s="7" t="str">
        <f>TRIM(INDEX(Raw_Customers!$C$2:$C$101,MATCH($B480,Raw_Customers!$A$2:$A$101,0)))</f>
        <v>Tiruppur</v>
      </c>
      <c r="E480" s="7" t="str">
        <f>"+91-"&amp;RIGHT("0000000000"&amp;INDEX(Raw_Customers!$D$2:$D$101,MATCH($B480,Raw_Customers!$A$2:$A$101,0)),10)</f>
        <v>+91-8410472405</v>
      </c>
      <c r="F480" s="7" t="str">
        <f>Raw_Orders!C480</f>
        <v>11</v>
      </c>
      <c r="G480" s="7" t="str">
        <f>INDEX(Raw_Products!$B$2:$B$71,MATCH($F480,Raw_Products!$A$2:$A$71,0))</f>
        <v>Maxime Set</v>
      </c>
      <c r="H480" s="7" t="str">
        <f>INDEX(Raw_Products!$C$2:$C$71,MATCH($F480,Raw_Products!$A$2:$A$71,0))</f>
        <v>Mugs</v>
      </c>
      <c r="I480" s="7">
        <f>VALUE(Raw_Orders!D480)</f>
        <v>1</v>
      </c>
      <c r="J480" s="11" t="str">
        <f>INDEX(Raw_Products!$D$2:$D$71,MATCH($F480,Raw_Products!$A$2:$A$71,0))</f>
        <v>1096</v>
      </c>
      <c r="K480" s="11">
        <f t="shared" si="14"/>
        <v>1096</v>
      </c>
      <c r="L480" s="12">
        <f>DATE(VALUE(RIGHT(Raw_Orders!E480,4)),VALUE(MID(Raw_Orders!E480,4,2)),VALUE(LEFT(Raw_Orders!E480,2)))</f>
        <v>44964</v>
      </c>
      <c r="M480" s="12">
        <f>DATE(VALUE(RIGHT(Raw_Orders!G480,4)),VALUE(MID(Raw_Orders!G480,4,2)),VALUE(LEFT(Raw_Orders!G480,2)))</f>
        <v>44968</v>
      </c>
      <c r="N480" s="7">
        <f t="shared" si="15"/>
        <v>4</v>
      </c>
      <c r="O480" s="7" t="str">
        <f>Raw_Orders!J480</f>
        <v>Valentine's Day</v>
      </c>
      <c r="P480" s="7" t="str">
        <f>Raw_Orders!I480</f>
        <v>Ghaziabad</v>
      </c>
    </row>
    <row r="481" spans="1:16">
      <c r="A481" s="7" t="str">
        <f>Raw_Orders!A481</f>
        <v>480</v>
      </c>
      <c r="B481" s="7" t="str">
        <f>Raw_Orders!B481</f>
        <v>C059</v>
      </c>
      <c r="C481" s="7" t="str">
        <f>INDEX(Raw_Customers!$B$2:$B$101,MATCH($B481,Raw_Customers!$A$2:$A$101,0))</f>
        <v>Nirvi Wagle</v>
      </c>
      <c r="D481" s="7" t="str">
        <f>TRIM(INDEX(Raw_Customers!$C$2:$C$101,MATCH($B481,Raw_Customers!$A$2:$A$101,0)))</f>
        <v>Kalyan-Dombivli</v>
      </c>
      <c r="E481" s="7" t="str">
        <f>"+91-"&amp;RIGHT("0000000000"&amp;INDEX(Raw_Customers!$D$2:$D$101,MATCH($B481,Raw_Customers!$A$2:$A$101,0)),10)</f>
        <v>+91-5869821393</v>
      </c>
      <c r="F481" s="7" t="str">
        <f>Raw_Orders!C481</f>
        <v>62</v>
      </c>
      <c r="G481" s="7" t="str">
        <f>INDEX(Raw_Products!$B$2:$B$71,MATCH($F481,Raw_Products!$A$2:$A$71,0))</f>
        <v>Sed Set</v>
      </c>
      <c r="H481" s="7" t="str">
        <f>INDEX(Raw_Products!$C$2:$C$71,MATCH($F481,Raw_Products!$A$2:$A$71,0))</f>
        <v>Colors</v>
      </c>
      <c r="I481" s="7">
        <f>VALUE(Raw_Orders!D481)</f>
        <v>4</v>
      </c>
      <c r="J481" s="11" t="str">
        <f>INDEX(Raw_Products!$D$2:$D$71,MATCH($F481,Raw_Products!$A$2:$A$71,0))</f>
        <v>1356</v>
      </c>
      <c r="K481" s="11">
        <f t="shared" si="14"/>
        <v>5424</v>
      </c>
      <c r="L481" s="12">
        <f>DATE(VALUE(RIGHT(Raw_Orders!E481,4)),VALUE(MID(Raw_Orders!E481,4,2)),VALUE(LEFT(Raw_Orders!E481,2)))</f>
        <v>44991</v>
      </c>
      <c r="M481" s="12">
        <f>DATE(VALUE(RIGHT(Raw_Orders!G481,4)),VALUE(MID(Raw_Orders!G481,4,2)),VALUE(LEFT(Raw_Orders!G481,2)))</f>
        <v>45001</v>
      </c>
      <c r="N481" s="7">
        <f t="shared" si="15"/>
        <v>10</v>
      </c>
      <c r="O481" s="7" t="str">
        <f>Raw_Orders!J481</f>
        <v>Holi</v>
      </c>
      <c r="P481" s="7" t="str">
        <f>Raw_Orders!I481</f>
        <v>Sagar</v>
      </c>
    </row>
    <row r="482" spans="1:16">
      <c r="A482" s="7" t="str">
        <f>Raw_Orders!A482</f>
        <v>481</v>
      </c>
      <c r="B482" s="7" t="str">
        <f>Raw_Orders!B482</f>
        <v>C044</v>
      </c>
      <c r="C482" s="7" t="str">
        <f>INDEX(Raw_Customers!$B$2:$B$101,MATCH($B482,Raw_Customers!$A$2:$A$101,0))</f>
        <v>Seher Mann</v>
      </c>
      <c r="D482" s="7" t="str">
        <f>TRIM(INDEX(Raw_Customers!$C$2:$C$101,MATCH($B482,Raw_Customers!$A$2:$A$101,0)))</f>
        <v>Agra</v>
      </c>
      <c r="E482" s="7" t="str">
        <f>"+91-"&amp;RIGHT("0000000000"&amp;INDEX(Raw_Customers!$D$2:$D$101,MATCH($B482,Raw_Customers!$A$2:$A$101,0)),10)</f>
        <v>+91-9843970658</v>
      </c>
      <c r="F482" s="7" t="str">
        <f>Raw_Orders!C482</f>
        <v>12</v>
      </c>
      <c r="G482" s="7" t="str">
        <f>INDEX(Raw_Products!$B$2:$B$71,MATCH($F482,Raw_Products!$A$2:$A$71,0))</f>
        <v>Non Set</v>
      </c>
      <c r="H482" s="7" t="str">
        <f>INDEX(Raw_Products!$C$2:$C$71,MATCH($F482,Raw_Products!$A$2:$A$71,0))</f>
        <v>Plants</v>
      </c>
      <c r="I482" s="7">
        <f>VALUE(Raw_Orders!D482)</f>
        <v>5</v>
      </c>
      <c r="J482" s="11" t="str">
        <f>INDEX(Raw_Products!$D$2:$D$71,MATCH($F482,Raw_Products!$A$2:$A$71,0))</f>
        <v>672</v>
      </c>
      <c r="K482" s="11">
        <f t="shared" si="14"/>
        <v>3360</v>
      </c>
      <c r="L482" s="12">
        <f>DATE(VALUE(RIGHT(Raw_Orders!E482,4)),VALUE(MID(Raw_Orders!E482,4,2)),VALUE(LEFT(Raw_Orders!E482,2)))</f>
        <v>45159</v>
      </c>
      <c r="M482" s="12">
        <f>DATE(VALUE(RIGHT(Raw_Orders!G482,4)),VALUE(MID(Raw_Orders!G482,4,2)),VALUE(LEFT(Raw_Orders!G482,2)))</f>
        <v>45163</v>
      </c>
      <c r="N482" s="7">
        <f t="shared" si="15"/>
        <v>4</v>
      </c>
      <c r="O482" s="7" t="str">
        <f>Raw_Orders!J482</f>
        <v>Anniversary</v>
      </c>
      <c r="P482" s="7" t="str">
        <f>Raw_Orders!I482</f>
        <v>Bhiwandi</v>
      </c>
    </row>
    <row r="483" spans="1:16">
      <c r="A483" s="7" t="str">
        <f>Raw_Orders!A483</f>
        <v>482</v>
      </c>
      <c r="B483" s="7" t="str">
        <f>Raw_Orders!B483</f>
        <v>C050</v>
      </c>
      <c r="C483" s="7" t="str">
        <f>INDEX(Raw_Customers!$B$2:$B$101,MATCH($B483,Raw_Customers!$A$2:$A$101,0))</f>
        <v>Chirag Srinivas</v>
      </c>
      <c r="D483" s="7" t="str">
        <f>TRIM(INDEX(Raw_Customers!$C$2:$C$101,MATCH($B483,Raw_Customers!$A$2:$A$101,0)))</f>
        <v>Imphal</v>
      </c>
      <c r="E483" s="7" t="str">
        <f>"+91-"&amp;RIGHT("0000000000"&amp;INDEX(Raw_Customers!$D$2:$D$101,MATCH($B483,Raw_Customers!$A$2:$A$101,0)),10)</f>
        <v>+91-1157961919</v>
      </c>
      <c r="F483" s="7" t="str">
        <f>Raw_Orders!C483</f>
        <v>23</v>
      </c>
      <c r="G483" s="7" t="str">
        <f>INDEX(Raw_Products!$B$2:$B$71,MATCH($F483,Raw_Products!$A$2:$A$71,0))</f>
        <v>Dignissimos Pack</v>
      </c>
      <c r="H483" s="7" t="str">
        <f>INDEX(Raw_Products!$C$2:$C$71,MATCH($F483,Raw_Products!$A$2:$A$71,0))</f>
        <v>Sweets</v>
      </c>
      <c r="I483" s="7">
        <f>VALUE(Raw_Orders!D483)</f>
        <v>3</v>
      </c>
      <c r="J483" s="11" t="str">
        <f>INDEX(Raw_Products!$D$2:$D$71,MATCH($F483,Raw_Products!$A$2:$A$71,0))</f>
        <v>1098</v>
      </c>
      <c r="K483" s="11">
        <f t="shared" si="14"/>
        <v>3294</v>
      </c>
      <c r="L483" s="12">
        <f>DATE(VALUE(RIGHT(Raw_Orders!E483,4)),VALUE(MID(Raw_Orders!E483,4,2)),VALUE(LEFT(Raw_Orders!E483,2)))</f>
        <v>45082</v>
      </c>
      <c r="M483" s="12">
        <f>DATE(VALUE(RIGHT(Raw_Orders!G483,4)),VALUE(MID(Raw_Orders!G483,4,2)),VALUE(LEFT(Raw_Orders!G483,2)))</f>
        <v>45091</v>
      </c>
      <c r="N483" s="7">
        <f t="shared" si="15"/>
        <v>9</v>
      </c>
      <c r="O483" s="7" t="str">
        <f>Raw_Orders!J483</f>
        <v>Anniversary</v>
      </c>
      <c r="P483" s="7" t="str">
        <f>Raw_Orders!I483</f>
        <v>Ludhiana</v>
      </c>
    </row>
    <row r="484" spans="1:16">
      <c r="A484" s="7" t="str">
        <f>Raw_Orders!A484</f>
        <v>483</v>
      </c>
      <c r="B484" s="7" t="str">
        <f>Raw_Orders!B484</f>
        <v>C007</v>
      </c>
      <c r="C484" s="7" t="str">
        <f>INDEX(Raw_Customers!$B$2:$B$101,MATCH($B484,Raw_Customers!$A$2:$A$101,0))</f>
        <v>Jayant Kamdar</v>
      </c>
      <c r="D484" s="7" t="str">
        <f>TRIM(INDEX(Raw_Customers!$C$2:$C$101,MATCH($B484,Raw_Customers!$A$2:$A$101,0)))</f>
        <v>Berhampore</v>
      </c>
      <c r="E484" s="7" t="str">
        <f>"+91-"&amp;RIGHT("0000000000"&amp;INDEX(Raw_Customers!$D$2:$D$101,MATCH($B484,Raw_Customers!$A$2:$A$101,0)),10)</f>
        <v>+91-8576675504</v>
      </c>
      <c r="F484" s="7" t="str">
        <f>Raw_Orders!C484</f>
        <v>59</v>
      </c>
      <c r="G484" s="7" t="str">
        <f>INDEX(Raw_Products!$B$2:$B$71,MATCH($F484,Raw_Products!$A$2:$A$71,0))</f>
        <v>Pariatur Box</v>
      </c>
      <c r="H484" s="7" t="str">
        <f>INDEX(Raw_Products!$C$2:$C$71,MATCH($F484,Raw_Products!$A$2:$A$71,0))</f>
        <v>Cake</v>
      </c>
      <c r="I484" s="7">
        <f>VALUE(Raw_Orders!D484)</f>
        <v>2</v>
      </c>
      <c r="J484" s="11" t="str">
        <f>INDEX(Raw_Products!$D$2:$D$71,MATCH($F484,Raw_Products!$A$2:$A$71,0))</f>
        <v>811</v>
      </c>
      <c r="K484" s="11">
        <f t="shared" si="14"/>
        <v>1622</v>
      </c>
      <c r="L484" s="12">
        <f>DATE(VALUE(RIGHT(Raw_Orders!E484,4)),VALUE(MID(Raw_Orders!E484,4,2)),VALUE(LEFT(Raw_Orders!E484,2)))</f>
        <v>45166</v>
      </c>
      <c r="M484" s="12">
        <f>DATE(VALUE(RIGHT(Raw_Orders!G484,4)),VALUE(MID(Raw_Orders!G484,4,2)),VALUE(LEFT(Raw_Orders!G484,2)))</f>
        <v>45169</v>
      </c>
      <c r="N484" s="7">
        <f t="shared" si="15"/>
        <v>3</v>
      </c>
      <c r="O484" s="7" t="str">
        <f>Raw_Orders!J484</f>
        <v>Raksha Bandhan</v>
      </c>
      <c r="P484" s="7" t="str">
        <f>Raw_Orders!I484</f>
        <v>Pallavaram</v>
      </c>
    </row>
    <row r="485" spans="1:16">
      <c r="A485" s="7" t="str">
        <f>Raw_Orders!A485</f>
        <v>484</v>
      </c>
      <c r="B485" s="7" t="str">
        <f>Raw_Orders!B485</f>
        <v>C034</v>
      </c>
      <c r="C485" s="7" t="str">
        <f>INDEX(Raw_Customers!$B$2:$B$101,MATCH($B485,Raw_Customers!$A$2:$A$101,0))</f>
        <v>Hridaan Sood</v>
      </c>
      <c r="D485" s="7" t="str">
        <f>TRIM(INDEX(Raw_Customers!$C$2:$C$101,MATCH($B485,Raw_Customers!$A$2:$A$101,0)))</f>
        <v>Bhatpara</v>
      </c>
      <c r="E485" s="7" t="str">
        <f>"+91-"&amp;RIGHT("0000000000"&amp;INDEX(Raw_Customers!$D$2:$D$101,MATCH($B485,Raw_Customers!$A$2:$A$101,0)),10)</f>
        <v>+91-6652710577</v>
      </c>
      <c r="F485" s="7" t="str">
        <f>Raw_Orders!C485</f>
        <v>1</v>
      </c>
      <c r="G485" s="7" t="str">
        <f>INDEX(Raw_Products!$B$2:$B$71,MATCH($F485,Raw_Products!$A$2:$A$71,0))</f>
        <v>Magnam Set</v>
      </c>
      <c r="H485" s="7" t="str">
        <f>INDEX(Raw_Products!$C$2:$C$71,MATCH($F485,Raw_Products!$A$2:$A$71,0))</f>
        <v>Soft Toys</v>
      </c>
      <c r="I485" s="7">
        <f>VALUE(Raw_Orders!D485)</f>
        <v>5</v>
      </c>
      <c r="J485" s="11" t="str">
        <f>INDEX(Raw_Products!$D$2:$D$71,MATCH($F485,Raw_Products!$A$2:$A$71,0))</f>
        <v>1935</v>
      </c>
      <c r="K485" s="11">
        <f t="shared" si="14"/>
        <v>9675</v>
      </c>
      <c r="L485" s="12">
        <f>DATE(VALUE(RIGHT(Raw_Orders!E485,4)),VALUE(MID(Raw_Orders!E485,4,2)),VALUE(LEFT(Raw_Orders!E485,2)))</f>
        <v>45072</v>
      </c>
      <c r="M485" s="12">
        <f>DATE(VALUE(RIGHT(Raw_Orders!G485,4)),VALUE(MID(Raw_Orders!G485,4,2)),VALUE(LEFT(Raw_Orders!G485,2)))</f>
        <v>45080</v>
      </c>
      <c r="N485" s="7">
        <f t="shared" si="15"/>
        <v>8</v>
      </c>
      <c r="O485" s="7" t="str">
        <f>Raw_Orders!J485</f>
        <v>All Occasions</v>
      </c>
      <c r="P485" s="7" t="str">
        <f>Raw_Orders!I485</f>
        <v>Morena</v>
      </c>
    </row>
    <row r="486" spans="1:16">
      <c r="A486" s="7" t="str">
        <f>Raw_Orders!A486</f>
        <v>485</v>
      </c>
      <c r="B486" s="7" t="str">
        <f>Raw_Orders!B486</f>
        <v>C029</v>
      </c>
      <c r="C486" s="7" t="str">
        <f>INDEX(Raw_Customers!$B$2:$B$101,MATCH($B486,Raw_Customers!$A$2:$A$101,0))</f>
        <v>Badal Sathe</v>
      </c>
      <c r="D486" s="7" t="str">
        <f>TRIM(INDEX(Raw_Customers!$C$2:$C$101,MATCH($B486,Raw_Customers!$A$2:$A$101,0)))</f>
        <v>Haridwar</v>
      </c>
      <c r="E486" s="7" t="str">
        <f>"+91-"&amp;RIGHT("0000000000"&amp;INDEX(Raw_Customers!$D$2:$D$101,MATCH($B486,Raw_Customers!$A$2:$A$101,0)),10)</f>
        <v>+91-2454360885</v>
      </c>
      <c r="F486" s="7" t="str">
        <f>Raw_Orders!C486</f>
        <v>43</v>
      </c>
      <c r="G486" s="7" t="str">
        <f>INDEX(Raw_Products!$B$2:$B$71,MATCH($F486,Raw_Products!$A$2:$A$71,0))</f>
        <v>Quisquam Pack</v>
      </c>
      <c r="H486" s="7" t="str">
        <f>INDEX(Raw_Products!$C$2:$C$71,MATCH($F486,Raw_Products!$A$2:$A$71,0))</f>
        <v>Raksha Bandhan</v>
      </c>
      <c r="I486" s="7">
        <f>VALUE(Raw_Orders!D486)</f>
        <v>4</v>
      </c>
      <c r="J486" s="11" t="str">
        <f>INDEX(Raw_Products!$D$2:$D$71,MATCH($F486,Raw_Products!$A$2:$A$71,0))</f>
        <v>750</v>
      </c>
      <c r="K486" s="11">
        <f t="shared" si="14"/>
        <v>3000</v>
      </c>
      <c r="L486" s="12">
        <f>DATE(VALUE(RIGHT(Raw_Orders!E486,4)),VALUE(MID(Raw_Orders!E486,4,2)),VALUE(LEFT(Raw_Orders!E486,2)))</f>
        <v>45236</v>
      </c>
      <c r="M486" s="12">
        <f>DATE(VALUE(RIGHT(Raw_Orders!G486,4)),VALUE(MID(Raw_Orders!G486,4,2)),VALUE(LEFT(Raw_Orders!G486,2)))</f>
        <v>45244</v>
      </c>
      <c r="N486" s="7">
        <f t="shared" si="15"/>
        <v>8</v>
      </c>
      <c r="O486" s="7" t="str">
        <f>Raw_Orders!J486</f>
        <v>Diwali</v>
      </c>
      <c r="P486" s="7" t="str">
        <f>Raw_Orders!I486</f>
        <v>Bhubaneswar</v>
      </c>
    </row>
    <row r="487" spans="1:16">
      <c r="A487" s="7" t="str">
        <f>Raw_Orders!A487</f>
        <v>486</v>
      </c>
      <c r="B487" s="7" t="str">
        <f>Raw_Orders!B487</f>
        <v>C030</v>
      </c>
      <c r="C487" s="7" t="str">
        <f>INDEX(Raw_Customers!$B$2:$B$101,MATCH($B487,Raw_Customers!$A$2:$A$101,0))</f>
        <v>Vardaniya Contractor</v>
      </c>
      <c r="D487" s="7" t="str">
        <f>TRIM(INDEX(Raw_Customers!$C$2:$C$101,MATCH($B487,Raw_Customers!$A$2:$A$101,0)))</f>
        <v>Sambhal</v>
      </c>
      <c r="E487" s="7" t="str">
        <f>"+91-"&amp;RIGHT("0000000000"&amp;INDEX(Raw_Customers!$D$2:$D$101,MATCH($B487,Raw_Customers!$A$2:$A$101,0)),10)</f>
        <v>+91-9972300876</v>
      </c>
      <c r="F487" s="7" t="str">
        <f>Raw_Orders!C487</f>
        <v>24</v>
      </c>
      <c r="G487" s="7" t="str">
        <f>INDEX(Raw_Products!$B$2:$B$71,MATCH($F487,Raw_Products!$A$2:$A$71,0))</f>
        <v>Ad Box</v>
      </c>
      <c r="H487" s="7" t="str">
        <f>INDEX(Raw_Products!$C$2:$C$71,MATCH($F487,Raw_Products!$A$2:$A$71,0))</f>
        <v>Mugs</v>
      </c>
      <c r="I487" s="7">
        <f>VALUE(Raw_Orders!D487)</f>
        <v>1</v>
      </c>
      <c r="J487" s="11" t="str">
        <f>INDEX(Raw_Products!$D$2:$D$71,MATCH($F487,Raw_Products!$A$2:$A$71,0))</f>
        <v>535</v>
      </c>
      <c r="K487" s="11">
        <f t="shared" si="14"/>
        <v>535</v>
      </c>
      <c r="L487" s="12">
        <f>DATE(VALUE(RIGHT(Raw_Orders!E487,4)),VALUE(MID(Raw_Orders!E487,4,2)),VALUE(LEFT(Raw_Orders!E487,2)))</f>
        <v>45132</v>
      </c>
      <c r="M487" s="12">
        <f>DATE(VALUE(RIGHT(Raw_Orders!G487,4)),VALUE(MID(Raw_Orders!G487,4,2)),VALUE(LEFT(Raw_Orders!G487,2)))</f>
        <v>45137</v>
      </c>
      <c r="N487" s="7">
        <f t="shared" si="15"/>
        <v>5</v>
      </c>
      <c r="O487" s="7" t="str">
        <f>Raw_Orders!J487</f>
        <v>Birthday</v>
      </c>
      <c r="P487" s="7" t="str">
        <f>Raw_Orders!I487</f>
        <v>Ambattur</v>
      </c>
    </row>
    <row r="488" spans="1:16">
      <c r="A488" s="7" t="str">
        <f>Raw_Orders!A488</f>
        <v>487</v>
      </c>
      <c r="B488" s="7" t="str">
        <f>Raw_Orders!B488</f>
        <v>C053</v>
      </c>
      <c r="C488" s="7" t="str">
        <f>INDEX(Raw_Customers!$B$2:$B$101,MATCH($B488,Raw_Customers!$A$2:$A$101,0))</f>
        <v>Kismat Kapadia</v>
      </c>
      <c r="D488" s="7" t="str">
        <f>TRIM(INDEX(Raw_Customers!$C$2:$C$101,MATCH($B488,Raw_Customers!$A$2:$A$101,0)))</f>
        <v>Bharatpur</v>
      </c>
      <c r="E488" s="7" t="str">
        <f>"+91-"&amp;RIGHT("0000000000"&amp;INDEX(Raw_Customers!$D$2:$D$101,MATCH($B488,Raw_Customers!$A$2:$A$101,0)),10)</f>
        <v>+91-8068004996</v>
      </c>
      <c r="F488" s="7" t="str">
        <f>Raw_Orders!C488</f>
        <v>51</v>
      </c>
      <c r="G488" s="7" t="str">
        <f>INDEX(Raw_Products!$B$2:$B$71,MATCH($F488,Raw_Products!$A$2:$A$71,0))</f>
        <v>Fugit Set</v>
      </c>
      <c r="H488" s="7" t="str">
        <f>INDEX(Raw_Products!$C$2:$C$71,MATCH($F488,Raw_Products!$A$2:$A$71,0))</f>
        <v>Soft Toys</v>
      </c>
      <c r="I488" s="7">
        <f>VALUE(Raw_Orders!D488)</f>
        <v>1</v>
      </c>
      <c r="J488" s="11" t="str">
        <f>INDEX(Raw_Products!$D$2:$D$71,MATCH($F488,Raw_Products!$A$2:$A$71,0))</f>
        <v>1084</v>
      </c>
      <c r="K488" s="11">
        <f t="shared" si="14"/>
        <v>1084</v>
      </c>
      <c r="L488" s="12">
        <f>DATE(VALUE(RIGHT(Raw_Orders!E488,4)),VALUE(MID(Raw_Orders!E488,4,2)),VALUE(LEFT(Raw_Orders!E488,2)))</f>
        <v>44931</v>
      </c>
      <c r="M488" s="12">
        <f>DATE(VALUE(RIGHT(Raw_Orders!G488,4)),VALUE(MID(Raw_Orders!G488,4,2)),VALUE(LEFT(Raw_Orders!G488,2)))</f>
        <v>44935</v>
      </c>
      <c r="N488" s="7">
        <f t="shared" si="15"/>
        <v>4</v>
      </c>
      <c r="O488" s="7" t="str">
        <f>Raw_Orders!J488</f>
        <v>All Occasions</v>
      </c>
      <c r="P488" s="7" t="str">
        <f>Raw_Orders!I488</f>
        <v>Sasaram</v>
      </c>
    </row>
    <row r="489" spans="1:16">
      <c r="A489" s="7" t="str">
        <f>Raw_Orders!A489</f>
        <v>488</v>
      </c>
      <c r="B489" s="7" t="str">
        <f>Raw_Orders!B489</f>
        <v>C025</v>
      </c>
      <c r="C489" s="7" t="str">
        <f>INDEX(Raw_Customers!$B$2:$B$101,MATCH($B489,Raw_Customers!$A$2:$A$101,0))</f>
        <v>Ira Bava</v>
      </c>
      <c r="D489" s="7" t="str">
        <f>TRIM(INDEX(Raw_Customers!$C$2:$C$101,MATCH($B489,Raw_Customers!$A$2:$A$101,0)))</f>
        <v>Singrauli</v>
      </c>
      <c r="E489" s="7" t="str">
        <f>"+91-"&amp;RIGHT("0000000000"&amp;INDEX(Raw_Customers!$D$2:$D$101,MATCH($B489,Raw_Customers!$A$2:$A$101,0)),10)</f>
        <v>+91-7406193950</v>
      </c>
      <c r="F489" s="7" t="str">
        <f>Raw_Orders!C489</f>
        <v>21</v>
      </c>
      <c r="G489" s="7" t="str">
        <f>INDEX(Raw_Products!$B$2:$B$71,MATCH($F489,Raw_Products!$A$2:$A$71,0))</f>
        <v>Quia Gift</v>
      </c>
      <c r="H489" s="7" t="str">
        <f>INDEX(Raw_Products!$C$2:$C$71,MATCH($F489,Raw_Products!$A$2:$A$71,0))</f>
        <v>Colors</v>
      </c>
      <c r="I489" s="7">
        <f>VALUE(Raw_Orders!D489)</f>
        <v>4</v>
      </c>
      <c r="J489" s="11" t="str">
        <f>INDEX(Raw_Products!$D$2:$D$71,MATCH($F489,Raw_Products!$A$2:$A$71,0))</f>
        <v>1561</v>
      </c>
      <c r="K489" s="11">
        <f t="shared" si="14"/>
        <v>6244</v>
      </c>
      <c r="L489" s="12">
        <f>DATE(VALUE(RIGHT(Raw_Orders!E489,4)),VALUE(MID(Raw_Orders!E489,4,2)),VALUE(LEFT(Raw_Orders!E489,2)))</f>
        <v>45166</v>
      </c>
      <c r="M489" s="12">
        <f>DATE(VALUE(RIGHT(Raw_Orders!G489,4)),VALUE(MID(Raw_Orders!G489,4,2)),VALUE(LEFT(Raw_Orders!G489,2)))</f>
        <v>45167</v>
      </c>
      <c r="N489" s="7">
        <f t="shared" si="15"/>
        <v>1</v>
      </c>
      <c r="O489" s="7" t="str">
        <f>Raw_Orders!J489</f>
        <v>Raksha Bandhan</v>
      </c>
      <c r="P489" s="7" t="str">
        <f>Raw_Orders!I489</f>
        <v>Nizamabad</v>
      </c>
    </row>
    <row r="490" spans="1:16">
      <c r="A490" s="7" t="str">
        <f>Raw_Orders!A490</f>
        <v>489</v>
      </c>
      <c r="B490" s="7" t="str">
        <f>Raw_Orders!B490</f>
        <v>C072</v>
      </c>
      <c r="C490" s="7" t="str">
        <f>INDEX(Raw_Customers!$B$2:$B$101,MATCH($B490,Raw_Customers!$A$2:$A$101,0))</f>
        <v>Charvi Karnik</v>
      </c>
      <c r="D490" s="7" t="str">
        <f>TRIM(INDEX(Raw_Customers!$C$2:$C$101,MATCH($B490,Raw_Customers!$A$2:$A$101,0)))</f>
        <v>Hyderabad</v>
      </c>
      <c r="E490" s="7" t="str">
        <f>"+91-"&amp;RIGHT("0000000000"&amp;INDEX(Raw_Customers!$D$2:$D$101,MATCH($B490,Raw_Customers!$A$2:$A$101,0)),10)</f>
        <v>+91-7573085232</v>
      </c>
      <c r="F490" s="7" t="str">
        <f>Raw_Orders!C490</f>
        <v>10</v>
      </c>
      <c r="G490" s="7" t="str">
        <f>INDEX(Raw_Products!$B$2:$B$71,MATCH($F490,Raw_Products!$A$2:$A$71,0))</f>
        <v>Accusantium Gift</v>
      </c>
      <c r="H490" s="7" t="str">
        <f>INDEX(Raw_Products!$C$2:$C$71,MATCH($F490,Raw_Products!$A$2:$A$71,0))</f>
        <v>Cake</v>
      </c>
      <c r="I490" s="7">
        <f>VALUE(Raw_Orders!D490)</f>
        <v>1</v>
      </c>
      <c r="J490" s="11" t="str">
        <f>INDEX(Raw_Products!$D$2:$D$71,MATCH($F490,Raw_Products!$A$2:$A$71,0))</f>
        <v>259</v>
      </c>
      <c r="K490" s="11">
        <f t="shared" si="14"/>
        <v>259</v>
      </c>
      <c r="L490" s="12">
        <f>DATE(VALUE(RIGHT(Raw_Orders!E490,4)),VALUE(MID(Raw_Orders!E490,4,2)),VALUE(LEFT(Raw_Orders!E490,2)))</f>
        <v>45166</v>
      </c>
      <c r="M490" s="12">
        <f>DATE(VALUE(RIGHT(Raw_Orders!G490,4)),VALUE(MID(Raw_Orders!G490,4,2)),VALUE(LEFT(Raw_Orders!G490,2)))</f>
        <v>45171</v>
      </c>
      <c r="N490" s="7">
        <f t="shared" si="15"/>
        <v>5</v>
      </c>
      <c r="O490" s="7" t="str">
        <f>Raw_Orders!J490</f>
        <v>Birthday</v>
      </c>
      <c r="P490" s="7" t="str">
        <f>Raw_Orders!I490</f>
        <v>Kirari Suleman Nagar</v>
      </c>
    </row>
    <row r="491" spans="1:16">
      <c r="A491" s="7" t="str">
        <f>Raw_Orders!A491</f>
        <v>490</v>
      </c>
      <c r="B491" s="7" t="str">
        <f>Raw_Orders!B491</f>
        <v>C075</v>
      </c>
      <c r="C491" s="7" t="str">
        <f>INDEX(Raw_Customers!$B$2:$B$101,MATCH($B491,Raw_Customers!$A$2:$A$101,0))</f>
        <v>Yashvi Bansal</v>
      </c>
      <c r="D491" s="7" t="str">
        <f>TRIM(INDEX(Raw_Customers!$C$2:$C$101,MATCH($B491,Raw_Customers!$A$2:$A$101,0)))</f>
        <v>Aligarh</v>
      </c>
      <c r="E491" s="7" t="str">
        <f>"+91-"&amp;RIGHT("0000000000"&amp;INDEX(Raw_Customers!$D$2:$D$101,MATCH($B491,Raw_Customers!$A$2:$A$101,0)),10)</f>
        <v>+91-4513765238</v>
      </c>
      <c r="F491" s="7" t="str">
        <f>Raw_Orders!C491</f>
        <v>2</v>
      </c>
      <c r="G491" s="7" t="str">
        <f>INDEX(Raw_Products!$B$2:$B$71,MATCH($F491,Raw_Products!$A$2:$A$71,0))</f>
        <v>Voluptas Box</v>
      </c>
      <c r="H491" s="7" t="str">
        <f>INDEX(Raw_Products!$C$2:$C$71,MATCH($F491,Raw_Products!$A$2:$A$71,0))</f>
        <v>Plants</v>
      </c>
      <c r="I491" s="7">
        <f>VALUE(Raw_Orders!D491)</f>
        <v>1</v>
      </c>
      <c r="J491" s="11" t="str">
        <f>INDEX(Raw_Products!$D$2:$D$71,MATCH($F491,Raw_Products!$A$2:$A$71,0))</f>
        <v>441</v>
      </c>
      <c r="K491" s="11">
        <f t="shared" si="14"/>
        <v>441</v>
      </c>
      <c r="L491" s="12">
        <f>DATE(VALUE(RIGHT(Raw_Orders!E491,4)),VALUE(MID(Raw_Orders!E491,4,2)),VALUE(LEFT(Raw_Orders!E491,2)))</f>
        <v>44969</v>
      </c>
      <c r="M491" s="12">
        <f>DATE(VALUE(RIGHT(Raw_Orders!G491,4)),VALUE(MID(Raw_Orders!G491,4,2)),VALUE(LEFT(Raw_Orders!G491,2)))</f>
        <v>44971</v>
      </c>
      <c r="N491" s="7">
        <f t="shared" si="15"/>
        <v>2</v>
      </c>
      <c r="O491" s="7" t="str">
        <f>Raw_Orders!J491</f>
        <v>Valentine's Day</v>
      </c>
      <c r="P491" s="7" t="str">
        <f>Raw_Orders!I491</f>
        <v>Eluru</v>
      </c>
    </row>
    <row r="492" spans="1:16">
      <c r="A492" s="7" t="str">
        <f>Raw_Orders!A492</f>
        <v>491</v>
      </c>
      <c r="B492" s="7" t="str">
        <f>Raw_Orders!B492</f>
        <v>C095</v>
      </c>
      <c r="C492" s="7" t="str">
        <f>INDEX(Raw_Customers!$B$2:$B$101,MATCH($B492,Raw_Customers!$A$2:$A$101,0))</f>
        <v>Mahika Cherian</v>
      </c>
      <c r="D492" s="7" t="str">
        <f>TRIM(INDEX(Raw_Customers!$C$2:$C$101,MATCH($B492,Raw_Customers!$A$2:$A$101,0)))</f>
        <v>Warangal</v>
      </c>
      <c r="E492" s="7" t="str">
        <f>"+91-"&amp;RIGHT("0000000000"&amp;INDEX(Raw_Customers!$D$2:$D$101,MATCH($B492,Raw_Customers!$A$2:$A$101,0)),10)</f>
        <v>+91-2769457161</v>
      </c>
      <c r="F492" s="7" t="str">
        <f>Raw_Orders!C492</f>
        <v>30</v>
      </c>
      <c r="G492" s="7" t="str">
        <f>INDEX(Raw_Products!$B$2:$B$71,MATCH($F492,Raw_Products!$A$2:$A$71,0))</f>
        <v>Recusandae Pack</v>
      </c>
      <c r="H492" s="7" t="str">
        <f>INDEX(Raw_Products!$C$2:$C$71,MATCH($F492,Raw_Products!$A$2:$A$71,0))</f>
        <v>Colors</v>
      </c>
      <c r="I492" s="7">
        <f>VALUE(Raw_Orders!D492)</f>
        <v>1</v>
      </c>
      <c r="J492" s="11" t="str">
        <f>INDEX(Raw_Products!$D$2:$D$71,MATCH($F492,Raw_Products!$A$2:$A$71,0))</f>
        <v>751</v>
      </c>
      <c r="K492" s="11">
        <f t="shared" si="14"/>
        <v>751</v>
      </c>
      <c r="L492" s="12">
        <f>DATE(VALUE(RIGHT(Raw_Orders!E492,4)),VALUE(MID(Raw_Orders!E492,4,2)),VALUE(LEFT(Raw_Orders!E492,2)))</f>
        <v>45223</v>
      </c>
      <c r="M492" s="12">
        <f>DATE(VALUE(RIGHT(Raw_Orders!G492,4)),VALUE(MID(Raw_Orders!G492,4,2)),VALUE(LEFT(Raw_Orders!G492,2)))</f>
        <v>45232</v>
      </c>
      <c r="N492" s="7">
        <f t="shared" si="15"/>
        <v>9</v>
      </c>
      <c r="O492" s="7" t="str">
        <f>Raw_Orders!J492</f>
        <v>Anniversary</v>
      </c>
      <c r="P492" s="7" t="str">
        <f>Raw_Orders!I492</f>
        <v>Muzaffarnagar</v>
      </c>
    </row>
    <row r="493" spans="1:16">
      <c r="A493" s="7" t="str">
        <f>Raw_Orders!A493</f>
        <v>492</v>
      </c>
      <c r="B493" s="7" t="str">
        <f>Raw_Orders!B493</f>
        <v>C047</v>
      </c>
      <c r="C493" s="7" t="str">
        <f>INDEX(Raw_Customers!$B$2:$B$101,MATCH($B493,Raw_Customers!$A$2:$A$101,0))</f>
        <v>Bhamini Ravi</v>
      </c>
      <c r="D493" s="7" t="str">
        <f>TRIM(INDEX(Raw_Customers!$C$2:$C$101,MATCH($B493,Raw_Customers!$A$2:$A$101,0)))</f>
        <v>Jorhat</v>
      </c>
      <c r="E493" s="7" t="str">
        <f>"+91-"&amp;RIGHT("0000000000"&amp;INDEX(Raw_Customers!$D$2:$D$101,MATCH($B493,Raw_Customers!$A$2:$A$101,0)),10)</f>
        <v>+91-0798274175</v>
      </c>
      <c r="F493" s="7" t="str">
        <f>Raw_Orders!C493</f>
        <v>33</v>
      </c>
      <c r="G493" s="7" t="str">
        <f>INDEX(Raw_Products!$B$2:$B$71,MATCH($F493,Raw_Products!$A$2:$A$71,0))</f>
        <v>Earum Set</v>
      </c>
      <c r="H493" s="7" t="str">
        <f>INDEX(Raw_Products!$C$2:$C$71,MATCH($F493,Raw_Products!$A$2:$A$71,0))</f>
        <v>Colors</v>
      </c>
      <c r="I493" s="7">
        <f>VALUE(Raw_Orders!D493)</f>
        <v>2</v>
      </c>
      <c r="J493" s="11" t="str">
        <f>INDEX(Raw_Products!$D$2:$D$71,MATCH($F493,Raw_Products!$A$2:$A$71,0))</f>
        <v>314</v>
      </c>
      <c r="K493" s="11">
        <f t="shared" si="14"/>
        <v>628</v>
      </c>
      <c r="L493" s="12">
        <f>DATE(VALUE(RIGHT(Raw_Orders!E493,4)),VALUE(MID(Raw_Orders!E493,4,2)),VALUE(LEFT(Raw_Orders!E493,2)))</f>
        <v>44961</v>
      </c>
      <c r="M493" s="12">
        <f>DATE(VALUE(RIGHT(Raw_Orders!G493,4)),VALUE(MID(Raw_Orders!G493,4,2)),VALUE(LEFT(Raw_Orders!G493,2)))</f>
        <v>44970</v>
      </c>
      <c r="N493" s="7">
        <f t="shared" si="15"/>
        <v>9</v>
      </c>
      <c r="O493" s="7" t="str">
        <f>Raw_Orders!J493</f>
        <v>Valentine's Day</v>
      </c>
      <c r="P493" s="7" t="str">
        <f>Raw_Orders!I493</f>
        <v>Salem</v>
      </c>
    </row>
    <row r="494" spans="1:16">
      <c r="A494" s="7" t="str">
        <f>Raw_Orders!A494</f>
        <v>493</v>
      </c>
      <c r="B494" s="7" t="str">
        <f>Raw_Orders!B494</f>
        <v>C035</v>
      </c>
      <c r="C494" s="7" t="str">
        <f>INDEX(Raw_Customers!$B$2:$B$101,MATCH($B494,Raw_Customers!$A$2:$A$101,0))</f>
        <v>Ira Sarna</v>
      </c>
      <c r="D494" s="7" t="str">
        <f>TRIM(INDEX(Raw_Customers!$C$2:$C$101,MATCH($B494,Raw_Customers!$A$2:$A$101,0)))</f>
        <v>Vellore</v>
      </c>
      <c r="E494" s="7" t="str">
        <f>"+91-"&amp;RIGHT("0000000000"&amp;INDEX(Raw_Customers!$D$2:$D$101,MATCH($B494,Raw_Customers!$A$2:$A$101,0)),10)</f>
        <v>+91-6899648374</v>
      </c>
      <c r="F494" s="7" t="str">
        <f>Raw_Orders!C494</f>
        <v>11</v>
      </c>
      <c r="G494" s="7" t="str">
        <f>INDEX(Raw_Products!$B$2:$B$71,MATCH($F494,Raw_Products!$A$2:$A$71,0))</f>
        <v>Maxime Set</v>
      </c>
      <c r="H494" s="7" t="str">
        <f>INDEX(Raw_Products!$C$2:$C$71,MATCH($F494,Raw_Products!$A$2:$A$71,0))</f>
        <v>Mugs</v>
      </c>
      <c r="I494" s="7">
        <f>VALUE(Raw_Orders!D494)</f>
        <v>1</v>
      </c>
      <c r="J494" s="11" t="str">
        <f>INDEX(Raw_Products!$D$2:$D$71,MATCH($F494,Raw_Products!$A$2:$A$71,0))</f>
        <v>1096</v>
      </c>
      <c r="K494" s="11">
        <f t="shared" si="14"/>
        <v>1096</v>
      </c>
      <c r="L494" s="12">
        <f>DATE(VALUE(RIGHT(Raw_Orders!E494,4)),VALUE(MID(Raw_Orders!E494,4,2)),VALUE(LEFT(Raw_Orders!E494,2)))</f>
        <v>44962</v>
      </c>
      <c r="M494" s="12">
        <f>DATE(VALUE(RIGHT(Raw_Orders!G494,4)),VALUE(MID(Raw_Orders!G494,4,2)),VALUE(LEFT(Raw_Orders!G494,2)))</f>
        <v>44963</v>
      </c>
      <c r="N494" s="7">
        <f t="shared" si="15"/>
        <v>1</v>
      </c>
      <c r="O494" s="7" t="str">
        <f>Raw_Orders!J494</f>
        <v>Valentine's Day</v>
      </c>
      <c r="P494" s="7" t="str">
        <f>Raw_Orders!I494</f>
        <v>Gopalpur</v>
      </c>
    </row>
    <row r="495" spans="1:16">
      <c r="A495" s="7" t="str">
        <f>Raw_Orders!A495</f>
        <v>494</v>
      </c>
      <c r="B495" s="7" t="str">
        <f>Raw_Orders!B495</f>
        <v>C082</v>
      </c>
      <c r="C495" s="7" t="str">
        <f>INDEX(Raw_Customers!$B$2:$B$101,MATCH($B495,Raw_Customers!$A$2:$A$101,0))</f>
        <v>Anya Chaudhari</v>
      </c>
      <c r="D495" s="7" t="str">
        <f>TRIM(INDEX(Raw_Customers!$C$2:$C$101,MATCH($B495,Raw_Customers!$A$2:$A$101,0)))</f>
        <v>Ahmednagar</v>
      </c>
      <c r="E495" s="7" t="str">
        <f>"+91-"&amp;RIGHT("0000000000"&amp;INDEX(Raw_Customers!$D$2:$D$101,MATCH($B495,Raw_Customers!$A$2:$A$101,0)),10)</f>
        <v>+91-0813770782</v>
      </c>
      <c r="F495" s="7" t="str">
        <f>Raw_Orders!C495</f>
        <v>7</v>
      </c>
      <c r="G495" s="7" t="str">
        <f>INDEX(Raw_Products!$B$2:$B$71,MATCH($F495,Raw_Products!$A$2:$A$71,0))</f>
        <v>Quos Set</v>
      </c>
      <c r="H495" s="7" t="str">
        <f>INDEX(Raw_Products!$C$2:$C$71,MATCH($F495,Raw_Products!$A$2:$A$71,0))</f>
        <v>Soft Toys</v>
      </c>
      <c r="I495" s="7">
        <f>VALUE(Raw_Orders!D495)</f>
        <v>4</v>
      </c>
      <c r="J495" s="11" t="str">
        <f>INDEX(Raw_Products!$D$2:$D$71,MATCH($F495,Raw_Products!$A$2:$A$71,0))</f>
        <v>409</v>
      </c>
      <c r="K495" s="11">
        <f t="shared" si="14"/>
        <v>1636</v>
      </c>
      <c r="L495" s="12">
        <f>DATE(VALUE(RIGHT(Raw_Orders!E495,4)),VALUE(MID(Raw_Orders!E495,4,2)),VALUE(LEFT(Raw_Orders!E495,2)))</f>
        <v>44985</v>
      </c>
      <c r="M495" s="12">
        <f>DATE(VALUE(RIGHT(Raw_Orders!G495,4)),VALUE(MID(Raw_Orders!G495,4,2)),VALUE(LEFT(Raw_Orders!G495,2)))</f>
        <v>44993</v>
      </c>
      <c r="N495" s="7">
        <f t="shared" si="15"/>
        <v>8</v>
      </c>
      <c r="O495" s="7" t="str">
        <f>Raw_Orders!J495</f>
        <v>Holi</v>
      </c>
      <c r="P495" s="7" t="str">
        <f>Raw_Orders!I495</f>
        <v>Rewa</v>
      </c>
    </row>
    <row r="496" spans="1:16">
      <c r="A496" s="7" t="str">
        <f>Raw_Orders!A496</f>
        <v>495</v>
      </c>
      <c r="B496" s="7" t="str">
        <f>Raw_Orders!B496</f>
        <v>C007</v>
      </c>
      <c r="C496" s="7" t="str">
        <f>INDEX(Raw_Customers!$B$2:$B$101,MATCH($B496,Raw_Customers!$A$2:$A$101,0))</f>
        <v>Jayant Kamdar</v>
      </c>
      <c r="D496" s="7" t="str">
        <f>TRIM(INDEX(Raw_Customers!$C$2:$C$101,MATCH($B496,Raw_Customers!$A$2:$A$101,0)))</f>
        <v>Berhampore</v>
      </c>
      <c r="E496" s="7" t="str">
        <f>"+91-"&amp;RIGHT("0000000000"&amp;INDEX(Raw_Customers!$D$2:$D$101,MATCH($B496,Raw_Customers!$A$2:$A$101,0)),10)</f>
        <v>+91-8576675504</v>
      </c>
      <c r="F496" s="7" t="str">
        <f>Raw_Orders!C496</f>
        <v>20</v>
      </c>
      <c r="G496" s="7" t="str">
        <f>INDEX(Raw_Products!$B$2:$B$71,MATCH($F496,Raw_Products!$A$2:$A$71,0))</f>
        <v>Reiciendis Box</v>
      </c>
      <c r="H496" s="7" t="str">
        <f>INDEX(Raw_Products!$C$2:$C$71,MATCH($F496,Raw_Products!$A$2:$A$71,0))</f>
        <v>Colors</v>
      </c>
      <c r="I496" s="7">
        <f>VALUE(Raw_Orders!D496)</f>
        <v>1</v>
      </c>
      <c r="J496" s="11" t="str">
        <f>INDEX(Raw_Products!$D$2:$D$71,MATCH($F496,Raw_Products!$A$2:$A$71,0))</f>
        <v>697</v>
      </c>
      <c r="K496" s="11">
        <f t="shared" si="14"/>
        <v>697</v>
      </c>
      <c r="L496" s="12">
        <f>DATE(VALUE(RIGHT(Raw_Orders!E496,4)),VALUE(MID(Raw_Orders!E496,4,2)),VALUE(LEFT(Raw_Orders!E496,2)))</f>
        <v>45166</v>
      </c>
      <c r="M496" s="12">
        <f>DATE(VALUE(RIGHT(Raw_Orders!G496,4)),VALUE(MID(Raw_Orders!G496,4,2)),VALUE(LEFT(Raw_Orders!G496,2)))</f>
        <v>45167</v>
      </c>
      <c r="N496" s="7">
        <f t="shared" si="15"/>
        <v>1</v>
      </c>
      <c r="O496" s="7" t="str">
        <f>Raw_Orders!J496</f>
        <v>Anniversary</v>
      </c>
      <c r="P496" s="7" t="str">
        <f>Raw_Orders!I496</f>
        <v>Pimpri-Chinchwad</v>
      </c>
    </row>
    <row r="497" spans="1:16">
      <c r="A497" s="7" t="str">
        <f>Raw_Orders!A497</f>
        <v>496</v>
      </c>
      <c r="B497" s="7" t="str">
        <f>Raw_Orders!B497</f>
        <v>C021</v>
      </c>
      <c r="C497" s="7" t="str">
        <f>INDEX(Raw_Customers!$B$2:$B$101,MATCH($B497,Raw_Customers!$A$2:$A$101,0))</f>
        <v>Siya Talwar</v>
      </c>
      <c r="D497" s="7" t="str">
        <f>TRIM(INDEX(Raw_Customers!$C$2:$C$101,MATCH($B497,Raw_Customers!$A$2:$A$101,0)))</f>
        <v>Mehsana</v>
      </c>
      <c r="E497" s="7" t="str">
        <f>"+91-"&amp;RIGHT("0000000000"&amp;INDEX(Raw_Customers!$D$2:$D$101,MATCH($B497,Raw_Customers!$A$2:$A$101,0)),10)</f>
        <v>+91-5555408563</v>
      </c>
      <c r="F497" s="7" t="str">
        <f>Raw_Orders!C497</f>
        <v>11</v>
      </c>
      <c r="G497" s="7" t="str">
        <f>INDEX(Raw_Products!$B$2:$B$71,MATCH($F497,Raw_Products!$A$2:$A$71,0))</f>
        <v>Maxime Set</v>
      </c>
      <c r="H497" s="7" t="str">
        <f>INDEX(Raw_Products!$C$2:$C$71,MATCH($F497,Raw_Products!$A$2:$A$71,0))</f>
        <v>Mugs</v>
      </c>
      <c r="I497" s="7">
        <f>VALUE(Raw_Orders!D497)</f>
        <v>4</v>
      </c>
      <c r="J497" s="11" t="str">
        <f>INDEX(Raw_Products!$D$2:$D$71,MATCH($F497,Raw_Products!$A$2:$A$71,0))</f>
        <v>1096</v>
      </c>
      <c r="K497" s="11">
        <f t="shared" si="14"/>
        <v>4384</v>
      </c>
      <c r="L497" s="12">
        <f>DATE(VALUE(RIGHT(Raw_Orders!E497,4)),VALUE(MID(Raw_Orders!E497,4,2)),VALUE(LEFT(Raw_Orders!E497,2)))</f>
        <v>44966</v>
      </c>
      <c r="M497" s="12">
        <f>DATE(VALUE(RIGHT(Raw_Orders!G497,4)),VALUE(MID(Raw_Orders!G497,4,2)),VALUE(LEFT(Raw_Orders!G497,2)))</f>
        <v>44973</v>
      </c>
      <c r="N497" s="7">
        <f t="shared" si="15"/>
        <v>7</v>
      </c>
      <c r="O497" s="7" t="str">
        <f>Raw_Orders!J497</f>
        <v>Valentine's Day</v>
      </c>
      <c r="P497" s="7" t="str">
        <f>Raw_Orders!I497</f>
        <v>Sambhal</v>
      </c>
    </row>
    <row r="498" spans="1:16">
      <c r="A498" s="7" t="str">
        <f>Raw_Orders!A498</f>
        <v>497</v>
      </c>
      <c r="B498" s="7" t="str">
        <f>Raw_Orders!B498</f>
        <v>C081</v>
      </c>
      <c r="C498" s="7" t="str">
        <f>INDEX(Raw_Customers!$B$2:$B$101,MATCH($B498,Raw_Customers!$A$2:$A$101,0))</f>
        <v>Kaira Ramachandran</v>
      </c>
      <c r="D498" s="7" t="str">
        <f>TRIM(INDEX(Raw_Customers!$C$2:$C$101,MATCH($B498,Raw_Customers!$A$2:$A$101,0)))</f>
        <v>Ratlam</v>
      </c>
      <c r="E498" s="7" t="str">
        <f>"+91-"&amp;RIGHT("0000000000"&amp;INDEX(Raw_Customers!$D$2:$D$101,MATCH($B498,Raw_Customers!$A$2:$A$101,0)),10)</f>
        <v>+91-4987395025</v>
      </c>
      <c r="F498" s="7" t="str">
        <f>Raw_Orders!C498</f>
        <v>64</v>
      </c>
      <c r="G498" s="7" t="str">
        <f>INDEX(Raw_Products!$B$2:$B$71,MATCH($F498,Raw_Products!$A$2:$A$71,0))</f>
        <v>Nostrum Box</v>
      </c>
      <c r="H498" s="7" t="str">
        <f>INDEX(Raw_Products!$C$2:$C$71,MATCH($F498,Raw_Products!$A$2:$A$71,0))</f>
        <v>Soft Toys</v>
      </c>
      <c r="I498" s="7">
        <f>VALUE(Raw_Orders!D498)</f>
        <v>2</v>
      </c>
      <c r="J498" s="11" t="str">
        <f>INDEX(Raw_Products!$D$2:$D$71,MATCH($F498,Raw_Products!$A$2:$A$71,0))</f>
        <v>1878</v>
      </c>
      <c r="K498" s="11">
        <f t="shared" si="14"/>
        <v>3756</v>
      </c>
      <c r="L498" s="12">
        <f>DATE(VALUE(RIGHT(Raw_Orders!E498,4)),VALUE(MID(Raw_Orders!E498,4,2)),VALUE(LEFT(Raw_Orders!E498,2)))</f>
        <v>45167</v>
      </c>
      <c r="M498" s="12">
        <f>DATE(VALUE(RIGHT(Raw_Orders!G498,4)),VALUE(MID(Raw_Orders!G498,4,2)),VALUE(LEFT(Raw_Orders!G498,2)))</f>
        <v>45170</v>
      </c>
      <c r="N498" s="7">
        <f t="shared" si="15"/>
        <v>3</v>
      </c>
      <c r="O498" s="7" t="str">
        <f>Raw_Orders!J498</f>
        <v>Raksha Bandhan</v>
      </c>
      <c r="P498" s="7" t="str">
        <f>Raw_Orders!I498</f>
        <v>Alwar</v>
      </c>
    </row>
    <row r="499" spans="1:16">
      <c r="A499" s="7" t="str">
        <f>Raw_Orders!A499</f>
        <v>498</v>
      </c>
      <c r="B499" s="7" t="str">
        <f>Raw_Orders!B499</f>
        <v>C100</v>
      </c>
      <c r="C499" s="7" t="str">
        <f>INDEX(Raw_Customers!$B$2:$B$101,MATCH($B499,Raw_Customers!$A$2:$A$101,0))</f>
        <v>Pranay Chaudhary</v>
      </c>
      <c r="D499" s="7" t="str">
        <f>TRIM(INDEX(Raw_Customers!$C$2:$C$101,MATCH($B499,Raw_Customers!$A$2:$A$101,0)))</f>
        <v>Phagwara</v>
      </c>
      <c r="E499" s="7" t="str">
        <f>"+91-"&amp;RIGHT("0000000000"&amp;INDEX(Raw_Customers!$D$2:$D$101,MATCH($B499,Raw_Customers!$A$2:$A$101,0)),10)</f>
        <v>+91-9478540370</v>
      </c>
      <c r="F499" s="7" t="str">
        <f>Raw_Orders!C499</f>
        <v>19</v>
      </c>
      <c r="G499" s="7" t="str">
        <f>INDEX(Raw_Products!$B$2:$B$71,MATCH($F499,Raw_Products!$A$2:$A$71,0))</f>
        <v>Iure Gift</v>
      </c>
      <c r="H499" s="7" t="str">
        <f>INDEX(Raw_Products!$C$2:$C$71,MATCH($F499,Raw_Products!$A$2:$A$71,0))</f>
        <v>Mugs</v>
      </c>
      <c r="I499" s="7">
        <f>VALUE(Raw_Orders!D499)</f>
        <v>4</v>
      </c>
      <c r="J499" s="11" t="str">
        <f>INDEX(Raw_Products!$D$2:$D$71,MATCH($F499,Raw_Products!$A$2:$A$71,0))</f>
        <v>1234</v>
      </c>
      <c r="K499" s="11">
        <f t="shared" si="14"/>
        <v>4936</v>
      </c>
      <c r="L499" s="12">
        <f>DATE(VALUE(RIGHT(Raw_Orders!E499,4)),VALUE(MID(Raw_Orders!E499,4,2)),VALUE(LEFT(Raw_Orders!E499,2)))</f>
        <v>44970</v>
      </c>
      <c r="M499" s="12">
        <f>DATE(VALUE(RIGHT(Raw_Orders!G499,4)),VALUE(MID(Raw_Orders!G499,4,2)),VALUE(LEFT(Raw_Orders!G499,2)))</f>
        <v>44977</v>
      </c>
      <c r="N499" s="7">
        <f t="shared" si="15"/>
        <v>7</v>
      </c>
      <c r="O499" s="7" t="str">
        <f>Raw_Orders!J499</f>
        <v>Valentine's Day</v>
      </c>
      <c r="P499" s="7" t="str">
        <f>Raw_Orders!I499</f>
        <v>Bhusawal</v>
      </c>
    </row>
    <row r="500" spans="1:16">
      <c r="A500" s="7" t="str">
        <f>Raw_Orders!A500</f>
        <v>499</v>
      </c>
      <c r="B500" s="7" t="str">
        <f>Raw_Orders!B500</f>
        <v>C031</v>
      </c>
      <c r="C500" s="7" t="str">
        <f>INDEX(Raw_Customers!$B$2:$B$101,MATCH($B500,Raw_Customers!$A$2:$A$101,0))</f>
        <v>Madhup Wable</v>
      </c>
      <c r="D500" s="7" t="str">
        <f>TRIM(INDEX(Raw_Customers!$C$2:$C$101,MATCH($B500,Raw_Customers!$A$2:$A$101,0)))</f>
        <v>Sasaram</v>
      </c>
      <c r="E500" s="7" t="str">
        <f>"+91-"&amp;RIGHT("0000000000"&amp;INDEX(Raw_Customers!$D$2:$D$101,MATCH($B500,Raw_Customers!$A$2:$A$101,0)),10)</f>
        <v>+91-0135745753</v>
      </c>
      <c r="F500" s="7" t="str">
        <f>Raw_Orders!C500</f>
        <v>59</v>
      </c>
      <c r="G500" s="7" t="str">
        <f>INDEX(Raw_Products!$B$2:$B$71,MATCH($F500,Raw_Products!$A$2:$A$71,0))</f>
        <v>Pariatur Box</v>
      </c>
      <c r="H500" s="7" t="str">
        <f>INDEX(Raw_Products!$C$2:$C$71,MATCH($F500,Raw_Products!$A$2:$A$71,0))</f>
        <v>Cake</v>
      </c>
      <c r="I500" s="7">
        <f>VALUE(Raw_Orders!D500)</f>
        <v>1</v>
      </c>
      <c r="J500" s="11" t="str">
        <f>INDEX(Raw_Products!$D$2:$D$71,MATCH($F500,Raw_Products!$A$2:$A$71,0))</f>
        <v>811</v>
      </c>
      <c r="K500" s="11">
        <f t="shared" si="14"/>
        <v>811</v>
      </c>
      <c r="L500" s="12">
        <f>DATE(VALUE(RIGHT(Raw_Orders!E500,4)),VALUE(MID(Raw_Orders!E500,4,2)),VALUE(LEFT(Raw_Orders!E500,2)))</f>
        <v>45165</v>
      </c>
      <c r="M500" s="12">
        <f>DATE(VALUE(RIGHT(Raw_Orders!G500,4)),VALUE(MID(Raw_Orders!G500,4,2)),VALUE(LEFT(Raw_Orders!G500,2)))</f>
        <v>45171</v>
      </c>
      <c r="N500" s="7">
        <f t="shared" si="15"/>
        <v>6</v>
      </c>
      <c r="O500" s="7" t="str">
        <f>Raw_Orders!J500</f>
        <v>Raksha Bandhan</v>
      </c>
      <c r="P500" s="7" t="str">
        <f>Raw_Orders!I500</f>
        <v>Ichalkaranji</v>
      </c>
    </row>
    <row r="501" spans="1:16">
      <c r="A501" s="7" t="str">
        <f>Raw_Orders!A501</f>
        <v>500</v>
      </c>
      <c r="B501" s="7" t="str">
        <f>Raw_Orders!B501</f>
        <v>C013</v>
      </c>
      <c r="C501" s="7" t="str">
        <f>INDEX(Raw_Customers!$B$2:$B$101,MATCH($B501,Raw_Customers!$A$2:$A$101,0))</f>
        <v>Manikya Goswami</v>
      </c>
      <c r="D501" s="7" t="str">
        <f>TRIM(INDEX(Raw_Customers!$C$2:$C$101,MATCH($B501,Raw_Customers!$A$2:$A$101,0)))</f>
        <v>Mangalore</v>
      </c>
      <c r="E501" s="7" t="str">
        <f>"+91-"&amp;RIGHT("0000000000"&amp;INDEX(Raw_Customers!$D$2:$D$101,MATCH($B501,Raw_Customers!$A$2:$A$101,0)),10)</f>
        <v>+91-2112817503</v>
      </c>
      <c r="F501" s="7" t="str">
        <f>Raw_Orders!C501</f>
        <v>61</v>
      </c>
      <c r="G501" s="7" t="str">
        <f>INDEX(Raw_Products!$B$2:$B$71,MATCH($F501,Raw_Products!$A$2:$A$71,0))</f>
        <v>Iusto Box</v>
      </c>
      <c r="H501" s="7" t="str">
        <f>INDEX(Raw_Products!$C$2:$C$71,MATCH($F501,Raw_Products!$A$2:$A$71,0))</f>
        <v>Plants</v>
      </c>
      <c r="I501" s="7">
        <f>VALUE(Raw_Orders!D501)</f>
        <v>2</v>
      </c>
      <c r="J501" s="11" t="str">
        <f>INDEX(Raw_Products!$D$2:$D$71,MATCH($F501,Raw_Products!$A$2:$A$71,0))</f>
        <v>810</v>
      </c>
      <c r="K501" s="11">
        <f t="shared" si="14"/>
        <v>1620</v>
      </c>
      <c r="L501" s="12">
        <f>DATE(VALUE(RIGHT(Raw_Orders!E501,4)),VALUE(MID(Raw_Orders!E501,4,2)),VALUE(LEFT(Raw_Orders!E501,2)))</f>
        <v>45106</v>
      </c>
      <c r="M501" s="12">
        <f>DATE(VALUE(RIGHT(Raw_Orders!G501,4)),VALUE(MID(Raw_Orders!G501,4,2)),VALUE(LEFT(Raw_Orders!G501,2)))</f>
        <v>45112</v>
      </c>
      <c r="N501" s="7">
        <f t="shared" si="15"/>
        <v>6</v>
      </c>
      <c r="O501" s="7" t="str">
        <f>Raw_Orders!J501</f>
        <v>Anniversary</v>
      </c>
      <c r="P501" s="7" t="str">
        <f>Raw_Orders!I501</f>
        <v>Bongaigaon</v>
      </c>
    </row>
    <row r="502" spans="1:16">
      <c r="A502" s="7" t="str">
        <f>Raw_Orders!A502</f>
        <v>501</v>
      </c>
      <c r="B502" s="7" t="str">
        <f>Raw_Orders!B502</f>
        <v>C066</v>
      </c>
      <c r="C502" s="7" t="str">
        <f>INDEX(Raw_Customers!$B$2:$B$101,MATCH($B502,Raw_Customers!$A$2:$A$101,0))</f>
        <v>Eshani Buch</v>
      </c>
      <c r="D502" s="7" t="str">
        <f>TRIM(INDEX(Raw_Customers!$C$2:$C$101,MATCH($B502,Raw_Customers!$A$2:$A$101,0)))</f>
        <v>Malegaon</v>
      </c>
      <c r="E502" s="7" t="str">
        <f>"+91-"&amp;RIGHT("0000000000"&amp;INDEX(Raw_Customers!$D$2:$D$101,MATCH($B502,Raw_Customers!$A$2:$A$101,0)),10)</f>
        <v>+91-7436178055</v>
      </c>
      <c r="F502" s="7" t="str">
        <f>Raw_Orders!C502</f>
        <v>46</v>
      </c>
      <c r="G502" s="7" t="str">
        <f>INDEX(Raw_Products!$B$2:$B$71,MATCH($F502,Raw_Products!$A$2:$A$71,0))</f>
        <v>Pariatur Set</v>
      </c>
      <c r="H502" s="7" t="str">
        <f>INDEX(Raw_Products!$C$2:$C$71,MATCH($F502,Raw_Products!$A$2:$A$71,0))</f>
        <v>Cake</v>
      </c>
      <c r="I502" s="7">
        <f>VALUE(Raw_Orders!D502)</f>
        <v>2</v>
      </c>
      <c r="J502" s="11" t="str">
        <f>INDEX(Raw_Products!$D$2:$D$71,MATCH($F502,Raw_Products!$A$2:$A$71,0))</f>
        <v>758</v>
      </c>
      <c r="K502" s="11">
        <f t="shared" si="14"/>
        <v>1516</v>
      </c>
      <c r="L502" s="12">
        <f>DATE(VALUE(RIGHT(Raw_Orders!E502,4)),VALUE(MID(Raw_Orders!E502,4,2)),VALUE(LEFT(Raw_Orders!E502,2)))</f>
        <v>45171</v>
      </c>
      <c r="M502" s="12">
        <f>DATE(VALUE(RIGHT(Raw_Orders!G502,4)),VALUE(MID(Raw_Orders!G502,4,2)),VALUE(LEFT(Raw_Orders!G502,2)))</f>
        <v>45177</v>
      </c>
      <c r="N502" s="7">
        <f t="shared" si="15"/>
        <v>6</v>
      </c>
      <c r="O502" s="7" t="str">
        <f>Raw_Orders!J502</f>
        <v>Anniversary</v>
      </c>
      <c r="P502" s="7" t="str">
        <f>Raw_Orders!I502</f>
        <v>Navi Mumbai</v>
      </c>
    </row>
    <row r="503" spans="1:16">
      <c r="A503" s="7" t="str">
        <f>Raw_Orders!A503</f>
        <v>502</v>
      </c>
      <c r="B503" s="7" t="str">
        <f>Raw_Orders!B503</f>
        <v>C099</v>
      </c>
      <c r="C503" s="7" t="str">
        <f>INDEX(Raw_Customers!$B$2:$B$101,MATCH($B503,Raw_Customers!$A$2:$A$101,0))</f>
        <v>Ranbir Loyal</v>
      </c>
      <c r="D503" s="7" t="str">
        <f>TRIM(INDEX(Raw_Customers!$C$2:$C$101,MATCH($B503,Raw_Customers!$A$2:$A$101,0)))</f>
        <v>Dhanbad</v>
      </c>
      <c r="E503" s="7" t="str">
        <f>"+91-"&amp;RIGHT("0000000000"&amp;INDEX(Raw_Customers!$D$2:$D$101,MATCH($B503,Raw_Customers!$A$2:$A$101,0)),10)</f>
        <v>+91-3621448305</v>
      </c>
      <c r="F503" s="7" t="str">
        <f>Raw_Orders!C503</f>
        <v>22</v>
      </c>
      <c r="G503" s="7" t="str">
        <f>INDEX(Raw_Products!$B$2:$B$71,MATCH($F503,Raw_Products!$A$2:$A$71,0))</f>
        <v>Exercitationem Pack</v>
      </c>
      <c r="H503" s="7" t="str">
        <f>INDEX(Raw_Products!$C$2:$C$71,MATCH($F503,Raw_Products!$A$2:$A$71,0))</f>
        <v>Soft Toys</v>
      </c>
      <c r="I503" s="7">
        <f>VALUE(Raw_Orders!D503)</f>
        <v>5</v>
      </c>
      <c r="J503" s="11" t="str">
        <f>INDEX(Raw_Products!$D$2:$D$71,MATCH($F503,Raw_Products!$A$2:$A$71,0))</f>
        <v>1639</v>
      </c>
      <c r="K503" s="11">
        <f t="shared" si="14"/>
        <v>8195</v>
      </c>
      <c r="L503" s="12">
        <f>DATE(VALUE(RIGHT(Raw_Orders!E503,4)),VALUE(MID(Raw_Orders!E503,4,2)),VALUE(LEFT(Raw_Orders!E503,2)))</f>
        <v>45101</v>
      </c>
      <c r="M503" s="12">
        <f>DATE(VALUE(RIGHT(Raw_Orders!G503,4)),VALUE(MID(Raw_Orders!G503,4,2)),VALUE(LEFT(Raw_Orders!G503,2)))</f>
        <v>45107</v>
      </c>
      <c r="N503" s="7">
        <f t="shared" si="15"/>
        <v>6</v>
      </c>
      <c r="O503" s="7" t="str">
        <f>Raw_Orders!J503</f>
        <v>All Occasions</v>
      </c>
      <c r="P503" s="7" t="str">
        <f>Raw_Orders!I503</f>
        <v>Munger</v>
      </c>
    </row>
    <row r="504" spans="1:16">
      <c r="A504" s="7" t="str">
        <f>Raw_Orders!A504</f>
        <v>503</v>
      </c>
      <c r="B504" s="7" t="str">
        <f>Raw_Orders!B504</f>
        <v>C020</v>
      </c>
      <c r="C504" s="7" t="str">
        <f>INDEX(Raw_Customers!$B$2:$B$101,MATCH($B504,Raw_Customers!$A$2:$A$101,0))</f>
        <v>Samaira Ganesh</v>
      </c>
      <c r="D504" s="7" t="str">
        <f>TRIM(INDEX(Raw_Customers!$C$2:$C$101,MATCH($B504,Raw_Customers!$A$2:$A$101,0)))</f>
        <v>Machilipatnam</v>
      </c>
      <c r="E504" s="7" t="str">
        <f>"+91-"&amp;RIGHT("0000000000"&amp;INDEX(Raw_Customers!$D$2:$D$101,MATCH($B504,Raw_Customers!$A$2:$A$101,0)),10)</f>
        <v>+91-1731643700</v>
      </c>
      <c r="F504" s="7" t="str">
        <f>Raw_Orders!C504</f>
        <v>34</v>
      </c>
      <c r="G504" s="7" t="str">
        <f>INDEX(Raw_Products!$B$2:$B$71,MATCH($F504,Raw_Products!$A$2:$A$71,0))</f>
        <v>Placeat Pack</v>
      </c>
      <c r="H504" s="7" t="str">
        <f>INDEX(Raw_Products!$C$2:$C$71,MATCH($F504,Raw_Products!$A$2:$A$71,0))</f>
        <v>Soft Toys</v>
      </c>
      <c r="I504" s="7">
        <f>VALUE(Raw_Orders!D504)</f>
        <v>1</v>
      </c>
      <c r="J504" s="11" t="str">
        <f>INDEX(Raw_Products!$D$2:$D$71,MATCH($F504,Raw_Products!$A$2:$A$71,0))</f>
        <v>1335</v>
      </c>
      <c r="K504" s="11">
        <f t="shared" si="14"/>
        <v>1335</v>
      </c>
      <c r="L504" s="12">
        <f>DATE(VALUE(RIGHT(Raw_Orders!E504,4)),VALUE(MID(Raw_Orders!E504,4,2)),VALUE(LEFT(Raw_Orders!E504,2)))</f>
        <v>45167</v>
      </c>
      <c r="M504" s="12">
        <f>DATE(VALUE(RIGHT(Raw_Orders!G504,4)),VALUE(MID(Raw_Orders!G504,4,2)),VALUE(LEFT(Raw_Orders!G504,2)))</f>
        <v>45175</v>
      </c>
      <c r="N504" s="7">
        <f t="shared" si="15"/>
        <v>8</v>
      </c>
      <c r="O504" s="7" t="str">
        <f>Raw_Orders!J504</f>
        <v>Raksha Bandhan</v>
      </c>
      <c r="P504" s="7" t="str">
        <f>Raw_Orders!I504</f>
        <v>Dehri</v>
      </c>
    </row>
    <row r="505" spans="1:16">
      <c r="A505" s="7" t="str">
        <f>Raw_Orders!A505</f>
        <v>504</v>
      </c>
      <c r="B505" s="7" t="str">
        <f>Raw_Orders!B505</f>
        <v>C058</v>
      </c>
      <c r="C505" s="7" t="str">
        <f>INDEX(Raw_Customers!$B$2:$B$101,MATCH($B505,Raw_Customers!$A$2:$A$101,0))</f>
        <v>Charvi Kanda</v>
      </c>
      <c r="D505" s="7" t="str">
        <f>TRIM(INDEX(Raw_Customers!$C$2:$C$101,MATCH($B505,Raw_Customers!$A$2:$A$101,0)))</f>
        <v>Guntakal</v>
      </c>
      <c r="E505" s="7" t="str">
        <f>"+91-"&amp;RIGHT("0000000000"&amp;INDEX(Raw_Customers!$D$2:$D$101,MATCH($B505,Raw_Customers!$A$2:$A$101,0)),10)</f>
        <v>+91-9771604920</v>
      </c>
      <c r="F505" s="7" t="str">
        <f>Raw_Orders!C505</f>
        <v>25</v>
      </c>
      <c r="G505" s="7" t="str">
        <f>INDEX(Raw_Products!$B$2:$B$71,MATCH($F505,Raw_Products!$A$2:$A$71,0))</f>
        <v>Qui Gift</v>
      </c>
      <c r="H505" s="7" t="str">
        <f>INDEX(Raw_Products!$C$2:$C$71,MATCH($F505,Raw_Products!$A$2:$A$71,0))</f>
        <v>Plants</v>
      </c>
      <c r="I505" s="7">
        <f>VALUE(Raw_Orders!D505)</f>
        <v>1</v>
      </c>
      <c r="J505" s="11" t="str">
        <f>INDEX(Raw_Products!$D$2:$D$71,MATCH($F505,Raw_Products!$A$2:$A$71,0))</f>
        <v>1202</v>
      </c>
      <c r="K505" s="11">
        <f t="shared" si="14"/>
        <v>1202</v>
      </c>
      <c r="L505" s="12">
        <f>DATE(VALUE(RIGHT(Raw_Orders!E505,4)),VALUE(MID(Raw_Orders!E505,4,2)),VALUE(LEFT(Raw_Orders!E505,2)))</f>
        <v>45121</v>
      </c>
      <c r="M505" s="12">
        <f>DATE(VALUE(RIGHT(Raw_Orders!G505,4)),VALUE(MID(Raw_Orders!G505,4,2)),VALUE(LEFT(Raw_Orders!G505,2)))</f>
        <v>45131</v>
      </c>
      <c r="N505" s="7">
        <f t="shared" si="15"/>
        <v>10</v>
      </c>
      <c r="O505" s="7" t="str">
        <f>Raw_Orders!J505</f>
        <v>Anniversary</v>
      </c>
      <c r="P505" s="7" t="str">
        <f>Raw_Orders!I505</f>
        <v>Meerut</v>
      </c>
    </row>
    <row r="506" spans="1:16">
      <c r="A506" s="7" t="str">
        <f>Raw_Orders!A506</f>
        <v>505</v>
      </c>
      <c r="B506" s="7" t="str">
        <f>Raw_Orders!B506</f>
        <v>C028</v>
      </c>
      <c r="C506" s="7" t="str">
        <f>INDEX(Raw_Customers!$B$2:$B$101,MATCH($B506,Raw_Customers!$A$2:$A$101,0))</f>
        <v>Hridaan Rajagopalan</v>
      </c>
      <c r="D506" s="7" t="str">
        <f>TRIM(INDEX(Raw_Customers!$C$2:$C$101,MATCH($B506,Raw_Customers!$A$2:$A$101,0)))</f>
        <v>Noida</v>
      </c>
      <c r="E506" s="7" t="str">
        <f>"+91-"&amp;RIGHT("0000000000"&amp;INDEX(Raw_Customers!$D$2:$D$101,MATCH($B506,Raw_Customers!$A$2:$A$101,0)),10)</f>
        <v>+91-2539728317</v>
      </c>
      <c r="F506" s="7" t="str">
        <f>Raw_Orders!C506</f>
        <v>45</v>
      </c>
      <c r="G506" s="7" t="str">
        <f>INDEX(Raw_Products!$B$2:$B$71,MATCH($F506,Raw_Products!$A$2:$A$71,0))</f>
        <v>Iusto Set</v>
      </c>
      <c r="H506" s="7" t="str">
        <f>INDEX(Raw_Products!$C$2:$C$71,MATCH($F506,Raw_Products!$A$2:$A$71,0))</f>
        <v>Raksha Bandhan</v>
      </c>
      <c r="I506" s="7">
        <f>VALUE(Raw_Orders!D506)</f>
        <v>3</v>
      </c>
      <c r="J506" s="11" t="str">
        <f>INDEX(Raw_Products!$D$2:$D$71,MATCH($F506,Raw_Products!$A$2:$A$71,0))</f>
        <v>722</v>
      </c>
      <c r="K506" s="11">
        <f t="shared" si="14"/>
        <v>2166</v>
      </c>
      <c r="L506" s="12">
        <f>DATE(VALUE(RIGHT(Raw_Orders!E506,4)),VALUE(MID(Raw_Orders!E506,4,2)),VALUE(LEFT(Raw_Orders!E506,2)))</f>
        <v>45079</v>
      </c>
      <c r="M506" s="12">
        <f>DATE(VALUE(RIGHT(Raw_Orders!G506,4)),VALUE(MID(Raw_Orders!G506,4,2)),VALUE(LEFT(Raw_Orders!G506,2)))</f>
        <v>45082</v>
      </c>
      <c r="N506" s="7">
        <f t="shared" si="15"/>
        <v>3</v>
      </c>
      <c r="O506" s="7" t="str">
        <f>Raw_Orders!J506</f>
        <v>Birthday</v>
      </c>
      <c r="P506" s="7" t="str">
        <f>Raw_Orders!I506</f>
        <v>Allahabad</v>
      </c>
    </row>
    <row r="507" spans="1:16">
      <c r="A507" s="7" t="str">
        <f>Raw_Orders!A507</f>
        <v>506</v>
      </c>
      <c r="B507" s="7" t="str">
        <f>Raw_Orders!B507</f>
        <v>C058</v>
      </c>
      <c r="C507" s="7" t="str">
        <f>INDEX(Raw_Customers!$B$2:$B$101,MATCH($B507,Raw_Customers!$A$2:$A$101,0))</f>
        <v>Charvi Kanda</v>
      </c>
      <c r="D507" s="7" t="str">
        <f>TRIM(INDEX(Raw_Customers!$C$2:$C$101,MATCH($B507,Raw_Customers!$A$2:$A$101,0)))</f>
        <v>Guntakal</v>
      </c>
      <c r="E507" s="7" t="str">
        <f>"+91-"&amp;RIGHT("0000000000"&amp;INDEX(Raw_Customers!$D$2:$D$101,MATCH($B507,Raw_Customers!$A$2:$A$101,0)),10)</f>
        <v>+91-9771604920</v>
      </c>
      <c r="F507" s="7" t="str">
        <f>Raw_Orders!C507</f>
        <v>55</v>
      </c>
      <c r="G507" s="7" t="str">
        <f>INDEX(Raw_Products!$B$2:$B$71,MATCH($F507,Raw_Products!$A$2:$A$71,0))</f>
        <v>Dolores Gift</v>
      </c>
      <c r="H507" s="7" t="str">
        <f>INDEX(Raw_Products!$C$2:$C$71,MATCH($F507,Raw_Products!$A$2:$A$71,0))</f>
        <v>Soft Toys</v>
      </c>
      <c r="I507" s="7">
        <f>VALUE(Raw_Orders!D507)</f>
        <v>4</v>
      </c>
      <c r="J507" s="11" t="str">
        <f>INDEX(Raw_Products!$D$2:$D$71,MATCH($F507,Raw_Products!$A$2:$A$71,0))</f>
        <v>1904</v>
      </c>
      <c r="K507" s="11">
        <f t="shared" si="14"/>
        <v>7616</v>
      </c>
      <c r="L507" s="12">
        <f>DATE(VALUE(RIGHT(Raw_Orders!E507,4)),VALUE(MID(Raw_Orders!E507,4,2)),VALUE(LEFT(Raw_Orders!E507,2)))</f>
        <v>45165</v>
      </c>
      <c r="M507" s="12">
        <f>DATE(VALUE(RIGHT(Raw_Orders!G507,4)),VALUE(MID(Raw_Orders!G507,4,2)),VALUE(LEFT(Raw_Orders!G507,2)))</f>
        <v>45171</v>
      </c>
      <c r="N507" s="7">
        <f t="shared" si="15"/>
        <v>6</v>
      </c>
      <c r="O507" s="7" t="str">
        <f>Raw_Orders!J507</f>
        <v>Raksha Bandhan</v>
      </c>
      <c r="P507" s="7" t="str">
        <f>Raw_Orders!I507</f>
        <v>Thrissur</v>
      </c>
    </row>
    <row r="508" spans="1:16">
      <c r="A508" s="7" t="str">
        <f>Raw_Orders!A508</f>
        <v>507</v>
      </c>
      <c r="B508" s="7" t="str">
        <f>Raw_Orders!B508</f>
        <v>C028</v>
      </c>
      <c r="C508" s="7" t="str">
        <f>INDEX(Raw_Customers!$B$2:$B$101,MATCH($B508,Raw_Customers!$A$2:$A$101,0))</f>
        <v>Hridaan Rajagopalan</v>
      </c>
      <c r="D508" s="7" t="str">
        <f>TRIM(INDEX(Raw_Customers!$C$2:$C$101,MATCH($B508,Raw_Customers!$A$2:$A$101,0)))</f>
        <v>Noida</v>
      </c>
      <c r="E508" s="7" t="str">
        <f>"+91-"&amp;RIGHT("0000000000"&amp;INDEX(Raw_Customers!$D$2:$D$101,MATCH($B508,Raw_Customers!$A$2:$A$101,0)),10)</f>
        <v>+91-2539728317</v>
      </c>
      <c r="F508" s="7" t="str">
        <f>Raw_Orders!C508</f>
        <v>13</v>
      </c>
      <c r="G508" s="7" t="str">
        <f>INDEX(Raw_Products!$B$2:$B$71,MATCH($F508,Raw_Products!$A$2:$A$71,0))</f>
        <v>Et Set</v>
      </c>
      <c r="H508" s="7" t="str">
        <f>INDEX(Raw_Products!$C$2:$C$71,MATCH($F508,Raw_Products!$A$2:$A$71,0))</f>
        <v>Mugs</v>
      </c>
      <c r="I508" s="7">
        <f>VALUE(Raw_Orders!D508)</f>
        <v>4</v>
      </c>
      <c r="J508" s="11" t="str">
        <f>INDEX(Raw_Products!$D$2:$D$71,MATCH($F508,Raw_Products!$A$2:$A$71,0))</f>
        <v>1141</v>
      </c>
      <c r="K508" s="11">
        <f t="shared" si="14"/>
        <v>4564</v>
      </c>
      <c r="L508" s="12">
        <f>DATE(VALUE(RIGHT(Raw_Orders!E508,4)),VALUE(MID(Raw_Orders!E508,4,2)),VALUE(LEFT(Raw_Orders!E508,2)))</f>
        <v>44992</v>
      </c>
      <c r="M508" s="12">
        <f>DATE(VALUE(RIGHT(Raw_Orders!G508,4)),VALUE(MID(Raw_Orders!G508,4,2)),VALUE(LEFT(Raw_Orders!G508,2)))</f>
        <v>44998</v>
      </c>
      <c r="N508" s="7">
        <f t="shared" si="15"/>
        <v>6</v>
      </c>
      <c r="O508" s="7" t="str">
        <f>Raw_Orders!J508</f>
        <v>Holi</v>
      </c>
      <c r="P508" s="7" t="str">
        <f>Raw_Orders!I508</f>
        <v>Malda</v>
      </c>
    </row>
    <row r="509" spans="1:16">
      <c r="A509" s="7" t="str">
        <f>Raw_Orders!A509</f>
        <v>508</v>
      </c>
      <c r="B509" s="7" t="str">
        <f>Raw_Orders!B509</f>
        <v>C035</v>
      </c>
      <c r="C509" s="7" t="str">
        <f>INDEX(Raw_Customers!$B$2:$B$101,MATCH($B509,Raw_Customers!$A$2:$A$101,0))</f>
        <v>Ira Sarna</v>
      </c>
      <c r="D509" s="7" t="str">
        <f>TRIM(INDEX(Raw_Customers!$C$2:$C$101,MATCH($B509,Raw_Customers!$A$2:$A$101,0)))</f>
        <v>Vellore</v>
      </c>
      <c r="E509" s="7" t="str">
        <f>"+91-"&amp;RIGHT("0000000000"&amp;INDEX(Raw_Customers!$D$2:$D$101,MATCH($B509,Raw_Customers!$A$2:$A$101,0)),10)</f>
        <v>+91-6899648374</v>
      </c>
      <c r="F509" s="7" t="str">
        <f>Raw_Orders!C509</f>
        <v>69</v>
      </c>
      <c r="G509" s="7" t="str">
        <f>INDEX(Raw_Products!$B$2:$B$71,MATCH($F509,Raw_Products!$A$2:$A$71,0))</f>
        <v>Id Box</v>
      </c>
      <c r="H509" s="7" t="str">
        <f>INDEX(Raw_Products!$C$2:$C$71,MATCH($F509,Raw_Products!$A$2:$A$71,0))</f>
        <v>Cake</v>
      </c>
      <c r="I509" s="7">
        <f>VALUE(Raw_Orders!D509)</f>
        <v>1</v>
      </c>
      <c r="J509" s="11" t="str">
        <f>INDEX(Raw_Products!$D$2:$D$71,MATCH($F509,Raw_Products!$A$2:$A$71,0))</f>
        <v>998</v>
      </c>
      <c r="K509" s="11">
        <f t="shared" si="14"/>
        <v>998</v>
      </c>
      <c r="L509" s="12">
        <f>DATE(VALUE(RIGHT(Raw_Orders!E509,4)),VALUE(MID(Raw_Orders!E509,4,2)),VALUE(LEFT(Raw_Orders!E509,2)))</f>
        <v>44983</v>
      </c>
      <c r="M509" s="12">
        <f>DATE(VALUE(RIGHT(Raw_Orders!G509,4)),VALUE(MID(Raw_Orders!G509,4,2)),VALUE(LEFT(Raw_Orders!G509,2)))</f>
        <v>44989</v>
      </c>
      <c r="N509" s="7">
        <f t="shared" si="15"/>
        <v>6</v>
      </c>
      <c r="O509" s="7" t="str">
        <f>Raw_Orders!J509</f>
        <v>Holi</v>
      </c>
      <c r="P509" s="7" t="str">
        <f>Raw_Orders!I509</f>
        <v>Varanasi</v>
      </c>
    </row>
    <row r="510" spans="1:16">
      <c r="A510" s="7" t="str">
        <f>Raw_Orders!A510</f>
        <v>509</v>
      </c>
      <c r="B510" s="7" t="str">
        <f>Raw_Orders!B510</f>
        <v>C003</v>
      </c>
      <c r="C510" s="7" t="str">
        <f>INDEX(Raw_Customers!$B$2:$B$101,MATCH($B510,Raw_Customers!$A$2:$A$101,0))</f>
        <v>Jayesh Lanka</v>
      </c>
      <c r="D510" s="7" t="str">
        <f>TRIM(INDEX(Raw_Customers!$C$2:$C$101,MATCH($B510,Raw_Customers!$A$2:$A$101,0)))</f>
        <v>Bilaspur</v>
      </c>
      <c r="E510" s="7" t="str">
        <f>"+91-"&amp;RIGHT("0000000000"&amp;INDEX(Raw_Customers!$D$2:$D$101,MATCH($B510,Raw_Customers!$A$2:$A$101,0)),10)</f>
        <v>+91-7400208126</v>
      </c>
      <c r="F510" s="7" t="str">
        <f>Raw_Orders!C510</f>
        <v>13</v>
      </c>
      <c r="G510" s="7" t="str">
        <f>INDEX(Raw_Products!$B$2:$B$71,MATCH($F510,Raw_Products!$A$2:$A$71,0))</f>
        <v>Et Set</v>
      </c>
      <c r="H510" s="7" t="str">
        <f>INDEX(Raw_Products!$C$2:$C$71,MATCH($F510,Raw_Products!$A$2:$A$71,0))</f>
        <v>Mugs</v>
      </c>
      <c r="I510" s="7">
        <f>VALUE(Raw_Orders!D510)</f>
        <v>5</v>
      </c>
      <c r="J510" s="11" t="str">
        <f>INDEX(Raw_Products!$D$2:$D$71,MATCH($F510,Raw_Products!$A$2:$A$71,0))</f>
        <v>1141</v>
      </c>
      <c r="K510" s="11">
        <f t="shared" si="14"/>
        <v>5705</v>
      </c>
      <c r="L510" s="12">
        <f>DATE(VALUE(RIGHT(Raw_Orders!E510,4)),VALUE(MID(Raw_Orders!E510,4,2)),VALUE(LEFT(Raw_Orders!E510,2)))</f>
        <v>44990</v>
      </c>
      <c r="M510" s="12">
        <f>DATE(VALUE(RIGHT(Raw_Orders!G510,4)),VALUE(MID(Raw_Orders!G510,4,2)),VALUE(LEFT(Raw_Orders!G510,2)))</f>
        <v>44994</v>
      </c>
      <c r="N510" s="7">
        <f t="shared" si="15"/>
        <v>4</v>
      </c>
      <c r="O510" s="7" t="str">
        <f>Raw_Orders!J510</f>
        <v>Holi</v>
      </c>
      <c r="P510" s="7" t="str">
        <f>Raw_Orders!I510</f>
        <v>Uluberia</v>
      </c>
    </row>
    <row r="511" spans="1:16">
      <c r="A511" s="7" t="str">
        <f>Raw_Orders!A511</f>
        <v>510</v>
      </c>
      <c r="B511" s="7" t="str">
        <f>Raw_Orders!B511</f>
        <v>C017</v>
      </c>
      <c r="C511" s="7" t="str">
        <f>INDEX(Raw_Customers!$B$2:$B$101,MATCH($B511,Raw_Customers!$A$2:$A$101,0))</f>
        <v>Advika Dhar</v>
      </c>
      <c r="D511" s="7" t="str">
        <f>TRIM(INDEX(Raw_Customers!$C$2:$C$101,MATCH($B511,Raw_Customers!$A$2:$A$101,0)))</f>
        <v>Gangtok</v>
      </c>
      <c r="E511" s="7" t="str">
        <f>"+91-"&amp;RIGHT("0000000000"&amp;INDEX(Raw_Customers!$D$2:$D$101,MATCH($B511,Raw_Customers!$A$2:$A$101,0)),10)</f>
        <v>+91-2738556486</v>
      </c>
      <c r="F511" s="7" t="str">
        <f>Raw_Orders!C511</f>
        <v>54</v>
      </c>
      <c r="G511" s="7" t="str">
        <f>INDEX(Raw_Products!$B$2:$B$71,MATCH($F511,Raw_Products!$A$2:$A$71,0))</f>
        <v>Occaecati Gift</v>
      </c>
      <c r="H511" s="7" t="str">
        <f>INDEX(Raw_Products!$C$2:$C$71,MATCH($F511,Raw_Products!$A$2:$A$71,0))</f>
        <v>Cake</v>
      </c>
      <c r="I511" s="7">
        <f>VALUE(Raw_Orders!D511)</f>
        <v>5</v>
      </c>
      <c r="J511" s="11" t="str">
        <f>INDEX(Raw_Products!$D$2:$D$71,MATCH($F511,Raw_Products!$A$2:$A$71,0))</f>
        <v>1236</v>
      </c>
      <c r="K511" s="11">
        <f t="shared" si="14"/>
        <v>6180</v>
      </c>
      <c r="L511" s="12">
        <f>DATE(VALUE(RIGHT(Raw_Orders!E511,4)),VALUE(MID(Raw_Orders!E511,4,2)),VALUE(LEFT(Raw_Orders!E511,2)))</f>
        <v>45268</v>
      </c>
      <c r="M511" s="12">
        <f>DATE(VALUE(RIGHT(Raw_Orders!G511,4)),VALUE(MID(Raw_Orders!G511,4,2)),VALUE(LEFT(Raw_Orders!G511,2)))</f>
        <v>45277</v>
      </c>
      <c r="N511" s="7">
        <f t="shared" si="15"/>
        <v>9</v>
      </c>
      <c r="O511" s="7" t="str">
        <f>Raw_Orders!J511</f>
        <v>Anniversary</v>
      </c>
      <c r="P511" s="7" t="str">
        <f>Raw_Orders!I511</f>
        <v>Panipat</v>
      </c>
    </row>
    <row r="512" spans="1:16">
      <c r="A512" s="7" t="str">
        <f>Raw_Orders!A512</f>
        <v>511</v>
      </c>
      <c r="B512" s="7" t="str">
        <f>Raw_Orders!B512</f>
        <v>C055</v>
      </c>
      <c r="C512" s="7" t="str">
        <f>INDEX(Raw_Customers!$B$2:$B$101,MATCH($B512,Raw_Customers!$A$2:$A$101,0))</f>
        <v>Umang Luthra</v>
      </c>
      <c r="D512" s="7" t="str">
        <f>TRIM(INDEX(Raw_Customers!$C$2:$C$101,MATCH($B512,Raw_Customers!$A$2:$A$101,0)))</f>
        <v>Imphal</v>
      </c>
      <c r="E512" s="7" t="str">
        <f>"+91-"&amp;RIGHT("0000000000"&amp;INDEX(Raw_Customers!$D$2:$D$101,MATCH($B512,Raw_Customers!$A$2:$A$101,0)),10)</f>
        <v>+91-2007986762</v>
      </c>
      <c r="F512" s="7" t="str">
        <f>Raw_Orders!C512</f>
        <v>47</v>
      </c>
      <c r="G512" s="7" t="str">
        <f>INDEX(Raw_Products!$B$2:$B$71,MATCH($F512,Raw_Products!$A$2:$A$71,0))</f>
        <v>Harum Pack</v>
      </c>
      <c r="H512" s="7" t="str">
        <f>INDEX(Raw_Products!$C$2:$C$71,MATCH($F512,Raw_Products!$A$2:$A$71,0))</f>
        <v>Colors</v>
      </c>
      <c r="I512" s="7">
        <f>VALUE(Raw_Orders!D512)</f>
        <v>2</v>
      </c>
      <c r="J512" s="11" t="str">
        <f>INDEX(Raw_Products!$D$2:$D$71,MATCH($F512,Raw_Products!$A$2:$A$71,0))</f>
        <v>1638</v>
      </c>
      <c r="K512" s="11">
        <f t="shared" si="14"/>
        <v>3276</v>
      </c>
      <c r="L512" s="12">
        <f>DATE(VALUE(RIGHT(Raw_Orders!E512,4)),VALUE(MID(Raw_Orders!E512,4,2)),VALUE(LEFT(Raw_Orders!E512,2)))</f>
        <v>44984</v>
      </c>
      <c r="M512" s="12">
        <f>DATE(VALUE(RIGHT(Raw_Orders!G512,4)),VALUE(MID(Raw_Orders!G512,4,2)),VALUE(LEFT(Raw_Orders!G512,2)))</f>
        <v>44989</v>
      </c>
      <c r="N512" s="7">
        <f t="shared" si="15"/>
        <v>5</v>
      </c>
      <c r="O512" s="7" t="str">
        <f>Raw_Orders!J512</f>
        <v>Holi</v>
      </c>
      <c r="P512" s="7" t="str">
        <f>Raw_Orders!I512</f>
        <v>Dibrugarh</v>
      </c>
    </row>
    <row r="513" spans="1:16">
      <c r="A513" s="7" t="str">
        <f>Raw_Orders!A513</f>
        <v>512</v>
      </c>
      <c r="B513" s="7" t="str">
        <f>Raw_Orders!B513</f>
        <v>C008</v>
      </c>
      <c r="C513" s="7" t="str">
        <f>INDEX(Raw_Customers!$B$2:$B$101,MATCH($B513,Raw_Customers!$A$2:$A$101,0))</f>
        <v>Veer Ray</v>
      </c>
      <c r="D513" s="7" t="str">
        <f>TRIM(INDEX(Raw_Customers!$C$2:$C$101,MATCH($B513,Raw_Customers!$A$2:$A$101,0)))</f>
        <v>Chinsurah</v>
      </c>
      <c r="E513" s="7" t="str">
        <f>"+91-"&amp;RIGHT("0000000000"&amp;INDEX(Raw_Customers!$D$2:$D$101,MATCH($B513,Raw_Customers!$A$2:$A$101,0)),10)</f>
        <v>+91-7138085704</v>
      </c>
      <c r="F513" s="7" t="str">
        <f>Raw_Orders!C513</f>
        <v>41</v>
      </c>
      <c r="G513" s="7" t="str">
        <f>INDEX(Raw_Products!$B$2:$B$71,MATCH($F513,Raw_Products!$A$2:$A$71,0))</f>
        <v>Aut Box</v>
      </c>
      <c r="H513" s="7" t="str">
        <f>INDEX(Raw_Products!$C$2:$C$71,MATCH($F513,Raw_Products!$A$2:$A$71,0))</f>
        <v>Sweets</v>
      </c>
      <c r="I513" s="7">
        <f>VALUE(Raw_Orders!D513)</f>
        <v>1</v>
      </c>
      <c r="J513" s="11" t="str">
        <f>INDEX(Raw_Products!$D$2:$D$71,MATCH($F513,Raw_Products!$A$2:$A$71,0))</f>
        <v>1977</v>
      </c>
      <c r="K513" s="11">
        <f t="shared" si="14"/>
        <v>1977</v>
      </c>
      <c r="L513" s="12">
        <f>DATE(VALUE(RIGHT(Raw_Orders!E513,4)),VALUE(MID(Raw_Orders!E513,4,2)),VALUE(LEFT(Raw_Orders!E513,2)))</f>
        <v>45235</v>
      </c>
      <c r="M513" s="12">
        <f>DATE(VALUE(RIGHT(Raw_Orders!G513,4)),VALUE(MID(Raw_Orders!G513,4,2)),VALUE(LEFT(Raw_Orders!G513,2)))</f>
        <v>45241</v>
      </c>
      <c r="N513" s="7">
        <f t="shared" si="15"/>
        <v>6</v>
      </c>
      <c r="O513" s="7" t="str">
        <f>Raw_Orders!J513</f>
        <v>Diwali</v>
      </c>
      <c r="P513" s="7" t="str">
        <f>Raw_Orders!I513</f>
        <v>Ranchi</v>
      </c>
    </row>
    <row r="514" spans="1:16">
      <c r="A514" s="7" t="str">
        <f>Raw_Orders!A514</f>
        <v>513</v>
      </c>
      <c r="B514" s="7" t="str">
        <f>Raw_Orders!B514</f>
        <v>C088</v>
      </c>
      <c r="C514" s="7" t="str">
        <f>INDEX(Raw_Customers!$B$2:$B$101,MATCH($B514,Raw_Customers!$A$2:$A$101,0))</f>
        <v>Shalv Kulkarni</v>
      </c>
      <c r="D514" s="7" t="str">
        <f>TRIM(INDEX(Raw_Customers!$C$2:$C$101,MATCH($B514,Raw_Customers!$A$2:$A$101,0)))</f>
        <v>Khora</v>
      </c>
      <c r="E514" s="7" t="str">
        <f>"+91-"&amp;RIGHT("0000000000"&amp;INDEX(Raw_Customers!$D$2:$D$101,MATCH($B514,Raw_Customers!$A$2:$A$101,0)),10)</f>
        <v>+91-9113488461</v>
      </c>
      <c r="F514" s="7" t="str">
        <f>Raw_Orders!C514</f>
        <v>1</v>
      </c>
      <c r="G514" s="7" t="str">
        <f>INDEX(Raw_Products!$B$2:$B$71,MATCH($F514,Raw_Products!$A$2:$A$71,0))</f>
        <v>Magnam Set</v>
      </c>
      <c r="H514" s="7" t="str">
        <f>INDEX(Raw_Products!$C$2:$C$71,MATCH($F514,Raw_Products!$A$2:$A$71,0))</f>
        <v>Soft Toys</v>
      </c>
      <c r="I514" s="7">
        <f>VALUE(Raw_Orders!D514)</f>
        <v>4</v>
      </c>
      <c r="J514" s="11" t="str">
        <f>INDEX(Raw_Products!$D$2:$D$71,MATCH($F514,Raw_Products!$A$2:$A$71,0))</f>
        <v>1935</v>
      </c>
      <c r="K514" s="11">
        <f t="shared" ref="K514:K577" si="16">I514*J514</f>
        <v>7740</v>
      </c>
      <c r="L514" s="12">
        <f>DATE(VALUE(RIGHT(Raw_Orders!E514,4)),VALUE(MID(Raw_Orders!E514,4,2)),VALUE(LEFT(Raw_Orders!E514,2)))</f>
        <v>45012</v>
      </c>
      <c r="M514" s="12">
        <f>DATE(VALUE(RIGHT(Raw_Orders!G514,4)),VALUE(MID(Raw_Orders!G514,4,2)),VALUE(LEFT(Raw_Orders!G514,2)))</f>
        <v>45018</v>
      </c>
      <c r="N514" s="7">
        <f t="shared" ref="N514:N577" si="17">M514-L514</f>
        <v>6</v>
      </c>
      <c r="O514" s="7" t="str">
        <f>Raw_Orders!J514</f>
        <v>All Occasions</v>
      </c>
      <c r="P514" s="7" t="str">
        <f>Raw_Orders!I514</f>
        <v>Nandyal</v>
      </c>
    </row>
    <row r="515" spans="1:16">
      <c r="A515" s="7" t="str">
        <f>Raw_Orders!A515</f>
        <v>514</v>
      </c>
      <c r="B515" s="7" t="str">
        <f>Raw_Orders!B515</f>
        <v>C090</v>
      </c>
      <c r="C515" s="7" t="str">
        <f>INDEX(Raw_Customers!$B$2:$B$101,MATCH($B515,Raw_Customers!$A$2:$A$101,0))</f>
        <v>Drishya De</v>
      </c>
      <c r="D515" s="7" t="str">
        <f>TRIM(INDEX(Raw_Customers!$C$2:$C$101,MATCH($B515,Raw_Customers!$A$2:$A$101,0)))</f>
        <v>Anantapuram</v>
      </c>
      <c r="E515" s="7" t="str">
        <f>"+91-"&amp;RIGHT("0000000000"&amp;INDEX(Raw_Customers!$D$2:$D$101,MATCH($B515,Raw_Customers!$A$2:$A$101,0)),10)</f>
        <v>+91-3327374841</v>
      </c>
      <c r="F515" s="7" t="str">
        <f>Raw_Orders!C515</f>
        <v>24</v>
      </c>
      <c r="G515" s="7" t="str">
        <f>INDEX(Raw_Products!$B$2:$B$71,MATCH($F515,Raw_Products!$A$2:$A$71,0))</f>
        <v>Ad Box</v>
      </c>
      <c r="H515" s="7" t="str">
        <f>INDEX(Raw_Products!$C$2:$C$71,MATCH($F515,Raw_Products!$A$2:$A$71,0))</f>
        <v>Mugs</v>
      </c>
      <c r="I515" s="7">
        <f>VALUE(Raw_Orders!D515)</f>
        <v>1</v>
      </c>
      <c r="J515" s="11" t="str">
        <f>INDEX(Raw_Products!$D$2:$D$71,MATCH($F515,Raw_Products!$A$2:$A$71,0))</f>
        <v>535</v>
      </c>
      <c r="K515" s="11">
        <f t="shared" si="16"/>
        <v>535</v>
      </c>
      <c r="L515" s="12">
        <f>DATE(VALUE(RIGHT(Raw_Orders!E515,4)),VALUE(MID(Raw_Orders!E515,4,2)),VALUE(LEFT(Raw_Orders!E515,2)))</f>
        <v>44927</v>
      </c>
      <c r="M515" s="12">
        <f>DATE(VALUE(RIGHT(Raw_Orders!G515,4)),VALUE(MID(Raw_Orders!G515,4,2)),VALUE(LEFT(Raw_Orders!G515,2)))</f>
        <v>44935</v>
      </c>
      <c r="N515" s="7">
        <f t="shared" si="17"/>
        <v>8</v>
      </c>
      <c r="O515" s="7" t="str">
        <f>Raw_Orders!J515</f>
        <v>Birthday</v>
      </c>
      <c r="P515" s="7" t="str">
        <f>Raw_Orders!I515</f>
        <v>Allahabad</v>
      </c>
    </row>
    <row r="516" spans="1:16">
      <c r="A516" s="7" t="str">
        <f>Raw_Orders!A516</f>
        <v>515</v>
      </c>
      <c r="B516" s="7" t="str">
        <f>Raw_Orders!B516</f>
        <v>C078</v>
      </c>
      <c r="C516" s="7" t="str">
        <f>INDEX(Raw_Customers!$B$2:$B$101,MATCH($B516,Raw_Customers!$A$2:$A$101,0))</f>
        <v>Jivika Rajan</v>
      </c>
      <c r="D516" s="7" t="str">
        <f>TRIM(INDEX(Raw_Customers!$C$2:$C$101,MATCH($B516,Raw_Customers!$A$2:$A$101,0)))</f>
        <v>Bhubaneswar</v>
      </c>
      <c r="E516" s="7" t="str">
        <f>"+91-"&amp;RIGHT("0000000000"&amp;INDEX(Raw_Customers!$D$2:$D$101,MATCH($B516,Raw_Customers!$A$2:$A$101,0)),10)</f>
        <v>+91-3005266310</v>
      </c>
      <c r="F516" s="7" t="str">
        <f>Raw_Orders!C516</f>
        <v>14</v>
      </c>
      <c r="G516" s="7" t="str">
        <f>INDEX(Raw_Products!$B$2:$B$71,MATCH($F516,Raw_Products!$A$2:$A$71,0))</f>
        <v>Deserunt Box</v>
      </c>
      <c r="H516" s="7" t="str">
        <f>INDEX(Raw_Products!$C$2:$C$71,MATCH($F516,Raw_Products!$A$2:$A$71,0))</f>
        <v>Colors</v>
      </c>
      <c r="I516" s="7">
        <f>VALUE(Raw_Orders!D516)</f>
        <v>5</v>
      </c>
      <c r="J516" s="11" t="str">
        <f>INDEX(Raw_Products!$D$2:$D$71,MATCH($F516,Raw_Products!$A$2:$A$71,0))</f>
        <v>1915</v>
      </c>
      <c r="K516" s="11">
        <f t="shared" si="16"/>
        <v>9575</v>
      </c>
      <c r="L516" s="12">
        <f>DATE(VALUE(RIGHT(Raw_Orders!E516,4)),VALUE(MID(Raw_Orders!E516,4,2)),VALUE(LEFT(Raw_Orders!E516,2)))</f>
        <v>45220</v>
      </c>
      <c r="M516" s="12">
        <f>DATE(VALUE(RIGHT(Raw_Orders!G516,4)),VALUE(MID(Raw_Orders!G516,4,2)),VALUE(LEFT(Raw_Orders!G516,2)))</f>
        <v>45226</v>
      </c>
      <c r="N516" s="7">
        <f t="shared" si="17"/>
        <v>6</v>
      </c>
      <c r="O516" s="7" t="str">
        <f>Raw_Orders!J516</f>
        <v>Birthday</v>
      </c>
      <c r="P516" s="7" t="str">
        <f>Raw_Orders!I516</f>
        <v>Unnao</v>
      </c>
    </row>
    <row r="517" spans="1:16">
      <c r="A517" s="7" t="str">
        <f>Raw_Orders!A517</f>
        <v>516</v>
      </c>
      <c r="B517" s="7" t="str">
        <f>Raw_Orders!B517</f>
        <v>C020</v>
      </c>
      <c r="C517" s="7" t="str">
        <f>INDEX(Raw_Customers!$B$2:$B$101,MATCH($B517,Raw_Customers!$A$2:$A$101,0))</f>
        <v>Samaira Ganesh</v>
      </c>
      <c r="D517" s="7" t="str">
        <f>TRIM(INDEX(Raw_Customers!$C$2:$C$101,MATCH($B517,Raw_Customers!$A$2:$A$101,0)))</f>
        <v>Machilipatnam</v>
      </c>
      <c r="E517" s="7" t="str">
        <f>"+91-"&amp;RIGHT("0000000000"&amp;INDEX(Raw_Customers!$D$2:$D$101,MATCH($B517,Raw_Customers!$A$2:$A$101,0)),10)</f>
        <v>+91-1731643700</v>
      </c>
      <c r="F517" s="7" t="str">
        <f>Raw_Orders!C517</f>
        <v>22</v>
      </c>
      <c r="G517" s="7" t="str">
        <f>INDEX(Raw_Products!$B$2:$B$71,MATCH($F517,Raw_Products!$A$2:$A$71,0))</f>
        <v>Exercitationem Pack</v>
      </c>
      <c r="H517" s="7" t="str">
        <f>INDEX(Raw_Products!$C$2:$C$71,MATCH($F517,Raw_Products!$A$2:$A$71,0))</f>
        <v>Soft Toys</v>
      </c>
      <c r="I517" s="7">
        <f>VALUE(Raw_Orders!D517)</f>
        <v>2</v>
      </c>
      <c r="J517" s="11" t="str">
        <f>INDEX(Raw_Products!$D$2:$D$71,MATCH($F517,Raw_Products!$A$2:$A$71,0))</f>
        <v>1639</v>
      </c>
      <c r="K517" s="11">
        <f t="shared" si="16"/>
        <v>3278</v>
      </c>
      <c r="L517" s="12">
        <f>DATE(VALUE(RIGHT(Raw_Orders!E517,4)),VALUE(MID(Raw_Orders!E517,4,2)),VALUE(LEFT(Raw_Orders!E517,2)))</f>
        <v>45112</v>
      </c>
      <c r="M517" s="12">
        <f>DATE(VALUE(RIGHT(Raw_Orders!G517,4)),VALUE(MID(Raw_Orders!G517,4,2)),VALUE(LEFT(Raw_Orders!G517,2)))</f>
        <v>45113</v>
      </c>
      <c r="N517" s="7">
        <f t="shared" si="17"/>
        <v>1</v>
      </c>
      <c r="O517" s="7" t="str">
        <f>Raw_Orders!J517</f>
        <v>All Occasions</v>
      </c>
      <c r="P517" s="7" t="str">
        <f>Raw_Orders!I517</f>
        <v>Gaya</v>
      </c>
    </row>
    <row r="518" spans="1:16">
      <c r="A518" s="7" t="str">
        <f>Raw_Orders!A518</f>
        <v>517</v>
      </c>
      <c r="B518" s="7" t="str">
        <f>Raw_Orders!B518</f>
        <v>C064</v>
      </c>
      <c r="C518" s="7" t="str">
        <f>INDEX(Raw_Customers!$B$2:$B$101,MATCH($B518,Raw_Customers!$A$2:$A$101,0))</f>
        <v>Indrajit Kale</v>
      </c>
      <c r="D518" s="7" t="str">
        <f>TRIM(INDEX(Raw_Customers!$C$2:$C$101,MATCH($B518,Raw_Customers!$A$2:$A$101,0)))</f>
        <v>Srikakulam</v>
      </c>
      <c r="E518" s="7" t="str">
        <f>"+91-"&amp;RIGHT("0000000000"&amp;INDEX(Raw_Customers!$D$2:$D$101,MATCH($B518,Raw_Customers!$A$2:$A$101,0)),10)</f>
        <v>+91-6181058210</v>
      </c>
      <c r="F518" s="7" t="str">
        <f>Raw_Orders!C518</f>
        <v>60</v>
      </c>
      <c r="G518" s="7" t="str">
        <f>INDEX(Raw_Products!$B$2:$B$71,MATCH($F518,Raw_Products!$A$2:$A$71,0))</f>
        <v>Ea Set</v>
      </c>
      <c r="H518" s="7" t="str">
        <f>INDEX(Raw_Products!$C$2:$C$71,MATCH($F518,Raw_Products!$A$2:$A$71,0))</f>
        <v>Sweets</v>
      </c>
      <c r="I518" s="7">
        <f>VALUE(Raw_Orders!D518)</f>
        <v>5</v>
      </c>
      <c r="J518" s="11" t="str">
        <f>INDEX(Raw_Products!$D$2:$D$71,MATCH($F518,Raw_Products!$A$2:$A$71,0))</f>
        <v>827</v>
      </c>
      <c r="K518" s="11">
        <f t="shared" si="16"/>
        <v>4135</v>
      </c>
      <c r="L518" s="12">
        <f>DATE(VALUE(RIGHT(Raw_Orders!E518,4)),VALUE(MID(Raw_Orders!E518,4,2)),VALUE(LEFT(Raw_Orders!E518,2)))</f>
        <v>45239</v>
      </c>
      <c r="M518" s="12">
        <f>DATE(VALUE(RIGHT(Raw_Orders!G518,4)),VALUE(MID(Raw_Orders!G518,4,2)),VALUE(LEFT(Raw_Orders!G518,2)))</f>
        <v>45247</v>
      </c>
      <c r="N518" s="7">
        <f t="shared" si="17"/>
        <v>8</v>
      </c>
      <c r="O518" s="7" t="str">
        <f>Raw_Orders!J518</f>
        <v>Diwali</v>
      </c>
      <c r="P518" s="7" t="str">
        <f>Raw_Orders!I518</f>
        <v>Aligarh</v>
      </c>
    </row>
    <row r="519" spans="1:16">
      <c r="A519" s="7" t="str">
        <f>Raw_Orders!A519</f>
        <v>518</v>
      </c>
      <c r="B519" s="7" t="str">
        <f>Raw_Orders!B519</f>
        <v>C045</v>
      </c>
      <c r="C519" s="7" t="str">
        <f>INDEX(Raw_Customers!$B$2:$B$101,MATCH($B519,Raw_Customers!$A$2:$A$101,0))</f>
        <v>Divit Mahajan</v>
      </c>
      <c r="D519" s="7" t="str">
        <f>TRIM(INDEX(Raw_Customers!$C$2:$C$101,MATCH($B519,Raw_Customers!$A$2:$A$101,0)))</f>
        <v>Maheshtala</v>
      </c>
      <c r="E519" s="7" t="str">
        <f>"+91-"&amp;RIGHT("0000000000"&amp;INDEX(Raw_Customers!$D$2:$D$101,MATCH($B519,Raw_Customers!$A$2:$A$101,0)),10)</f>
        <v>+91-6789522856</v>
      </c>
      <c r="F519" s="7" t="str">
        <f>Raw_Orders!C519</f>
        <v>45</v>
      </c>
      <c r="G519" s="7" t="str">
        <f>INDEX(Raw_Products!$B$2:$B$71,MATCH($F519,Raw_Products!$A$2:$A$71,0))</f>
        <v>Iusto Set</v>
      </c>
      <c r="H519" s="7" t="str">
        <f>INDEX(Raw_Products!$C$2:$C$71,MATCH($F519,Raw_Products!$A$2:$A$71,0))</f>
        <v>Raksha Bandhan</v>
      </c>
      <c r="I519" s="7">
        <f>VALUE(Raw_Orders!D519)</f>
        <v>3</v>
      </c>
      <c r="J519" s="11" t="str">
        <f>INDEX(Raw_Products!$D$2:$D$71,MATCH($F519,Raw_Products!$A$2:$A$71,0))</f>
        <v>722</v>
      </c>
      <c r="K519" s="11">
        <f t="shared" si="16"/>
        <v>2166</v>
      </c>
      <c r="L519" s="12">
        <f>DATE(VALUE(RIGHT(Raw_Orders!E519,4)),VALUE(MID(Raw_Orders!E519,4,2)),VALUE(LEFT(Raw_Orders!E519,2)))</f>
        <v>45025</v>
      </c>
      <c r="M519" s="12">
        <f>DATE(VALUE(RIGHT(Raw_Orders!G519,4)),VALUE(MID(Raw_Orders!G519,4,2)),VALUE(LEFT(Raw_Orders!G519,2)))</f>
        <v>45031</v>
      </c>
      <c r="N519" s="7">
        <f t="shared" si="17"/>
        <v>6</v>
      </c>
      <c r="O519" s="7" t="str">
        <f>Raw_Orders!J519</f>
        <v>Birthday</v>
      </c>
      <c r="P519" s="7" t="str">
        <f>Raw_Orders!I519</f>
        <v>Ahmednagar</v>
      </c>
    </row>
    <row r="520" spans="1:16">
      <c r="A520" s="7" t="str">
        <f>Raw_Orders!A520</f>
        <v>519</v>
      </c>
      <c r="B520" s="7" t="str">
        <f>Raw_Orders!B520</f>
        <v>C014</v>
      </c>
      <c r="C520" s="7" t="str">
        <f>INDEX(Raw_Customers!$B$2:$B$101,MATCH($B520,Raw_Customers!$A$2:$A$101,0))</f>
        <v>Indrans Shukla</v>
      </c>
      <c r="D520" s="7" t="str">
        <f>TRIM(INDEX(Raw_Customers!$C$2:$C$101,MATCH($B520,Raw_Customers!$A$2:$A$101,0)))</f>
        <v>Panvel</v>
      </c>
      <c r="E520" s="7" t="str">
        <f>"+91-"&amp;RIGHT("0000000000"&amp;INDEX(Raw_Customers!$D$2:$D$101,MATCH($B520,Raw_Customers!$A$2:$A$101,0)),10)</f>
        <v>+91-2717671919</v>
      </c>
      <c r="F520" s="7" t="str">
        <f>Raw_Orders!C520</f>
        <v>52</v>
      </c>
      <c r="G520" s="7" t="str">
        <f>INDEX(Raw_Products!$B$2:$B$71,MATCH($F520,Raw_Products!$A$2:$A$71,0))</f>
        <v>Dolorum Box</v>
      </c>
      <c r="H520" s="7" t="str">
        <f>INDEX(Raw_Products!$C$2:$C$71,MATCH($F520,Raw_Products!$A$2:$A$71,0))</f>
        <v>Raksha Bandhan</v>
      </c>
      <c r="I520" s="7">
        <f>VALUE(Raw_Orders!D520)</f>
        <v>4</v>
      </c>
      <c r="J520" s="11" t="str">
        <f>INDEX(Raw_Products!$D$2:$D$71,MATCH($F520,Raw_Products!$A$2:$A$71,0))</f>
        <v>236</v>
      </c>
      <c r="K520" s="11">
        <f t="shared" si="16"/>
        <v>944</v>
      </c>
      <c r="L520" s="12">
        <f>DATE(VALUE(RIGHT(Raw_Orders!E520,4)),VALUE(MID(Raw_Orders!E520,4,2)),VALUE(LEFT(Raw_Orders!E520,2)))</f>
        <v>44964</v>
      </c>
      <c r="M520" s="12">
        <f>DATE(VALUE(RIGHT(Raw_Orders!G520,4)),VALUE(MID(Raw_Orders!G520,4,2)),VALUE(LEFT(Raw_Orders!G520,2)))</f>
        <v>44972</v>
      </c>
      <c r="N520" s="7">
        <f t="shared" si="17"/>
        <v>8</v>
      </c>
      <c r="O520" s="7" t="str">
        <f>Raw_Orders!J520</f>
        <v>Valentine's Day</v>
      </c>
      <c r="P520" s="7" t="str">
        <f>Raw_Orders!I520</f>
        <v>Hindupur</v>
      </c>
    </row>
    <row r="521" spans="1:16">
      <c r="A521" s="7" t="str">
        <f>Raw_Orders!A521</f>
        <v>520</v>
      </c>
      <c r="B521" s="7" t="str">
        <f>Raw_Orders!B521</f>
        <v>C026</v>
      </c>
      <c r="C521" s="7" t="str">
        <f>INDEX(Raw_Customers!$B$2:$B$101,MATCH($B521,Raw_Customers!$A$2:$A$101,0))</f>
        <v>Ira Chahal</v>
      </c>
      <c r="D521" s="7" t="str">
        <f>TRIM(INDEX(Raw_Customers!$C$2:$C$101,MATCH($B521,Raw_Customers!$A$2:$A$101,0)))</f>
        <v>Farrukhabad</v>
      </c>
      <c r="E521" s="7" t="str">
        <f>"+91-"&amp;RIGHT("0000000000"&amp;INDEX(Raw_Customers!$D$2:$D$101,MATCH($B521,Raw_Customers!$A$2:$A$101,0)),10)</f>
        <v>+91-8716483532</v>
      </c>
      <c r="F521" s="7" t="str">
        <f>Raw_Orders!C521</f>
        <v>14</v>
      </c>
      <c r="G521" s="7" t="str">
        <f>INDEX(Raw_Products!$B$2:$B$71,MATCH($F521,Raw_Products!$A$2:$A$71,0))</f>
        <v>Deserunt Box</v>
      </c>
      <c r="H521" s="7" t="str">
        <f>INDEX(Raw_Products!$C$2:$C$71,MATCH($F521,Raw_Products!$A$2:$A$71,0))</f>
        <v>Colors</v>
      </c>
      <c r="I521" s="7">
        <f>VALUE(Raw_Orders!D521)</f>
        <v>5</v>
      </c>
      <c r="J521" s="11" t="str">
        <f>INDEX(Raw_Products!$D$2:$D$71,MATCH($F521,Raw_Products!$A$2:$A$71,0))</f>
        <v>1915</v>
      </c>
      <c r="K521" s="11">
        <f t="shared" si="16"/>
        <v>9575</v>
      </c>
      <c r="L521" s="12">
        <f>DATE(VALUE(RIGHT(Raw_Orders!E521,4)),VALUE(MID(Raw_Orders!E521,4,2)),VALUE(LEFT(Raw_Orders!E521,2)))</f>
        <v>45023</v>
      </c>
      <c r="M521" s="12">
        <f>DATE(VALUE(RIGHT(Raw_Orders!G521,4)),VALUE(MID(Raw_Orders!G521,4,2)),VALUE(LEFT(Raw_Orders!G521,2)))</f>
        <v>45024</v>
      </c>
      <c r="N521" s="7">
        <f t="shared" si="17"/>
        <v>1</v>
      </c>
      <c r="O521" s="7" t="str">
        <f>Raw_Orders!J521</f>
        <v>Birthday</v>
      </c>
      <c r="P521" s="7" t="str">
        <f>Raw_Orders!I521</f>
        <v>Mysore</v>
      </c>
    </row>
    <row r="522" spans="1:16">
      <c r="A522" s="7" t="str">
        <f>Raw_Orders!A522</f>
        <v>521</v>
      </c>
      <c r="B522" s="7" t="str">
        <f>Raw_Orders!B522</f>
        <v>C062</v>
      </c>
      <c r="C522" s="7" t="str">
        <f>INDEX(Raw_Customers!$B$2:$B$101,MATCH($B522,Raw_Customers!$A$2:$A$101,0))</f>
        <v>Inaaya  Sarraf</v>
      </c>
      <c r="D522" s="7" t="str">
        <f>TRIM(INDEX(Raw_Customers!$C$2:$C$101,MATCH($B522,Raw_Customers!$A$2:$A$101,0)))</f>
        <v>Nagpur</v>
      </c>
      <c r="E522" s="7" t="str">
        <f>"+91-"&amp;RIGHT("0000000000"&amp;INDEX(Raw_Customers!$D$2:$D$101,MATCH($B522,Raw_Customers!$A$2:$A$101,0)),10)</f>
        <v>+91-5915082470</v>
      </c>
      <c r="F522" s="7" t="str">
        <f>Raw_Orders!C522</f>
        <v>33</v>
      </c>
      <c r="G522" s="7" t="str">
        <f>INDEX(Raw_Products!$B$2:$B$71,MATCH($F522,Raw_Products!$A$2:$A$71,0))</f>
        <v>Earum Set</v>
      </c>
      <c r="H522" s="7" t="str">
        <f>INDEX(Raw_Products!$C$2:$C$71,MATCH($F522,Raw_Products!$A$2:$A$71,0))</f>
        <v>Colors</v>
      </c>
      <c r="I522" s="7">
        <f>VALUE(Raw_Orders!D522)</f>
        <v>5</v>
      </c>
      <c r="J522" s="11" t="str">
        <f>INDEX(Raw_Products!$D$2:$D$71,MATCH($F522,Raw_Products!$A$2:$A$71,0))</f>
        <v>314</v>
      </c>
      <c r="K522" s="11">
        <f t="shared" si="16"/>
        <v>1570</v>
      </c>
      <c r="L522" s="12">
        <f>DATE(VALUE(RIGHT(Raw_Orders!E522,4)),VALUE(MID(Raw_Orders!E522,4,2)),VALUE(LEFT(Raw_Orders!E522,2)))</f>
        <v>44961</v>
      </c>
      <c r="M522" s="12">
        <f>DATE(VALUE(RIGHT(Raw_Orders!G522,4)),VALUE(MID(Raw_Orders!G522,4,2)),VALUE(LEFT(Raw_Orders!G522,2)))</f>
        <v>44965</v>
      </c>
      <c r="N522" s="7">
        <f t="shared" si="17"/>
        <v>4</v>
      </c>
      <c r="O522" s="7" t="str">
        <f>Raw_Orders!J522</f>
        <v>Valentine's Day</v>
      </c>
      <c r="P522" s="7" t="str">
        <f>Raw_Orders!I522</f>
        <v>Noida</v>
      </c>
    </row>
    <row r="523" spans="1:16">
      <c r="A523" s="7" t="str">
        <f>Raw_Orders!A523</f>
        <v>522</v>
      </c>
      <c r="B523" s="7" t="str">
        <f>Raw_Orders!B523</f>
        <v>C011</v>
      </c>
      <c r="C523" s="7" t="str">
        <f>INDEX(Raw_Customers!$B$2:$B$101,MATCH($B523,Raw_Customers!$A$2:$A$101,0))</f>
        <v>Lagan Kapoor</v>
      </c>
      <c r="D523" s="7" t="str">
        <f>TRIM(INDEX(Raw_Customers!$C$2:$C$101,MATCH($B523,Raw_Customers!$A$2:$A$101,0)))</f>
        <v>Orai</v>
      </c>
      <c r="E523" s="7" t="str">
        <f>"+91-"&amp;RIGHT("0000000000"&amp;INDEX(Raw_Customers!$D$2:$D$101,MATCH($B523,Raw_Customers!$A$2:$A$101,0)),10)</f>
        <v>+91-6173563562</v>
      </c>
      <c r="F523" s="7" t="str">
        <f>Raw_Orders!C523</f>
        <v>50</v>
      </c>
      <c r="G523" s="7" t="str">
        <f>INDEX(Raw_Products!$B$2:$B$71,MATCH($F523,Raw_Products!$A$2:$A$71,0))</f>
        <v>Eligendi Set</v>
      </c>
      <c r="H523" s="7" t="str">
        <f>INDEX(Raw_Products!$C$2:$C$71,MATCH($F523,Raw_Products!$A$2:$A$71,0))</f>
        <v>Plants</v>
      </c>
      <c r="I523" s="7">
        <f>VALUE(Raw_Orders!D523)</f>
        <v>3</v>
      </c>
      <c r="J523" s="11" t="str">
        <f>INDEX(Raw_Products!$D$2:$D$71,MATCH($F523,Raw_Products!$A$2:$A$71,0))</f>
        <v>422</v>
      </c>
      <c r="K523" s="11">
        <f t="shared" si="16"/>
        <v>1266</v>
      </c>
      <c r="L523" s="12">
        <f>DATE(VALUE(RIGHT(Raw_Orders!E523,4)),VALUE(MID(Raw_Orders!E523,4,2)),VALUE(LEFT(Raw_Orders!E523,2)))</f>
        <v>44984</v>
      </c>
      <c r="M523" s="12">
        <f>DATE(VALUE(RIGHT(Raw_Orders!G523,4)),VALUE(MID(Raw_Orders!G523,4,2)),VALUE(LEFT(Raw_Orders!G523,2)))</f>
        <v>44993</v>
      </c>
      <c r="N523" s="7">
        <f t="shared" si="17"/>
        <v>9</v>
      </c>
      <c r="O523" s="7" t="str">
        <f>Raw_Orders!J523</f>
        <v>Holi</v>
      </c>
      <c r="P523" s="7" t="str">
        <f>Raw_Orders!I523</f>
        <v>Avadi</v>
      </c>
    </row>
    <row r="524" spans="1:16">
      <c r="A524" s="7" t="str">
        <f>Raw_Orders!A524</f>
        <v>523</v>
      </c>
      <c r="B524" s="7" t="str">
        <f>Raw_Orders!B524</f>
        <v>C071</v>
      </c>
      <c r="C524" s="7" t="str">
        <f>INDEX(Raw_Customers!$B$2:$B$101,MATCH($B524,Raw_Customers!$A$2:$A$101,0))</f>
        <v>Purab Sheth</v>
      </c>
      <c r="D524" s="7" t="str">
        <f>TRIM(INDEX(Raw_Customers!$C$2:$C$101,MATCH($B524,Raw_Customers!$A$2:$A$101,0)))</f>
        <v>Tiruppur</v>
      </c>
      <c r="E524" s="7" t="str">
        <f>"+91-"&amp;RIGHT("0000000000"&amp;INDEX(Raw_Customers!$D$2:$D$101,MATCH($B524,Raw_Customers!$A$2:$A$101,0)),10)</f>
        <v>+91-8410472405</v>
      </c>
      <c r="F524" s="7" t="str">
        <f>Raw_Orders!C524</f>
        <v>30</v>
      </c>
      <c r="G524" s="7" t="str">
        <f>INDEX(Raw_Products!$B$2:$B$71,MATCH($F524,Raw_Products!$A$2:$A$71,0))</f>
        <v>Recusandae Pack</v>
      </c>
      <c r="H524" s="7" t="str">
        <f>INDEX(Raw_Products!$C$2:$C$71,MATCH($F524,Raw_Products!$A$2:$A$71,0))</f>
        <v>Colors</v>
      </c>
      <c r="I524" s="7">
        <f>VALUE(Raw_Orders!D524)</f>
        <v>3</v>
      </c>
      <c r="J524" s="11" t="str">
        <f>INDEX(Raw_Products!$D$2:$D$71,MATCH($F524,Raw_Products!$A$2:$A$71,0))</f>
        <v>751</v>
      </c>
      <c r="K524" s="11">
        <f t="shared" si="16"/>
        <v>2253</v>
      </c>
      <c r="L524" s="12">
        <f>DATE(VALUE(RIGHT(Raw_Orders!E524,4)),VALUE(MID(Raw_Orders!E524,4,2)),VALUE(LEFT(Raw_Orders!E524,2)))</f>
        <v>45109</v>
      </c>
      <c r="M524" s="12">
        <f>DATE(VALUE(RIGHT(Raw_Orders!G524,4)),VALUE(MID(Raw_Orders!G524,4,2)),VALUE(LEFT(Raw_Orders!G524,2)))</f>
        <v>45116</v>
      </c>
      <c r="N524" s="7">
        <f t="shared" si="17"/>
        <v>7</v>
      </c>
      <c r="O524" s="7" t="str">
        <f>Raw_Orders!J524</f>
        <v>Anniversary</v>
      </c>
      <c r="P524" s="7" t="str">
        <f>Raw_Orders!I524</f>
        <v>Muzaffarpur</v>
      </c>
    </row>
    <row r="525" spans="1:16">
      <c r="A525" s="7" t="str">
        <f>Raw_Orders!A525</f>
        <v>524</v>
      </c>
      <c r="B525" s="7" t="str">
        <f>Raw_Orders!B525</f>
        <v>C084</v>
      </c>
      <c r="C525" s="7" t="str">
        <f>INDEX(Raw_Customers!$B$2:$B$101,MATCH($B525,Raw_Customers!$A$2:$A$101,0))</f>
        <v>Anahita Shankar</v>
      </c>
      <c r="D525" s="7" t="str">
        <f>TRIM(INDEX(Raw_Customers!$C$2:$C$101,MATCH($B525,Raw_Customers!$A$2:$A$101,0)))</f>
        <v>Tiruchirappalli</v>
      </c>
      <c r="E525" s="7" t="str">
        <f>"+91-"&amp;RIGHT("0000000000"&amp;INDEX(Raw_Customers!$D$2:$D$101,MATCH($B525,Raw_Customers!$A$2:$A$101,0)),10)</f>
        <v>+91-2205603376</v>
      </c>
      <c r="F525" s="7" t="str">
        <f>Raw_Orders!C525</f>
        <v>45</v>
      </c>
      <c r="G525" s="7" t="str">
        <f>INDEX(Raw_Products!$B$2:$B$71,MATCH($F525,Raw_Products!$A$2:$A$71,0))</f>
        <v>Iusto Set</v>
      </c>
      <c r="H525" s="7" t="str">
        <f>INDEX(Raw_Products!$C$2:$C$71,MATCH($F525,Raw_Products!$A$2:$A$71,0))</f>
        <v>Raksha Bandhan</v>
      </c>
      <c r="I525" s="7">
        <f>VALUE(Raw_Orders!D525)</f>
        <v>1</v>
      </c>
      <c r="J525" s="11" t="str">
        <f>INDEX(Raw_Products!$D$2:$D$71,MATCH($F525,Raw_Products!$A$2:$A$71,0))</f>
        <v>722</v>
      </c>
      <c r="K525" s="11">
        <f t="shared" si="16"/>
        <v>722</v>
      </c>
      <c r="L525" s="12">
        <f>DATE(VALUE(RIGHT(Raw_Orders!E525,4)),VALUE(MID(Raw_Orders!E525,4,2)),VALUE(LEFT(Raw_Orders!E525,2)))</f>
        <v>45153</v>
      </c>
      <c r="M525" s="12">
        <f>DATE(VALUE(RIGHT(Raw_Orders!G525,4)),VALUE(MID(Raw_Orders!G525,4,2)),VALUE(LEFT(Raw_Orders!G525,2)))</f>
        <v>45160</v>
      </c>
      <c r="N525" s="7">
        <f t="shared" si="17"/>
        <v>7</v>
      </c>
      <c r="O525" s="7" t="str">
        <f>Raw_Orders!J525</f>
        <v>Birthday</v>
      </c>
      <c r="P525" s="7" t="str">
        <f>Raw_Orders!I525</f>
        <v>Jalandhar</v>
      </c>
    </row>
    <row r="526" spans="1:16">
      <c r="A526" s="7" t="str">
        <f>Raw_Orders!A526</f>
        <v>525</v>
      </c>
      <c r="B526" s="7" t="str">
        <f>Raw_Orders!B526</f>
        <v>C033</v>
      </c>
      <c r="C526" s="7" t="str">
        <f>INDEX(Raw_Customers!$B$2:$B$101,MATCH($B526,Raw_Customers!$A$2:$A$101,0))</f>
        <v>Suhana Kurian</v>
      </c>
      <c r="D526" s="7" t="str">
        <f>TRIM(INDEX(Raw_Customers!$C$2:$C$101,MATCH($B526,Raw_Customers!$A$2:$A$101,0)))</f>
        <v>Indore</v>
      </c>
      <c r="E526" s="7" t="str">
        <f>"+91-"&amp;RIGHT("0000000000"&amp;INDEX(Raw_Customers!$D$2:$D$101,MATCH($B526,Raw_Customers!$A$2:$A$101,0)),10)</f>
        <v>+91-5713958095</v>
      </c>
      <c r="F526" s="7" t="str">
        <f>Raw_Orders!C526</f>
        <v>16</v>
      </c>
      <c r="G526" s="7" t="str">
        <f>INDEX(Raw_Products!$B$2:$B$71,MATCH($F526,Raw_Products!$A$2:$A$71,0))</f>
        <v>Ut Pack</v>
      </c>
      <c r="H526" s="7" t="str">
        <f>INDEX(Raw_Products!$C$2:$C$71,MATCH($F526,Raw_Products!$A$2:$A$71,0))</f>
        <v>Sweets</v>
      </c>
      <c r="I526" s="7">
        <f>VALUE(Raw_Orders!D526)</f>
        <v>2</v>
      </c>
      <c r="J526" s="11" t="str">
        <f>INDEX(Raw_Products!$D$2:$D$71,MATCH($F526,Raw_Products!$A$2:$A$71,0))</f>
        <v>1721</v>
      </c>
      <c r="K526" s="11">
        <f t="shared" si="16"/>
        <v>3442</v>
      </c>
      <c r="L526" s="12">
        <f>DATE(VALUE(RIGHT(Raw_Orders!E526,4)),VALUE(MID(Raw_Orders!E526,4,2)),VALUE(LEFT(Raw_Orders!E526,2)))</f>
        <v>44987</v>
      </c>
      <c r="M526" s="12">
        <f>DATE(VALUE(RIGHT(Raw_Orders!G526,4)),VALUE(MID(Raw_Orders!G526,4,2)),VALUE(LEFT(Raw_Orders!G526,2)))</f>
        <v>44996</v>
      </c>
      <c r="N526" s="7">
        <f t="shared" si="17"/>
        <v>9</v>
      </c>
      <c r="O526" s="7" t="str">
        <f>Raw_Orders!J526</f>
        <v>Holi</v>
      </c>
      <c r="P526" s="7" t="str">
        <f>Raw_Orders!I526</f>
        <v>Bhagalpur</v>
      </c>
    </row>
    <row r="527" spans="1:16">
      <c r="A527" s="7" t="str">
        <f>Raw_Orders!A527</f>
        <v>526</v>
      </c>
      <c r="B527" s="7" t="str">
        <f>Raw_Orders!B527</f>
        <v>C008</v>
      </c>
      <c r="C527" s="7" t="str">
        <f>INDEX(Raw_Customers!$B$2:$B$101,MATCH($B527,Raw_Customers!$A$2:$A$101,0))</f>
        <v>Veer Ray</v>
      </c>
      <c r="D527" s="7" t="str">
        <f>TRIM(INDEX(Raw_Customers!$C$2:$C$101,MATCH($B527,Raw_Customers!$A$2:$A$101,0)))</f>
        <v>Chinsurah</v>
      </c>
      <c r="E527" s="7" t="str">
        <f>"+91-"&amp;RIGHT("0000000000"&amp;INDEX(Raw_Customers!$D$2:$D$101,MATCH($B527,Raw_Customers!$A$2:$A$101,0)),10)</f>
        <v>+91-7138085704</v>
      </c>
      <c r="F527" s="7" t="str">
        <f>Raw_Orders!C527</f>
        <v>13</v>
      </c>
      <c r="G527" s="7" t="str">
        <f>INDEX(Raw_Products!$B$2:$B$71,MATCH($F527,Raw_Products!$A$2:$A$71,0))</f>
        <v>Et Set</v>
      </c>
      <c r="H527" s="7" t="str">
        <f>INDEX(Raw_Products!$C$2:$C$71,MATCH($F527,Raw_Products!$A$2:$A$71,0))</f>
        <v>Mugs</v>
      </c>
      <c r="I527" s="7">
        <f>VALUE(Raw_Orders!D527)</f>
        <v>5</v>
      </c>
      <c r="J527" s="11" t="str">
        <f>INDEX(Raw_Products!$D$2:$D$71,MATCH($F527,Raw_Products!$A$2:$A$71,0))</f>
        <v>1141</v>
      </c>
      <c r="K527" s="11">
        <f t="shared" si="16"/>
        <v>5705</v>
      </c>
      <c r="L527" s="12">
        <f>DATE(VALUE(RIGHT(Raw_Orders!E527,4)),VALUE(MID(Raw_Orders!E527,4,2)),VALUE(LEFT(Raw_Orders!E527,2)))</f>
        <v>44987</v>
      </c>
      <c r="M527" s="12">
        <f>DATE(VALUE(RIGHT(Raw_Orders!G527,4)),VALUE(MID(Raw_Orders!G527,4,2)),VALUE(LEFT(Raw_Orders!G527,2)))</f>
        <v>44993</v>
      </c>
      <c r="N527" s="7">
        <f t="shared" si="17"/>
        <v>6</v>
      </c>
      <c r="O527" s="7" t="str">
        <f>Raw_Orders!J527</f>
        <v>Holi</v>
      </c>
      <c r="P527" s="7" t="str">
        <f>Raw_Orders!I527</f>
        <v>Bangalore</v>
      </c>
    </row>
    <row r="528" spans="1:16">
      <c r="A528" s="7" t="str">
        <f>Raw_Orders!A528</f>
        <v>527</v>
      </c>
      <c r="B528" s="7" t="str">
        <f>Raw_Orders!B528</f>
        <v>C036</v>
      </c>
      <c r="C528" s="7" t="str">
        <f>INDEX(Raw_Customers!$B$2:$B$101,MATCH($B528,Raw_Customers!$A$2:$A$101,0))</f>
        <v>Biju Bajwa</v>
      </c>
      <c r="D528" s="7" t="str">
        <f>TRIM(INDEX(Raw_Customers!$C$2:$C$101,MATCH($B528,Raw_Customers!$A$2:$A$101,0)))</f>
        <v>Dibrugarh</v>
      </c>
      <c r="E528" s="7" t="str">
        <f>"+91-"&amp;RIGHT("0000000000"&amp;INDEX(Raw_Customers!$D$2:$D$101,MATCH($B528,Raw_Customers!$A$2:$A$101,0)),10)</f>
        <v>+91-8721850071</v>
      </c>
      <c r="F528" s="7" t="str">
        <f>Raw_Orders!C528</f>
        <v>33</v>
      </c>
      <c r="G528" s="7" t="str">
        <f>INDEX(Raw_Products!$B$2:$B$71,MATCH($F528,Raw_Products!$A$2:$A$71,0))</f>
        <v>Earum Set</v>
      </c>
      <c r="H528" s="7" t="str">
        <f>INDEX(Raw_Products!$C$2:$C$71,MATCH($F528,Raw_Products!$A$2:$A$71,0))</f>
        <v>Colors</v>
      </c>
      <c r="I528" s="7">
        <f>VALUE(Raw_Orders!D528)</f>
        <v>3</v>
      </c>
      <c r="J528" s="11" t="str">
        <f>INDEX(Raw_Products!$D$2:$D$71,MATCH($F528,Raw_Products!$A$2:$A$71,0))</f>
        <v>314</v>
      </c>
      <c r="K528" s="11">
        <f t="shared" si="16"/>
        <v>942</v>
      </c>
      <c r="L528" s="12">
        <f>DATE(VALUE(RIGHT(Raw_Orders!E528,4)),VALUE(MID(Raw_Orders!E528,4,2)),VALUE(LEFT(Raw_Orders!E528,2)))</f>
        <v>44968</v>
      </c>
      <c r="M528" s="12">
        <f>DATE(VALUE(RIGHT(Raw_Orders!G528,4)),VALUE(MID(Raw_Orders!G528,4,2)),VALUE(LEFT(Raw_Orders!G528,2)))</f>
        <v>44976</v>
      </c>
      <c r="N528" s="7">
        <f t="shared" si="17"/>
        <v>8</v>
      </c>
      <c r="O528" s="7" t="str">
        <f>Raw_Orders!J528</f>
        <v>Valentine's Day</v>
      </c>
      <c r="P528" s="7" t="str">
        <f>Raw_Orders!I528</f>
        <v>Bardhaman</v>
      </c>
    </row>
    <row r="529" spans="1:16">
      <c r="A529" s="7" t="str">
        <f>Raw_Orders!A529</f>
        <v>528</v>
      </c>
      <c r="B529" s="7" t="str">
        <f>Raw_Orders!B529</f>
        <v>C001</v>
      </c>
      <c r="C529" s="7" t="str">
        <f>INDEX(Raw_Customers!$B$2:$B$101,MATCH($B529,Raw_Customers!$A$2:$A$101,0))</f>
        <v>Tara Krishnan</v>
      </c>
      <c r="D529" s="7" t="str">
        <f>TRIM(INDEX(Raw_Customers!$C$2:$C$101,MATCH($B529,Raw_Customers!$A$2:$A$101,0)))</f>
        <v>Panchkula</v>
      </c>
      <c r="E529" s="7" t="str">
        <f>"+91-"&amp;RIGHT("0000000000"&amp;INDEX(Raw_Customers!$D$2:$D$101,MATCH($B529,Raw_Customers!$A$2:$A$101,0)),10)</f>
        <v>+91-7193971454</v>
      </c>
      <c r="F529" s="7" t="str">
        <f>Raw_Orders!C529</f>
        <v>27</v>
      </c>
      <c r="G529" s="7" t="str">
        <f>INDEX(Raw_Products!$B$2:$B$71,MATCH($F529,Raw_Products!$A$2:$A$71,0))</f>
        <v>Architecto Gift</v>
      </c>
      <c r="H529" s="7" t="str">
        <f>INDEX(Raw_Products!$C$2:$C$71,MATCH($F529,Raw_Products!$A$2:$A$71,0))</f>
        <v>Cake</v>
      </c>
      <c r="I529" s="7">
        <f>VALUE(Raw_Orders!D529)</f>
        <v>3</v>
      </c>
      <c r="J529" s="11" t="str">
        <f>INDEX(Raw_Products!$D$2:$D$71,MATCH($F529,Raw_Products!$A$2:$A$71,0))</f>
        <v>548</v>
      </c>
      <c r="K529" s="11">
        <f t="shared" si="16"/>
        <v>1644</v>
      </c>
      <c r="L529" s="12">
        <f>DATE(VALUE(RIGHT(Raw_Orders!E529,4)),VALUE(MID(Raw_Orders!E529,4,2)),VALUE(LEFT(Raw_Orders!E529,2)))</f>
        <v>45165</v>
      </c>
      <c r="M529" s="12">
        <f>DATE(VALUE(RIGHT(Raw_Orders!G529,4)),VALUE(MID(Raw_Orders!G529,4,2)),VALUE(LEFT(Raw_Orders!G529,2)))</f>
        <v>45168</v>
      </c>
      <c r="N529" s="7">
        <f t="shared" si="17"/>
        <v>3</v>
      </c>
      <c r="O529" s="7" t="str">
        <f>Raw_Orders!J529</f>
        <v>Raksha Bandhan</v>
      </c>
      <c r="P529" s="7" t="str">
        <f>Raw_Orders!I529</f>
        <v>Tirunelveli</v>
      </c>
    </row>
    <row r="530" spans="1:16">
      <c r="A530" s="7" t="str">
        <f>Raw_Orders!A530</f>
        <v>529</v>
      </c>
      <c r="B530" s="7" t="str">
        <f>Raw_Orders!B530</f>
        <v>C013</v>
      </c>
      <c r="C530" s="7" t="str">
        <f>INDEX(Raw_Customers!$B$2:$B$101,MATCH($B530,Raw_Customers!$A$2:$A$101,0))</f>
        <v>Manikya Goswami</v>
      </c>
      <c r="D530" s="7" t="str">
        <f>TRIM(INDEX(Raw_Customers!$C$2:$C$101,MATCH($B530,Raw_Customers!$A$2:$A$101,0)))</f>
        <v>Mangalore</v>
      </c>
      <c r="E530" s="7" t="str">
        <f>"+91-"&amp;RIGHT("0000000000"&amp;INDEX(Raw_Customers!$D$2:$D$101,MATCH($B530,Raw_Customers!$A$2:$A$101,0)),10)</f>
        <v>+91-2112817503</v>
      </c>
      <c r="F530" s="7" t="str">
        <f>Raw_Orders!C530</f>
        <v>64</v>
      </c>
      <c r="G530" s="7" t="str">
        <f>INDEX(Raw_Products!$B$2:$B$71,MATCH($F530,Raw_Products!$A$2:$A$71,0))</f>
        <v>Nostrum Box</v>
      </c>
      <c r="H530" s="7" t="str">
        <f>INDEX(Raw_Products!$C$2:$C$71,MATCH($F530,Raw_Products!$A$2:$A$71,0))</f>
        <v>Soft Toys</v>
      </c>
      <c r="I530" s="7">
        <f>VALUE(Raw_Orders!D530)</f>
        <v>2</v>
      </c>
      <c r="J530" s="11" t="str">
        <f>INDEX(Raw_Products!$D$2:$D$71,MATCH($F530,Raw_Products!$A$2:$A$71,0))</f>
        <v>1878</v>
      </c>
      <c r="K530" s="11">
        <f t="shared" si="16"/>
        <v>3756</v>
      </c>
      <c r="L530" s="12">
        <f>DATE(VALUE(RIGHT(Raw_Orders!E530,4)),VALUE(MID(Raw_Orders!E530,4,2)),VALUE(LEFT(Raw_Orders!E530,2)))</f>
        <v>45163</v>
      </c>
      <c r="M530" s="12">
        <f>DATE(VALUE(RIGHT(Raw_Orders!G530,4)),VALUE(MID(Raw_Orders!G530,4,2)),VALUE(LEFT(Raw_Orders!G530,2)))</f>
        <v>45166</v>
      </c>
      <c r="N530" s="7">
        <f t="shared" si="17"/>
        <v>3</v>
      </c>
      <c r="O530" s="7" t="str">
        <f>Raw_Orders!J530</f>
        <v>Raksha Bandhan</v>
      </c>
      <c r="P530" s="7" t="str">
        <f>Raw_Orders!I530</f>
        <v>Madurai</v>
      </c>
    </row>
    <row r="531" spans="1:16">
      <c r="A531" s="7" t="str">
        <f>Raw_Orders!A531</f>
        <v>530</v>
      </c>
      <c r="B531" s="7" t="str">
        <f>Raw_Orders!B531</f>
        <v>C008</v>
      </c>
      <c r="C531" s="7" t="str">
        <f>INDEX(Raw_Customers!$B$2:$B$101,MATCH($B531,Raw_Customers!$A$2:$A$101,0))</f>
        <v>Veer Ray</v>
      </c>
      <c r="D531" s="7" t="str">
        <f>TRIM(INDEX(Raw_Customers!$C$2:$C$101,MATCH($B531,Raw_Customers!$A$2:$A$101,0)))</f>
        <v>Chinsurah</v>
      </c>
      <c r="E531" s="7" t="str">
        <f>"+91-"&amp;RIGHT("0000000000"&amp;INDEX(Raw_Customers!$D$2:$D$101,MATCH($B531,Raw_Customers!$A$2:$A$101,0)),10)</f>
        <v>+91-7138085704</v>
      </c>
      <c r="F531" s="7" t="str">
        <f>Raw_Orders!C531</f>
        <v>5</v>
      </c>
      <c r="G531" s="7" t="str">
        <f>INDEX(Raw_Products!$B$2:$B$71,MATCH($F531,Raw_Products!$A$2:$A$71,0))</f>
        <v>Natus Gift</v>
      </c>
      <c r="H531" s="7" t="str">
        <f>INDEX(Raw_Products!$C$2:$C$71,MATCH($F531,Raw_Products!$A$2:$A$71,0))</f>
        <v>Colors</v>
      </c>
      <c r="I531" s="7">
        <f>VALUE(Raw_Orders!D531)</f>
        <v>2</v>
      </c>
      <c r="J531" s="11" t="str">
        <f>INDEX(Raw_Products!$D$2:$D$71,MATCH($F531,Raw_Products!$A$2:$A$71,0))</f>
        <v>1444</v>
      </c>
      <c r="K531" s="11">
        <f t="shared" si="16"/>
        <v>2888</v>
      </c>
      <c r="L531" s="12">
        <f>DATE(VALUE(RIGHT(Raw_Orders!E531,4)),VALUE(MID(Raw_Orders!E531,4,2)),VALUE(LEFT(Raw_Orders!E531,2)))</f>
        <v>45157</v>
      </c>
      <c r="M531" s="12">
        <f>DATE(VALUE(RIGHT(Raw_Orders!G531,4)),VALUE(MID(Raw_Orders!G531,4,2)),VALUE(LEFT(Raw_Orders!G531,2)))</f>
        <v>45165</v>
      </c>
      <c r="N531" s="7">
        <f t="shared" si="17"/>
        <v>8</v>
      </c>
      <c r="O531" s="7" t="str">
        <f>Raw_Orders!J531</f>
        <v>All Occasions</v>
      </c>
      <c r="P531" s="7" t="str">
        <f>Raw_Orders!I531</f>
        <v>Delhi</v>
      </c>
    </row>
    <row r="532" spans="1:16">
      <c r="A532" s="7" t="str">
        <f>Raw_Orders!A532</f>
        <v>531</v>
      </c>
      <c r="B532" s="7" t="str">
        <f>Raw_Orders!B532</f>
        <v>C029</v>
      </c>
      <c r="C532" s="7" t="str">
        <f>INDEX(Raw_Customers!$B$2:$B$101,MATCH($B532,Raw_Customers!$A$2:$A$101,0))</f>
        <v>Badal Sathe</v>
      </c>
      <c r="D532" s="7" t="str">
        <f>TRIM(INDEX(Raw_Customers!$C$2:$C$101,MATCH($B532,Raw_Customers!$A$2:$A$101,0)))</f>
        <v>Haridwar</v>
      </c>
      <c r="E532" s="7" t="str">
        <f>"+91-"&amp;RIGHT("0000000000"&amp;INDEX(Raw_Customers!$D$2:$D$101,MATCH($B532,Raw_Customers!$A$2:$A$101,0)),10)</f>
        <v>+91-2454360885</v>
      </c>
      <c r="F532" s="7" t="str">
        <f>Raw_Orders!C532</f>
        <v>28</v>
      </c>
      <c r="G532" s="7" t="str">
        <f>INDEX(Raw_Products!$B$2:$B$71,MATCH($F532,Raw_Products!$A$2:$A$71,0))</f>
        <v>Velit Set</v>
      </c>
      <c r="H532" s="7" t="str">
        <f>INDEX(Raw_Products!$C$2:$C$71,MATCH($F532,Raw_Products!$A$2:$A$71,0))</f>
        <v>Sweets</v>
      </c>
      <c r="I532" s="7">
        <f>VALUE(Raw_Orders!D532)</f>
        <v>5</v>
      </c>
      <c r="J532" s="11" t="str">
        <f>INDEX(Raw_Products!$D$2:$D$71,MATCH($F532,Raw_Products!$A$2:$A$71,0))</f>
        <v>1778</v>
      </c>
      <c r="K532" s="11">
        <f t="shared" si="16"/>
        <v>8890</v>
      </c>
      <c r="L532" s="12">
        <f>DATE(VALUE(RIGHT(Raw_Orders!E532,4)),VALUE(MID(Raw_Orders!E532,4,2)),VALUE(LEFT(Raw_Orders!E532,2)))</f>
        <v>45167</v>
      </c>
      <c r="M532" s="12">
        <f>DATE(VALUE(RIGHT(Raw_Orders!G532,4)),VALUE(MID(Raw_Orders!G532,4,2)),VALUE(LEFT(Raw_Orders!G532,2)))</f>
        <v>45176</v>
      </c>
      <c r="N532" s="7">
        <f t="shared" si="17"/>
        <v>9</v>
      </c>
      <c r="O532" s="7" t="str">
        <f>Raw_Orders!J532</f>
        <v>Raksha Bandhan</v>
      </c>
      <c r="P532" s="7" t="str">
        <f>Raw_Orders!I532</f>
        <v>Dehradun</v>
      </c>
    </row>
    <row r="533" spans="1:16">
      <c r="A533" s="7" t="str">
        <f>Raw_Orders!A533</f>
        <v>532</v>
      </c>
      <c r="B533" s="7" t="str">
        <f>Raw_Orders!B533</f>
        <v>C036</v>
      </c>
      <c r="C533" s="7" t="str">
        <f>INDEX(Raw_Customers!$B$2:$B$101,MATCH($B533,Raw_Customers!$A$2:$A$101,0))</f>
        <v>Biju Bajwa</v>
      </c>
      <c r="D533" s="7" t="str">
        <f>TRIM(INDEX(Raw_Customers!$C$2:$C$101,MATCH($B533,Raw_Customers!$A$2:$A$101,0)))</f>
        <v>Dibrugarh</v>
      </c>
      <c r="E533" s="7" t="str">
        <f>"+91-"&amp;RIGHT("0000000000"&amp;INDEX(Raw_Customers!$D$2:$D$101,MATCH($B533,Raw_Customers!$A$2:$A$101,0)),10)</f>
        <v>+91-8721850071</v>
      </c>
      <c r="F533" s="7" t="str">
        <f>Raw_Orders!C533</f>
        <v>30</v>
      </c>
      <c r="G533" s="7" t="str">
        <f>INDEX(Raw_Products!$B$2:$B$71,MATCH($F533,Raw_Products!$A$2:$A$71,0))</f>
        <v>Recusandae Pack</v>
      </c>
      <c r="H533" s="7" t="str">
        <f>INDEX(Raw_Products!$C$2:$C$71,MATCH($F533,Raw_Products!$A$2:$A$71,0))</f>
        <v>Colors</v>
      </c>
      <c r="I533" s="7">
        <f>VALUE(Raw_Orders!D533)</f>
        <v>5</v>
      </c>
      <c r="J533" s="11" t="str">
        <f>INDEX(Raw_Products!$D$2:$D$71,MATCH($F533,Raw_Products!$A$2:$A$71,0))</f>
        <v>751</v>
      </c>
      <c r="K533" s="11">
        <f t="shared" si="16"/>
        <v>3755</v>
      </c>
      <c r="L533" s="12">
        <f>DATE(VALUE(RIGHT(Raw_Orders!E533,4)),VALUE(MID(Raw_Orders!E533,4,2)),VALUE(LEFT(Raw_Orders!E533,2)))</f>
        <v>45171</v>
      </c>
      <c r="M533" s="12">
        <f>DATE(VALUE(RIGHT(Raw_Orders!G533,4)),VALUE(MID(Raw_Orders!G533,4,2)),VALUE(LEFT(Raw_Orders!G533,2)))</f>
        <v>45179</v>
      </c>
      <c r="N533" s="7">
        <f t="shared" si="17"/>
        <v>8</v>
      </c>
      <c r="O533" s="7" t="str">
        <f>Raw_Orders!J533</f>
        <v>Anniversary</v>
      </c>
      <c r="P533" s="7" t="str">
        <f>Raw_Orders!I533</f>
        <v>Bharatpur</v>
      </c>
    </row>
    <row r="534" spans="1:16">
      <c r="A534" s="7" t="str">
        <f>Raw_Orders!A534</f>
        <v>533</v>
      </c>
      <c r="B534" s="7" t="str">
        <f>Raw_Orders!B534</f>
        <v>C006</v>
      </c>
      <c r="C534" s="7" t="str">
        <f>INDEX(Raw_Customers!$B$2:$B$101,MATCH($B534,Raw_Customers!$A$2:$A$101,0))</f>
        <v>Rania Mann</v>
      </c>
      <c r="D534" s="7" t="str">
        <f>TRIM(INDEX(Raw_Customers!$C$2:$C$101,MATCH($B534,Raw_Customers!$A$2:$A$101,0)))</f>
        <v>Karimnagar</v>
      </c>
      <c r="E534" s="7" t="str">
        <f>"+91-"&amp;RIGHT("0000000000"&amp;INDEX(Raw_Customers!$D$2:$D$101,MATCH($B534,Raw_Customers!$A$2:$A$101,0)),10)</f>
        <v>+91-9363577179</v>
      </c>
      <c r="F534" s="7" t="str">
        <f>Raw_Orders!C534</f>
        <v>14</v>
      </c>
      <c r="G534" s="7" t="str">
        <f>INDEX(Raw_Products!$B$2:$B$71,MATCH($F534,Raw_Products!$A$2:$A$71,0))</f>
        <v>Deserunt Box</v>
      </c>
      <c r="H534" s="7" t="str">
        <f>INDEX(Raw_Products!$C$2:$C$71,MATCH($F534,Raw_Products!$A$2:$A$71,0))</f>
        <v>Colors</v>
      </c>
      <c r="I534" s="7">
        <f>VALUE(Raw_Orders!D534)</f>
        <v>3</v>
      </c>
      <c r="J534" s="11" t="str">
        <f>INDEX(Raw_Products!$D$2:$D$71,MATCH($F534,Raw_Products!$A$2:$A$71,0))</f>
        <v>1915</v>
      </c>
      <c r="K534" s="11">
        <f t="shared" si="16"/>
        <v>5745</v>
      </c>
      <c r="L534" s="12">
        <f>DATE(VALUE(RIGHT(Raw_Orders!E534,4)),VALUE(MID(Raw_Orders!E534,4,2)),VALUE(LEFT(Raw_Orders!E534,2)))</f>
        <v>45034</v>
      </c>
      <c r="M534" s="12">
        <f>DATE(VALUE(RIGHT(Raw_Orders!G534,4)),VALUE(MID(Raw_Orders!G534,4,2)),VALUE(LEFT(Raw_Orders!G534,2)))</f>
        <v>45036</v>
      </c>
      <c r="N534" s="7">
        <f t="shared" si="17"/>
        <v>2</v>
      </c>
      <c r="O534" s="7" t="str">
        <f>Raw_Orders!J534</f>
        <v>Birthday</v>
      </c>
      <c r="P534" s="7" t="str">
        <f>Raw_Orders!I534</f>
        <v>Raurkela Industrial Township</v>
      </c>
    </row>
    <row r="535" spans="1:16">
      <c r="A535" s="7" t="str">
        <f>Raw_Orders!A535</f>
        <v>534</v>
      </c>
      <c r="B535" s="7" t="str">
        <f>Raw_Orders!B535</f>
        <v>C061</v>
      </c>
      <c r="C535" s="7" t="str">
        <f>INDEX(Raw_Customers!$B$2:$B$101,MATCH($B535,Raw_Customers!$A$2:$A$101,0))</f>
        <v>Akarsh Ramesh</v>
      </c>
      <c r="D535" s="7" t="str">
        <f>TRIM(INDEX(Raw_Customers!$C$2:$C$101,MATCH($B535,Raw_Customers!$A$2:$A$101,0)))</f>
        <v>Kavali</v>
      </c>
      <c r="E535" s="7" t="str">
        <f>"+91-"&amp;RIGHT("0000000000"&amp;INDEX(Raw_Customers!$D$2:$D$101,MATCH($B535,Raw_Customers!$A$2:$A$101,0)),10)</f>
        <v>+91-4318554567</v>
      </c>
      <c r="F535" s="7" t="str">
        <f>Raw_Orders!C535</f>
        <v>31</v>
      </c>
      <c r="G535" s="7" t="str">
        <f>INDEX(Raw_Products!$B$2:$B$71,MATCH($F535,Raw_Products!$A$2:$A$71,0))</f>
        <v>Nihil Box</v>
      </c>
      <c r="H535" s="7" t="str">
        <f>INDEX(Raw_Products!$C$2:$C$71,MATCH($F535,Raw_Products!$A$2:$A$71,0))</f>
        <v>Colors</v>
      </c>
      <c r="I535" s="7">
        <f>VALUE(Raw_Orders!D535)</f>
        <v>2</v>
      </c>
      <c r="J535" s="11" t="str">
        <f>INDEX(Raw_Products!$D$2:$D$71,MATCH($F535,Raw_Products!$A$2:$A$71,0))</f>
        <v>1804</v>
      </c>
      <c r="K535" s="11">
        <f t="shared" si="16"/>
        <v>3608</v>
      </c>
      <c r="L535" s="12">
        <f>DATE(VALUE(RIGHT(Raw_Orders!E535,4)),VALUE(MID(Raw_Orders!E535,4,2)),VALUE(LEFT(Raw_Orders!E535,2)))</f>
        <v>45257</v>
      </c>
      <c r="M535" s="12">
        <f>DATE(VALUE(RIGHT(Raw_Orders!G535,4)),VALUE(MID(Raw_Orders!G535,4,2)),VALUE(LEFT(Raw_Orders!G535,2)))</f>
        <v>45264</v>
      </c>
      <c r="N535" s="7">
        <f t="shared" si="17"/>
        <v>7</v>
      </c>
      <c r="O535" s="7" t="str">
        <f>Raw_Orders!J535</f>
        <v>All Occasions</v>
      </c>
      <c r="P535" s="7" t="str">
        <f>Raw_Orders!I535</f>
        <v>Naihati</v>
      </c>
    </row>
    <row r="536" spans="1:16">
      <c r="A536" s="7" t="str">
        <f>Raw_Orders!A536</f>
        <v>535</v>
      </c>
      <c r="B536" s="7" t="str">
        <f>Raw_Orders!B536</f>
        <v>C017</v>
      </c>
      <c r="C536" s="7" t="str">
        <f>INDEX(Raw_Customers!$B$2:$B$101,MATCH($B536,Raw_Customers!$A$2:$A$101,0))</f>
        <v>Advika Dhar</v>
      </c>
      <c r="D536" s="7" t="str">
        <f>TRIM(INDEX(Raw_Customers!$C$2:$C$101,MATCH($B536,Raw_Customers!$A$2:$A$101,0)))</f>
        <v>Gangtok</v>
      </c>
      <c r="E536" s="7" t="str">
        <f>"+91-"&amp;RIGHT("0000000000"&amp;INDEX(Raw_Customers!$D$2:$D$101,MATCH($B536,Raw_Customers!$A$2:$A$101,0)),10)</f>
        <v>+91-2738556486</v>
      </c>
      <c r="F536" s="7" t="str">
        <f>Raw_Orders!C536</f>
        <v>25</v>
      </c>
      <c r="G536" s="7" t="str">
        <f>INDEX(Raw_Products!$B$2:$B$71,MATCH($F536,Raw_Products!$A$2:$A$71,0))</f>
        <v>Qui Gift</v>
      </c>
      <c r="H536" s="7" t="str">
        <f>INDEX(Raw_Products!$C$2:$C$71,MATCH($F536,Raw_Products!$A$2:$A$71,0))</f>
        <v>Plants</v>
      </c>
      <c r="I536" s="7">
        <f>VALUE(Raw_Orders!D536)</f>
        <v>3</v>
      </c>
      <c r="J536" s="11" t="str">
        <f>INDEX(Raw_Products!$D$2:$D$71,MATCH($F536,Raw_Products!$A$2:$A$71,0))</f>
        <v>1202</v>
      </c>
      <c r="K536" s="11">
        <f t="shared" si="16"/>
        <v>3606</v>
      </c>
      <c r="L536" s="12">
        <f>DATE(VALUE(RIGHT(Raw_Orders!E536,4)),VALUE(MID(Raw_Orders!E536,4,2)),VALUE(LEFT(Raw_Orders!E536,2)))</f>
        <v>45115</v>
      </c>
      <c r="M536" s="12">
        <f>DATE(VALUE(RIGHT(Raw_Orders!G536,4)),VALUE(MID(Raw_Orders!G536,4,2)),VALUE(LEFT(Raw_Orders!G536,2)))</f>
        <v>45118</v>
      </c>
      <c r="N536" s="7">
        <f t="shared" si="17"/>
        <v>3</v>
      </c>
      <c r="O536" s="7" t="str">
        <f>Raw_Orders!J536</f>
        <v>Anniversary</v>
      </c>
      <c r="P536" s="7" t="str">
        <f>Raw_Orders!I536</f>
        <v>Saharsa</v>
      </c>
    </row>
    <row r="537" spans="1:16">
      <c r="A537" s="7" t="str">
        <f>Raw_Orders!A537</f>
        <v>536</v>
      </c>
      <c r="B537" s="7" t="str">
        <f>Raw_Orders!B537</f>
        <v>C048</v>
      </c>
      <c r="C537" s="7" t="str">
        <f>INDEX(Raw_Customers!$B$2:$B$101,MATCH($B537,Raw_Customers!$A$2:$A$101,0))</f>
        <v>Aradhya Kale</v>
      </c>
      <c r="D537" s="7" t="str">
        <f>TRIM(INDEX(Raw_Customers!$C$2:$C$101,MATCH($B537,Raw_Customers!$A$2:$A$101,0)))</f>
        <v>Guntakal</v>
      </c>
      <c r="E537" s="7" t="str">
        <f>"+91-"&amp;RIGHT("0000000000"&amp;INDEX(Raw_Customers!$D$2:$D$101,MATCH($B537,Raw_Customers!$A$2:$A$101,0)),10)</f>
        <v>+91-7979926231</v>
      </c>
      <c r="F537" s="7" t="str">
        <f>Raw_Orders!C537</f>
        <v>59</v>
      </c>
      <c r="G537" s="7" t="str">
        <f>INDEX(Raw_Products!$B$2:$B$71,MATCH($F537,Raw_Products!$A$2:$A$71,0))</f>
        <v>Pariatur Box</v>
      </c>
      <c r="H537" s="7" t="str">
        <f>INDEX(Raw_Products!$C$2:$C$71,MATCH($F537,Raw_Products!$A$2:$A$71,0))</f>
        <v>Cake</v>
      </c>
      <c r="I537" s="7">
        <f>VALUE(Raw_Orders!D537)</f>
        <v>3</v>
      </c>
      <c r="J537" s="11" t="str">
        <f>INDEX(Raw_Products!$D$2:$D$71,MATCH($F537,Raw_Products!$A$2:$A$71,0))</f>
        <v>811</v>
      </c>
      <c r="K537" s="11">
        <f t="shared" si="16"/>
        <v>2433</v>
      </c>
      <c r="L537" s="12">
        <f>DATE(VALUE(RIGHT(Raw_Orders!E537,4)),VALUE(MID(Raw_Orders!E537,4,2)),VALUE(LEFT(Raw_Orders!E537,2)))</f>
        <v>45163</v>
      </c>
      <c r="M537" s="12">
        <f>DATE(VALUE(RIGHT(Raw_Orders!G537,4)),VALUE(MID(Raw_Orders!G537,4,2)),VALUE(LEFT(Raw_Orders!G537,2)))</f>
        <v>45168</v>
      </c>
      <c r="N537" s="7">
        <f t="shared" si="17"/>
        <v>5</v>
      </c>
      <c r="O537" s="7" t="str">
        <f>Raw_Orders!J537</f>
        <v>Raksha Bandhan</v>
      </c>
      <c r="P537" s="7" t="str">
        <f>Raw_Orders!I537</f>
        <v>Kota</v>
      </c>
    </row>
    <row r="538" spans="1:16">
      <c r="A538" s="7" t="str">
        <f>Raw_Orders!A538</f>
        <v>537</v>
      </c>
      <c r="B538" s="7" t="str">
        <f>Raw_Orders!B538</f>
        <v>C064</v>
      </c>
      <c r="C538" s="7" t="str">
        <f>INDEX(Raw_Customers!$B$2:$B$101,MATCH($B538,Raw_Customers!$A$2:$A$101,0))</f>
        <v>Indrajit Kale</v>
      </c>
      <c r="D538" s="7" t="str">
        <f>TRIM(INDEX(Raw_Customers!$C$2:$C$101,MATCH($B538,Raw_Customers!$A$2:$A$101,0)))</f>
        <v>Srikakulam</v>
      </c>
      <c r="E538" s="7" t="str">
        <f>"+91-"&amp;RIGHT("0000000000"&amp;INDEX(Raw_Customers!$D$2:$D$101,MATCH($B538,Raw_Customers!$A$2:$A$101,0)),10)</f>
        <v>+91-6181058210</v>
      </c>
      <c r="F538" s="7" t="str">
        <f>Raw_Orders!C538</f>
        <v>42</v>
      </c>
      <c r="G538" s="7" t="str">
        <f>INDEX(Raw_Products!$B$2:$B$71,MATCH($F538,Raw_Products!$A$2:$A$71,0))</f>
        <v>Expedita Gift</v>
      </c>
      <c r="H538" s="7" t="str">
        <f>INDEX(Raw_Products!$C$2:$C$71,MATCH($F538,Raw_Products!$A$2:$A$71,0))</f>
        <v>Sweets</v>
      </c>
      <c r="I538" s="7">
        <f>VALUE(Raw_Orders!D538)</f>
        <v>3</v>
      </c>
      <c r="J538" s="11" t="str">
        <f>INDEX(Raw_Products!$D$2:$D$71,MATCH($F538,Raw_Products!$A$2:$A$71,0))</f>
        <v>1744</v>
      </c>
      <c r="K538" s="11">
        <f t="shared" si="16"/>
        <v>5232</v>
      </c>
      <c r="L538" s="12">
        <f>DATE(VALUE(RIGHT(Raw_Orders!E538,4)),VALUE(MID(Raw_Orders!E538,4,2)),VALUE(LEFT(Raw_Orders!E538,2)))</f>
        <v>45216</v>
      </c>
      <c r="M538" s="12">
        <f>DATE(VALUE(RIGHT(Raw_Orders!G538,4)),VALUE(MID(Raw_Orders!G538,4,2)),VALUE(LEFT(Raw_Orders!G538,2)))</f>
        <v>45224</v>
      </c>
      <c r="N538" s="7">
        <f t="shared" si="17"/>
        <v>8</v>
      </c>
      <c r="O538" s="7" t="str">
        <f>Raw_Orders!J538</f>
        <v>All Occasions</v>
      </c>
      <c r="P538" s="7" t="str">
        <f>Raw_Orders!I538</f>
        <v>Korba</v>
      </c>
    </row>
    <row r="539" spans="1:16">
      <c r="A539" s="7" t="str">
        <f>Raw_Orders!A539</f>
        <v>538</v>
      </c>
      <c r="B539" s="7" t="str">
        <f>Raw_Orders!B539</f>
        <v>C097</v>
      </c>
      <c r="C539" s="7" t="str">
        <f>INDEX(Raw_Customers!$B$2:$B$101,MATCH($B539,Raw_Customers!$A$2:$A$101,0))</f>
        <v>Nakul Randhawa</v>
      </c>
      <c r="D539" s="7" t="str">
        <f>TRIM(INDEX(Raw_Customers!$C$2:$C$101,MATCH($B539,Raw_Customers!$A$2:$A$101,0)))</f>
        <v>Sri Ganganagar</v>
      </c>
      <c r="E539" s="7" t="str">
        <f>"+91-"&amp;RIGHT("0000000000"&amp;INDEX(Raw_Customers!$D$2:$D$101,MATCH($B539,Raw_Customers!$A$2:$A$101,0)),10)</f>
        <v>+91-0456900126</v>
      </c>
      <c r="F539" s="7" t="str">
        <f>Raw_Orders!C539</f>
        <v>24</v>
      </c>
      <c r="G539" s="7" t="str">
        <f>INDEX(Raw_Products!$B$2:$B$71,MATCH($F539,Raw_Products!$A$2:$A$71,0))</f>
        <v>Ad Box</v>
      </c>
      <c r="H539" s="7" t="str">
        <f>INDEX(Raw_Products!$C$2:$C$71,MATCH($F539,Raw_Products!$A$2:$A$71,0))</f>
        <v>Mugs</v>
      </c>
      <c r="I539" s="7">
        <f>VALUE(Raw_Orders!D539)</f>
        <v>5</v>
      </c>
      <c r="J539" s="11" t="str">
        <f>INDEX(Raw_Products!$D$2:$D$71,MATCH($F539,Raw_Products!$A$2:$A$71,0))</f>
        <v>535</v>
      </c>
      <c r="K539" s="11">
        <f t="shared" si="16"/>
        <v>2675</v>
      </c>
      <c r="L539" s="12">
        <f>DATE(VALUE(RIGHT(Raw_Orders!E539,4)),VALUE(MID(Raw_Orders!E539,4,2)),VALUE(LEFT(Raw_Orders!E539,2)))</f>
        <v>45064</v>
      </c>
      <c r="M539" s="12">
        <f>DATE(VALUE(RIGHT(Raw_Orders!G539,4)),VALUE(MID(Raw_Orders!G539,4,2)),VALUE(LEFT(Raw_Orders!G539,2)))</f>
        <v>45065</v>
      </c>
      <c r="N539" s="7">
        <f t="shared" si="17"/>
        <v>1</v>
      </c>
      <c r="O539" s="7" t="str">
        <f>Raw_Orders!J539</f>
        <v>Birthday</v>
      </c>
      <c r="P539" s="7" t="str">
        <f>Raw_Orders!I539</f>
        <v>Ghaziabad</v>
      </c>
    </row>
    <row r="540" spans="1:16">
      <c r="A540" s="7" t="str">
        <f>Raw_Orders!A540</f>
        <v>539</v>
      </c>
      <c r="B540" s="7" t="str">
        <f>Raw_Orders!B540</f>
        <v>C056</v>
      </c>
      <c r="C540" s="7" t="str">
        <f>INDEX(Raw_Customers!$B$2:$B$101,MATCH($B540,Raw_Customers!$A$2:$A$101,0))</f>
        <v>Pihu Choudhury</v>
      </c>
      <c r="D540" s="7" t="str">
        <f>TRIM(INDEX(Raw_Customers!$C$2:$C$101,MATCH($B540,Raw_Customers!$A$2:$A$101,0)))</f>
        <v>Haridwar</v>
      </c>
      <c r="E540" s="7" t="str">
        <f>"+91-"&amp;RIGHT("0000000000"&amp;INDEX(Raw_Customers!$D$2:$D$101,MATCH($B540,Raw_Customers!$A$2:$A$101,0)),10)</f>
        <v>+91-9732644810</v>
      </c>
      <c r="F540" s="7" t="str">
        <f>Raw_Orders!C540</f>
        <v>20</v>
      </c>
      <c r="G540" s="7" t="str">
        <f>INDEX(Raw_Products!$B$2:$B$71,MATCH($F540,Raw_Products!$A$2:$A$71,0))</f>
        <v>Reiciendis Box</v>
      </c>
      <c r="H540" s="7" t="str">
        <f>INDEX(Raw_Products!$C$2:$C$71,MATCH($F540,Raw_Products!$A$2:$A$71,0))</f>
        <v>Colors</v>
      </c>
      <c r="I540" s="7">
        <f>VALUE(Raw_Orders!D540)</f>
        <v>3</v>
      </c>
      <c r="J540" s="11" t="str">
        <f>INDEX(Raw_Products!$D$2:$D$71,MATCH($F540,Raw_Products!$A$2:$A$71,0))</f>
        <v>697</v>
      </c>
      <c r="K540" s="11">
        <f t="shared" si="16"/>
        <v>2091</v>
      </c>
      <c r="L540" s="12">
        <f>DATE(VALUE(RIGHT(Raw_Orders!E540,4)),VALUE(MID(Raw_Orders!E540,4,2)),VALUE(LEFT(Raw_Orders!E540,2)))</f>
        <v>45086</v>
      </c>
      <c r="M540" s="12">
        <f>DATE(VALUE(RIGHT(Raw_Orders!G540,4)),VALUE(MID(Raw_Orders!G540,4,2)),VALUE(LEFT(Raw_Orders!G540,2)))</f>
        <v>45093</v>
      </c>
      <c r="N540" s="7">
        <f t="shared" si="17"/>
        <v>7</v>
      </c>
      <c r="O540" s="7" t="str">
        <f>Raw_Orders!J540</f>
        <v>Anniversary</v>
      </c>
      <c r="P540" s="7" t="str">
        <f>Raw_Orders!I540</f>
        <v>Jehanabad</v>
      </c>
    </row>
    <row r="541" spans="1:16">
      <c r="A541" s="7" t="str">
        <f>Raw_Orders!A541</f>
        <v>540</v>
      </c>
      <c r="B541" s="7" t="str">
        <f>Raw_Orders!B541</f>
        <v>C082</v>
      </c>
      <c r="C541" s="7" t="str">
        <f>INDEX(Raw_Customers!$B$2:$B$101,MATCH($B541,Raw_Customers!$A$2:$A$101,0))</f>
        <v>Anya Chaudhari</v>
      </c>
      <c r="D541" s="7" t="str">
        <f>TRIM(INDEX(Raw_Customers!$C$2:$C$101,MATCH($B541,Raw_Customers!$A$2:$A$101,0)))</f>
        <v>Ahmednagar</v>
      </c>
      <c r="E541" s="7" t="str">
        <f>"+91-"&amp;RIGHT("0000000000"&amp;INDEX(Raw_Customers!$D$2:$D$101,MATCH($B541,Raw_Customers!$A$2:$A$101,0)),10)</f>
        <v>+91-0813770782</v>
      </c>
      <c r="F541" s="7" t="str">
        <f>Raw_Orders!C541</f>
        <v>22</v>
      </c>
      <c r="G541" s="7" t="str">
        <f>INDEX(Raw_Products!$B$2:$B$71,MATCH($F541,Raw_Products!$A$2:$A$71,0))</f>
        <v>Exercitationem Pack</v>
      </c>
      <c r="H541" s="7" t="str">
        <f>INDEX(Raw_Products!$C$2:$C$71,MATCH($F541,Raw_Products!$A$2:$A$71,0))</f>
        <v>Soft Toys</v>
      </c>
      <c r="I541" s="7">
        <f>VALUE(Raw_Orders!D541)</f>
        <v>4</v>
      </c>
      <c r="J541" s="11" t="str">
        <f>INDEX(Raw_Products!$D$2:$D$71,MATCH($F541,Raw_Products!$A$2:$A$71,0))</f>
        <v>1639</v>
      </c>
      <c r="K541" s="11">
        <f t="shared" si="16"/>
        <v>6556</v>
      </c>
      <c r="L541" s="12">
        <f>DATE(VALUE(RIGHT(Raw_Orders!E541,4)),VALUE(MID(Raw_Orders!E541,4,2)),VALUE(LEFT(Raw_Orders!E541,2)))</f>
        <v>45175</v>
      </c>
      <c r="M541" s="12">
        <f>DATE(VALUE(RIGHT(Raw_Orders!G541,4)),VALUE(MID(Raw_Orders!G541,4,2)),VALUE(LEFT(Raw_Orders!G541,2)))</f>
        <v>45178</v>
      </c>
      <c r="N541" s="7">
        <f t="shared" si="17"/>
        <v>3</v>
      </c>
      <c r="O541" s="7" t="str">
        <f>Raw_Orders!J541</f>
        <v>All Occasions</v>
      </c>
      <c r="P541" s="7" t="str">
        <f>Raw_Orders!I541</f>
        <v>Morbi</v>
      </c>
    </row>
    <row r="542" spans="1:16">
      <c r="A542" s="7" t="str">
        <f>Raw_Orders!A542</f>
        <v>541</v>
      </c>
      <c r="B542" s="7" t="str">
        <f>Raw_Orders!B542</f>
        <v>C007</v>
      </c>
      <c r="C542" s="7" t="str">
        <f>INDEX(Raw_Customers!$B$2:$B$101,MATCH($B542,Raw_Customers!$A$2:$A$101,0))</f>
        <v>Jayant Kamdar</v>
      </c>
      <c r="D542" s="7" t="str">
        <f>TRIM(INDEX(Raw_Customers!$C$2:$C$101,MATCH($B542,Raw_Customers!$A$2:$A$101,0)))</f>
        <v>Berhampore</v>
      </c>
      <c r="E542" s="7" t="str">
        <f>"+91-"&amp;RIGHT("0000000000"&amp;INDEX(Raw_Customers!$D$2:$D$101,MATCH($B542,Raw_Customers!$A$2:$A$101,0)),10)</f>
        <v>+91-8576675504</v>
      </c>
      <c r="F542" s="7" t="str">
        <f>Raw_Orders!C542</f>
        <v>24</v>
      </c>
      <c r="G542" s="7" t="str">
        <f>INDEX(Raw_Products!$B$2:$B$71,MATCH($F542,Raw_Products!$A$2:$A$71,0))</f>
        <v>Ad Box</v>
      </c>
      <c r="H542" s="7" t="str">
        <f>INDEX(Raw_Products!$C$2:$C$71,MATCH($F542,Raw_Products!$A$2:$A$71,0))</f>
        <v>Mugs</v>
      </c>
      <c r="I542" s="7">
        <f>VALUE(Raw_Orders!D542)</f>
        <v>3</v>
      </c>
      <c r="J542" s="11" t="str">
        <f>INDEX(Raw_Products!$D$2:$D$71,MATCH($F542,Raw_Products!$A$2:$A$71,0))</f>
        <v>535</v>
      </c>
      <c r="K542" s="11">
        <f t="shared" si="16"/>
        <v>1605</v>
      </c>
      <c r="L542" s="12">
        <f>DATE(VALUE(RIGHT(Raw_Orders!E542,4)),VALUE(MID(Raw_Orders!E542,4,2)),VALUE(LEFT(Raw_Orders!E542,2)))</f>
        <v>45243</v>
      </c>
      <c r="M542" s="12">
        <f>DATE(VALUE(RIGHT(Raw_Orders!G542,4)),VALUE(MID(Raw_Orders!G542,4,2)),VALUE(LEFT(Raw_Orders!G542,2)))</f>
        <v>45246</v>
      </c>
      <c r="N542" s="7">
        <f t="shared" si="17"/>
        <v>3</v>
      </c>
      <c r="O542" s="7" t="str">
        <f>Raw_Orders!J542</f>
        <v>Birthday</v>
      </c>
      <c r="P542" s="7" t="str">
        <f>Raw_Orders!I542</f>
        <v>Sasaram</v>
      </c>
    </row>
    <row r="543" spans="1:16">
      <c r="A543" s="7" t="str">
        <f>Raw_Orders!A543</f>
        <v>542</v>
      </c>
      <c r="B543" s="7" t="str">
        <f>Raw_Orders!B543</f>
        <v>C051</v>
      </c>
      <c r="C543" s="7" t="str">
        <f>INDEX(Raw_Customers!$B$2:$B$101,MATCH($B543,Raw_Customers!$A$2:$A$101,0))</f>
        <v>Aradhya Batta</v>
      </c>
      <c r="D543" s="7" t="str">
        <f>TRIM(INDEX(Raw_Customers!$C$2:$C$101,MATCH($B543,Raw_Customers!$A$2:$A$101,0)))</f>
        <v>Kota</v>
      </c>
      <c r="E543" s="7" t="str">
        <f>"+91-"&amp;RIGHT("0000000000"&amp;INDEX(Raw_Customers!$D$2:$D$101,MATCH($B543,Raw_Customers!$A$2:$A$101,0)),10)</f>
        <v>+91-1200621501</v>
      </c>
      <c r="F543" s="7" t="str">
        <f>Raw_Orders!C543</f>
        <v>54</v>
      </c>
      <c r="G543" s="7" t="str">
        <f>INDEX(Raw_Products!$B$2:$B$71,MATCH($F543,Raw_Products!$A$2:$A$71,0))</f>
        <v>Occaecati Gift</v>
      </c>
      <c r="H543" s="7" t="str">
        <f>INDEX(Raw_Products!$C$2:$C$71,MATCH($F543,Raw_Products!$A$2:$A$71,0))</f>
        <v>Cake</v>
      </c>
      <c r="I543" s="7">
        <f>VALUE(Raw_Orders!D543)</f>
        <v>5</v>
      </c>
      <c r="J543" s="11" t="str">
        <f>INDEX(Raw_Products!$D$2:$D$71,MATCH($F543,Raw_Products!$A$2:$A$71,0))</f>
        <v>1236</v>
      </c>
      <c r="K543" s="11">
        <f t="shared" si="16"/>
        <v>6180</v>
      </c>
      <c r="L543" s="12">
        <f>DATE(VALUE(RIGHT(Raw_Orders!E543,4)),VALUE(MID(Raw_Orders!E543,4,2)),VALUE(LEFT(Raw_Orders!E543,2)))</f>
        <v>45114</v>
      </c>
      <c r="M543" s="12">
        <f>DATE(VALUE(RIGHT(Raw_Orders!G543,4)),VALUE(MID(Raw_Orders!G543,4,2)),VALUE(LEFT(Raw_Orders!G543,2)))</f>
        <v>45119</v>
      </c>
      <c r="N543" s="7">
        <f t="shared" si="17"/>
        <v>5</v>
      </c>
      <c r="O543" s="7" t="str">
        <f>Raw_Orders!J543</f>
        <v>Anniversary</v>
      </c>
      <c r="P543" s="7" t="str">
        <f>Raw_Orders!I543</f>
        <v>Satara</v>
      </c>
    </row>
    <row r="544" spans="1:16">
      <c r="A544" s="7" t="str">
        <f>Raw_Orders!A544</f>
        <v>543</v>
      </c>
      <c r="B544" s="7" t="str">
        <f>Raw_Orders!B544</f>
        <v>C023</v>
      </c>
      <c r="C544" s="7" t="str">
        <f>INDEX(Raw_Customers!$B$2:$B$101,MATCH($B544,Raw_Customers!$A$2:$A$101,0))</f>
        <v>Abram Sandhu</v>
      </c>
      <c r="D544" s="7" t="str">
        <f>TRIM(INDEX(Raw_Customers!$C$2:$C$101,MATCH($B544,Raw_Customers!$A$2:$A$101,0)))</f>
        <v>Bidhannagar</v>
      </c>
      <c r="E544" s="7" t="str">
        <f>"+91-"&amp;RIGHT("0000000000"&amp;INDEX(Raw_Customers!$D$2:$D$101,MATCH($B544,Raw_Customers!$A$2:$A$101,0)),10)</f>
        <v>+91-7196287267</v>
      </c>
      <c r="F544" s="7" t="str">
        <f>Raw_Orders!C544</f>
        <v>51</v>
      </c>
      <c r="G544" s="7" t="str">
        <f>INDEX(Raw_Products!$B$2:$B$71,MATCH($F544,Raw_Products!$A$2:$A$71,0))</f>
        <v>Fugit Set</v>
      </c>
      <c r="H544" s="7" t="str">
        <f>INDEX(Raw_Products!$C$2:$C$71,MATCH($F544,Raw_Products!$A$2:$A$71,0))</f>
        <v>Soft Toys</v>
      </c>
      <c r="I544" s="7">
        <f>VALUE(Raw_Orders!D544)</f>
        <v>4</v>
      </c>
      <c r="J544" s="11" t="str">
        <f>INDEX(Raw_Products!$D$2:$D$71,MATCH($F544,Raw_Products!$A$2:$A$71,0))</f>
        <v>1084</v>
      </c>
      <c r="K544" s="11">
        <f t="shared" si="16"/>
        <v>4336</v>
      </c>
      <c r="L544" s="12">
        <f>DATE(VALUE(RIGHT(Raw_Orders!E544,4)),VALUE(MID(Raw_Orders!E544,4,2)),VALUE(LEFT(Raw_Orders!E544,2)))</f>
        <v>44969</v>
      </c>
      <c r="M544" s="12">
        <f>DATE(VALUE(RIGHT(Raw_Orders!G544,4)),VALUE(MID(Raw_Orders!G544,4,2)),VALUE(LEFT(Raw_Orders!G544,2)))</f>
        <v>44974</v>
      </c>
      <c r="N544" s="7">
        <f t="shared" si="17"/>
        <v>5</v>
      </c>
      <c r="O544" s="7" t="str">
        <f>Raw_Orders!J544</f>
        <v>All Occasions</v>
      </c>
      <c r="P544" s="7" t="str">
        <f>Raw_Orders!I544</f>
        <v>Saharanpur</v>
      </c>
    </row>
    <row r="545" spans="1:16">
      <c r="A545" s="7" t="str">
        <f>Raw_Orders!A545</f>
        <v>544</v>
      </c>
      <c r="B545" s="7" t="str">
        <f>Raw_Orders!B545</f>
        <v>C030</v>
      </c>
      <c r="C545" s="7" t="str">
        <f>INDEX(Raw_Customers!$B$2:$B$101,MATCH($B545,Raw_Customers!$A$2:$A$101,0))</f>
        <v>Vardaniya Contractor</v>
      </c>
      <c r="D545" s="7" t="str">
        <f>TRIM(INDEX(Raw_Customers!$C$2:$C$101,MATCH($B545,Raw_Customers!$A$2:$A$101,0)))</f>
        <v>Sambhal</v>
      </c>
      <c r="E545" s="7" t="str">
        <f>"+91-"&amp;RIGHT("0000000000"&amp;INDEX(Raw_Customers!$D$2:$D$101,MATCH($B545,Raw_Customers!$A$2:$A$101,0)),10)</f>
        <v>+91-9972300876</v>
      </c>
      <c r="F545" s="7" t="str">
        <f>Raw_Orders!C545</f>
        <v>29</v>
      </c>
      <c r="G545" s="7" t="str">
        <f>INDEX(Raw_Products!$B$2:$B$71,MATCH($F545,Raw_Products!$A$2:$A$71,0))</f>
        <v>In Set</v>
      </c>
      <c r="H545" s="7" t="str">
        <f>INDEX(Raw_Products!$C$2:$C$71,MATCH($F545,Raw_Products!$A$2:$A$71,0))</f>
        <v>Colors</v>
      </c>
      <c r="I545" s="7">
        <f>VALUE(Raw_Orders!D545)</f>
        <v>2</v>
      </c>
      <c r="J545" s="11" t="str">
        <f>INDEX(Raw_Products!$D$2:$D$71,MATCH($F545,Raw_Products!$A$2:$A$71,0))</f>
        <v>1252</v>
      </c>
      <c r="K545" s="11">
        <f t="shared" si="16"/>
        <v>2504</v>
      </c>
      <c r="L545" s="12">
        <f>DATE(VALUE(RIGHT(Raw_Orders!E545,4)),VALUE(MID(Raw_Orders!E545,4,2)),VALUE(LEFT(Raw_Orders!E545,2)))</f>
        <v>44986</v>
      </c>
      <c r="M545" s="12">
        <f>DATE(VALUE(RIGHT(Raw_Orders!G545,4)),VALUE(MID(Raw_Orders!G545,4,2)),VALUE(LEFT(Raw_Orders!G545,2)))</f>
        <v>44996</v>
      </c>
      <c r="N545" s="7">
        <f t="shared" si="17"/>
        <v>10</v>
      </c>
      <c r="O545" s="7" t="str">
        <f>Raw_Orders!J545</f>
        <v>Holi</v>
      </c>
      <c r="P545" s="7" t="str">
        <f>Raw_Orders!I545</f>
        <v>Belgaum</v>
      </c>
    </row>
    <row r="546" spans="1:16">
      <c r="A546" s="7" t="str">
        <f>Raw_Orders!A546</f>
        <v>545</v>
      </c>
      <c r="B546" s="7" t="str">
        <f>Raw_Orders!B546</f>
        <v>C083</v>
      </c>
      <c r="C546" s="7" t="str">
        <f>INDEX(Raw_Customers!$B$2:$B$101,MATCH($B546,Raw_Customers!$A$2:$A$101,0))</f>
        <v>Aaryahi Sodhi</v>
      </c>
      <c r="D546" s="7" t="str">
        <f>TRIM(INDEX(Raw_Customers!$C$2:$C$101,MATCH($B546,Raw_Customers!$A$2:$A$101,0)))</f>
        <v>Raurkela Industrial Township</v>
      </c>
      <c r="E546" s="7" t="str">
        <f>"+91-"&amp;RIGHT("0000000000"&amp;INDEX(Raw_Customers!$D$2:$D$101,MATCH($B546,Raw_Customers!$A$2:$A$101,0)),10)</f>
        <v>+91-2690208110</v>
      </c>
      <c r="F546" s="7" t="str">
        <f>Raw_Orders!C546</f>
        <v>9</v>
      </c>
      <c r="G546" s="7" t="str">
        <f>INDEX(Raw_Products!$B$2:$B$71,MATCH($F546,Raw_Products!$A$2:$A$71,0))</f>
        <v>Aperiam Box</v>
      </c>
      <c r="H546" s="7" t="str">
        <f>INDEX(Raw_Products!$C$2:$C$71,MATCH($F546,Raw_Products!$A$2:$A$71,0))</f>
        <v>Colors</v>
      </c>
      <c r="I546" s="7">
        <f>VALUE(Raw_Orders!D546)</f>
        <v>5</v>
      </c>
      <c r="J546" s="11" t="str">
        <f>INDEX(Raw_Products!$D$2:$D$71,MATCH($F546,Raw_Products!$A$2:$A$71,0))</f>
        <v>1605</v>
      </c>
      <c r="K546" s="11">
        <f t="shared" si="16"/>
        <v>8025</v>
      </c>
      <c r="L546" s="12">
        <f>DATE(VALUE(RIGHT(Raw_Orders!E546,4)),VALUE(MID(Raw_Orders!E546,4,2)),VALUE(LEFT(Raw_Orders!E546,2)))</f>
        <v>45158</v>
      </c>
      <c r="M546" s="12">
        <f>DATE(VALUE(RIGHT(Raw_Orders!G546,4)),VALUE(MID(Raw_Orders!G546,4,2)),VALUE(LEFT(Raw_Orders!G546,2)))</f>
        <v>45164</v>
      </c>
      <c r="N546" s="7">
        <f t="shared" si="17"/>
        <v>6</v>
      </c>
      <c r="O546" s="7" t="str">
        <f>Raw_Orders!J546</f>
        <v>Raksha Bandhan</v>
      </c>
      <c r="P546" s="7" t="str">
        <f>Raw_Orders!I546</f>
        <v>Ratlam</v>
      </c>
    </row>
    <row r="547" spans="1:16">
      <c r="A547" s="7" t="str">
        <f>Raw_Orders!A547</f>
        <v>546</v>
      </c>
      <c r="B547" s="7" t="str">
        <f>Raw_Orders!B547</f>
        <v>C064</v>
      </c>
      <c r="C547" s="7" t="str">
        <f>INDEX(Raw_Customers!$B$2:$B$101,MATCH($B547,Raw_Customers!$A$2:$A$101,0))</f>
        <v>Indrajit Kale</v>
      </c>
      <c r="D547" s="7" t="str">
        <f>TRIM(INDEX(Raw_Customers!$C$2:$C$101,MATCH($B547,Raw_Customers!$A$2:$A$101,0)))</f>
        <v>Srikakulam</v>
      </c>
      <c r="E547" s="7" t="str">
        <f>"+91-"&amp;RIGHT("0000000000"&amp;INDEX(Raw_Customers!$D$2:$D$101,MATCH($B547,Raw_Customers!$A$2:$A$101,0)),10)</f>
        <v>+91-6181058210</v>
      </c>
      <c r="F547" s="7" t="str">
        <f>Raw_Orders!C547</f>
        <v>25</v>
      </c>
      <c r="G547" s="7" t="str">
        <f>INDEX(Raw_Products!$B$2:$B$71,MATCH($F547,Raw_Products!$A$2:$A$71,0))</f>
        <v>Qui Gift</v>
      </c>
      <c r="H547" s="7" t="str">
        <f>INDEX(Raw_Products!$C$2:$C$71,MATCH($F547,Raw_Products!$A$2:$A$71,0))</f>
        <v>Plants</v>
      </c>
      <c r="I547" s="7">
        <f>VALUE(Raw_Orders!D547)</f>
        <v>3</v>
      </c>
      <c r="J547" s="11" t="str">
        <f>INDEX(Raw_Products!$D$2:$D$71,MATCH($F547,Raw_Products!$A$2:$A$71,0))</f>
        <v>1202</v>
      </c>
      <c r="K547" s="11">
        <f t="shared" si="16"/>
        <v>3606</v>
      </c>
      <c r="L547" s="12">
        <f>DATE(VALUE(RIGHT(Raw_Orders!E547,4)),VALUE(MID(Raw_Orders!E547,4,2)),VALUE(LEFT(Raw_Orders!E547,2)))</f>
        <v>44959</v>
      </c>
      <c r="M547" s="12">
        <f>DATE(VALUE(RIGHT(Raw_Orders!G547,4)),VALUE(MID(Raw_Orders!G547,4,2)),VALUE(LEFT(Raw_Orders!G547,2)))</f>
        <v>44968</v>
      </c>
      <c r="N547" s="7">
        <f t="shared" si="17"/>
        <v>9</v>
      </c>
      <c r="O547" s="7" t="str">
        <f>Raw_Orders!J547</f>
        <v>Anniversary</v>
      </c>
      <c r="P547" s="7" t="str">
        <f>Raw_Orders!I547</f>
        <v>Motihari</v>
      </c>
    </row>
    <row r="548" spans="1:16">
      <c r="A548" s="7" t="str">
        <f>Raw_Orders!A548</f>
        <v>547</v>
      </c>
      <c r="B548" s="7" t="str">
        <f>Raw_Orders!B548</f>
        <v>C088</v>
      </c>
      <c r="C548" s="7" t="str">
        <f>INDEX(Raw_Customers!$B$2:$B$101,MATCH($B548,Raw_Customers!$A$2:$A$101,0))</f>
        <v>Shalv Kulkarni</v>
      </c>
      <c r="D548" s="7" t="str">
        <f>TRIM(INDEX(Raw_Customers!$C$2:$C$101,MATCH($B548,Raw_Customers!$A$2:$A$101,0)))</f>
        <v>Khora</v>
      </c>
      <c r="E548" s="7" t="str">
        <f>"+91-"&amp;RIGHT("0000000000"&amp;INDEX(Raw_Customers!$D$2:$D$101,MATCH($B548,Raw_Customers!$A$2:$A$101,0)),10)</f>
        <v>+91-9113488461</v>
      </c>
      <c r="F548" s="7" t="str">
        <f>Raw_Orders!C548</f>
        <v>30</v>
      </c>
      <c r="G548" s="7" t="str">
        <f>INDEX(Raw_Products!$B$2:$B$71,MATCH($F548,Raw_Products!$A$2:$A$71,0))</f>
        <v>Recusandae Pack</v>
      </c>
      <c r="H548" s="7" t="str">
        <f>INDEX(Raw_Products!$C$2:$C$71,MATCH($F548,Raw_Products!$A$2:$A$71,0))</f>
        <v>Colors</v>
      </c>
      <c r="I548" s="7">
        <f>VALUE(Raw_Orders!D548)</f>
        <v>5</v>
      </c>
      <c r="J548" s="11" t="str">
        <f>INDEX(Raw_Products!$D$2:$D$71,MATCH($F548,Raw_Products!$A$2:$A$71,0))</f>
        <v>751</v>
      </c>
      <c r="K548" s="11">
        <f t="shared" si="16"/>
        <v>3755</v>
      </c>
      <c r="L548" s="12">
        <f>DATE(VALUE(RIGHT(Raw_Orders!E548,4)),VALUE(MID(Raw_Orders!E548,4,2)),VALUE(LEFT(Raw_Orders!E548,2)))</f>
        <v>44936</v>
      </c>
      <c r="M548" s="12">
        <f>DATE(VALUE(RIGHT(Raw_Orders!G548,4)),VALUE(MID(Raw_Orders!G548,4,2)),VALUE(LEFT(Raw_Orders!G548,2)))</f>
        <v>44945</v>
      </c>
      <c r="N548" s="7">
        <f t="shared" si="17"/>
        <v>9</v>
      </c>
      <c r="O548" s="7" t="str">
        <f>Raw_Orders!J548</f>
        <v>Anniversary</v>
      </c>
      <c r="P548" s="7" t="str">
        <f>Raw_Orders!I548</f>
        <v>Ahmedabad</v>
      </c>
    </row>
    <row r="549" spans="1:16">
      <c r="A549" s="7" t="str">
        <f>Raw_Orders!A549</f>
        <v>548</v>
      </c>
      <c r="B549" s="7" t="str">
        <f>Raw_Orders!B549</f>
        <v>C012</v>
      </c>
      <c r="C549" s="7" t="str">
        <f>INDEX(Raw_Customers!$B$2:$B$101,MATCH($B549,Raw_Customers!$A$2:$A$101,0))</f>
        <v>Onkar Mangat</v>
      </c>
      <c r="D549" s="7" t="str">
        <f>TRIM(INDEX(Raw_Customers!$C$2:$C$101,MATCH($B549,Raw_Customers!$A$2:$A$101,0)))</f>
        <v>Bilaspur</v>
      </c>
      <c r="E549" s="7" t="str">
        <f>"+91-"&amp;RIGHT("0000000000"&amp;INDEX(Raw_Customers!$D$2:$D$101,MATCH($B549,Raw_Customers!$A$2:$A$101,0)),10)</f>
        <v>+91-9921125624</v>
      </c>
      <c r="F549" s="7" t="str">
        <f>Raw_Orders!C549</f>
        <v>25</v>
      </c>
      <c r="G549" s="7" t="str">
        <f>INDEX(Raw_Products!$B$2:$B$71,MATCH($F549,Raw_Products!$A$2:$A$71,0))</f>
        <v>Qui Gift</v>
      </c>
      <c r="H549" s="7" t="str">
        <f>INDEX(Raw_Products!$C$2:$C$71,MATCH($F549,Raw_Products!$A$2:$A$71,0))</f>
        <v>Plants</v>
      </c>
      <c r="I549" s="7">
        <f>VALUE(Raw_Orders!D549)</f>
        <v>2</v>
      </c>
      <c r="J549" s="11" t="str">
        <f>INDEX(Raw_Products!$D$2:$D$71,MATCH($F549,Raw_Products!$A$2:$A$71,0))</f>
        <v>1202</v>
      </c>
      <c r="K549" s="11">
        <f t="shared" si="16"/>
        <v>2404</v>
      </c>
      <c r="L549" s="12">
        <f>DATE(VALUE(RIGHT(Raw_Orders!E549,4)),VALUE(MID(Raw_Orders!E549,4,2)),VALUE(LEFT(Raw_Orders!E549,2)))</f>
        <v>44978</v>
      </c>
      <c r="M549" s="12">
        <f>DATE(VALUE(RIGHT(Raw_Orders!G549,4)),VALUE(MID(Raw_Orders!G549,4,2)),VALUE(LEFT(Raw_Orders!G549,2)))</f>
        <v>44979</v>
      </c>
      <c r="N549" s="7">
        <f t="shared" si="17"/>
        <v>1</v>
      </c>
      <c r="O549" s="7" t="str">
        <f>Raw_Orders!J549</f>
        <v>Anniversary</v>
      </c>
      <c r="P549" s="7" t="str">
        <f>Raw_Orders!I549</f>
        <v>Gorakhpur</v>
      </c>
    </row>
    <row r="550" spans="1:16">
      <c r="A550" s="7" t="str">
        <f>Raw_Orders!A550</f>
        <v>549</v>
      </c>
      <c r="B550" s="7" t="str">
        <f>Raw_Orders!B550</f>
        <v>C021</v>
      </c>
      <c r="C550" s="7" t="str">
        <f>INDEX(Raw_Customers!$B$2:$B$101,MATCH($B550,Raw_Customers!$A$2:$A$101,0))</f>
        <v>Siya Talwar</v>
      </c>
      <c r="D550" s="7" t="str">
        <f>TRIM(INDEX(Raw_Customers!$C$2:$C$101,MATCH($B550,Raw_Customers!$A$2:$A$101,0)))</f>
        <v>Mehsana</v>
      </c>
      <c r="E550" s="7" t="str">
        <f>"+91-"&amp;RIGHT("0000000000"&amp;INDEX(Raw_Customers!$D$2:$D$101,MATCH($B550,Raw_Customers!$A$2:$A$101,0)),10)</f>
        <v>+91-5555408563</v>
      </c>
      <c r="F550" s="7" t="str">
        <f>Raw_Orders!C550</f>
        <v>64</v>
      </c>
      <c r="G550" s="7" t="str">
        <f>INDEX(Raw_Products!$B$2:$B$71,MATCH($F550,Raw_Products!$A$2:$A$71,0))</f>
        <v>Nostrum Box</v>
      </c>
      <c r="H550" s="7" t="str">
        <f>INDEX(Raw_Products!$C$2:$C$71,MATCH($F550,Raw_Products!$A$2:$A$71,0))</f>
        <v>Soft Toys</v>
      </c>
      <c r="I550" s="7">
        <f>VALUE(Raw_Orders!D550)</f>
        <v>1</v>
      </c>
      <c r="J550" s="11" t="str">
        <f>INDEX(Raw_Products!$D$2:$D$71,MATCH($F550,Raw_Products!$A$2:$A$71,0))</f>
        <v>1878</v>
      </c>
      <c r="K550" s="11">
        <f t="shared" si="16"/>
        <v>1878</v>
      </c>
      <c r="L550" s="12">
        <f>DATE(VALUE(RIGHT(Raw_Orders!E550,4)),VALUE(MID(Raw_Orders!E550,4,2)),VALUE(LEFT(Raw_Orders!E550,2)))</f>
        <v>45160</v>
      </c>
      <c r="M550" s="12">
        <f>DATE(VALUE(RIGHT(Raw_Orders!G550,4)),VALUE(MID(Raw_Orders!G550,4,2)),VALUE(LEFT(Raw_Orders!G550,2)))</f>
        <v>45170</v>
      </c>
      <c r="N550" s="7">
        <f t="shared" si="17"/>
        <v>10</v>
      </c>
      <c r="O550" s="7" t="str">
        <f>Raw_Orders!J550</f>
        <v>Raksha Bandhan</v>
      </c>
      <c r="P550" s="7" t="str">
        <f>Raw_Orders!I550</f>
        <v>Erode</v>
      </c>
    </row>
    <row r="551" spans="1:16">
      <c r="A551" s="7" t="str">
        <f>Raw_Orders!A551</f>
        <v>550</v>
      </c>
      <c r="B551" s="7" t="str">
        <f>Raw_Orders!B551</f>
        <v>C023</v>
      </c>
      <c r="C551" s="7" t="str">
        <f>INDEX(Raw_Customers!$B$2:$B$101,MATCH($B551,Raw_Customers!$A$2:$A$101,0))</f>
        <v>Abram Sandhu</v>
      </c>
      <c r="D551" s="7" t="str">
        <f>TRIM(INDEX(Raw_Customers!$C$2:$C$101,MATCH($B551,Raw_Customers!$A$2:$A$101,0)))</f>
        <v>Bidhannagar</v>
      </c>
      <c r="E551" s="7" t="str">
        <f>"+91-"&amp;RIGHT("0000000000"&amp;INDEX(Raw_Customers!$D$2:$D$101,MATCH($B551,Raw_Customers!$A$2:$A$101,0)),10)</f>
        <v>+91-7196287267</v>
      </c>
      <c r="F551" s="7" t="str">
        <f>Raw_Orders!C551</f>
        <v>29</v>
      </c>
      <c r="G551" s="7" t="str">
        <f>INDEX(Raw_Products!$B$2:$B$71,MATCH($F551,Raw_Products!$A$2:$A$71,0))</f>
        <v>In Set</v>
      </c>
      <c r="H551" s="7" t="str">
        <f>INDEX(Raw_Products!$C$2:$C$71,MATCH($F551,Raw_Products!$A$2:$A$71,0))</f>
        <v>Colors</v>
      </c>
      <c r="I551" s="7">
        <f>VALUE(Raw_Orders!D551)</f>
        <v>5</v>
      </c>
      <c r="J551" s="11" t="str">
        <f>INDEX(Raw_Products!$D$2:$D$71,MATCH($F551,Raw_Products!$A$2:$A$71,0))</f>
        <v>1252</v>
      </c>
      <c r="K551" s="11">
        <f t="shared" si="16"/>
        <v>6260</v>
      </c>
      <c r="L551" s="12">
        <f>DATE(VALUE(RIGHT(Raw_Orders!E551,4)),VALUE(MID(Raw_Orders!E551,4,2)),VALUE(LEFT(Raw_Orders!E551,2)))</f>
        <v>44984</v>
      </c>
      <c r="M551" s="12">
        <f>DATE(VALUE(RIGHT(Raw_Orders!G551,4)),VALUE(MID(Raw_Orders!G551,4,2)),VALUE(LEFT(Raw_Orders!G551,2)))</f>
        <v>44990</v>
      </c>
      <c r="N551" s="7">
        <f t="shared" si="17"/>
        <v>6</v>
      </c>
      <c r="O551" s="7" t="str">
        <f>Raw_Orders!J551</f>
        <v>Holi</v>
      </c>
      <c r="P551" s="7" t="str">
        <f>Raw_Orders!I551</f>
        <v>Bettiah</v>
      </c>
    </row>
    <row r="552" spans="1:16">
      <c r="A552" s="7" t="str">
        <f>Raw_Orders!A552</f>
        <v>551</v>
      </c>
      <c r="B552" s="7" t="str">
        <f>Raw_Orders!B552</f>
        <v>C088</v>
      </c>
      <c r="C552" s="7" t="str">
        <f>INDEX(Raw_Customers!$B$2:$B$101,MATCH($B552,Raw_Customers!$A$2:$A$101,0))</f>
        <v>Shalv Kulkarni</v>
      </c>
      <c r="D552" s="7" t="str">
        <f>TRIM(INDEX(Raw_Customers!$C$2:$C$101,MATCH($B552,Raw_Customers!$A$2:$A$101,0)))</f>
        <v>Khora</v>
      </c>
      <c r="E552" s="7" t="str">
        <f>"+91-"&amp;RIGHT("0000000000"&amp;INDEX(Raw_Customers!$D$2:$D$101,MATCH($B552,Raw_Customers!$A$2:$A$101,0)),10)</f>
        <v>+91-9113488461</v>
      </c>
      <c r="F552" s="7" t="str">
        <f>Raw_Orders!C552</f>
        <v>67</v>
      </c>
      <c r="G552" s="7" t="str">
        <f>INDEX(Raw_Products!$B$2:$B$71,MATCH($F552,Raw_Products!$A$2:$A$71,0))</f>
        <v>Maiores Box</v>
      </c>
      <c r="H552" s="7" t="str">
        <f>INDEX(Raw_Products!$C$2:$C$71,MATCH($F552,Raw_Products!$A$2:$A$71,0))</f>
        <v>Raksha Bandhan</v>
      </c>
      <c r="I552" s="7">
        <f>VALUE(Raw_Orders!D552)</f>
        <v>1</v>
      </c>
      <c r="J552" s="11" t="str">
        <f>INDEX(Raw_Products!$D$2:$D$71,MATCH($F552,Raw_Products!$A$2:$A$71,0))</f>
        <v>1374</v>
      </c>
      <c r="K552" s="11">
        <f t="shared" si="16"/>
        <v>1374</v>
      </c>
      <c r="L552" s="12">
        <f>DATE(VALUE(RIGHT(Raw_Orders!E552,4)),VALUE(MID(Raw_Orders!E552,4,2)),VALUE(LEFT(Raw_Orders!E552,2)))</f>
        <v>45035</v>
      </c>
      <c r="M552" s="12">
        <f>DATE(VALUE(RIGHT(Raw_Orders!G552,4)),VALUE(MID(Raw_Orders!G552,4,2)),VALUE(LEFT(Raw_Orders!G552,2)))</f>
        <v>45039</v>
      </c>
      <c r="N552" s="7">
        <f t="shared" si="17"/>
        <v>4</v>
      </c>
      <c r="O552" s="7" t="str">
        <f>Raw_Orders!J552</f>
        <v>Anniversary</v>
      </c>
      <c r="P552" s="7" t="str">
        <f>Raw_Orders!I552</f>
        <v>Kurnool</v>
      </c>
    </row>
    <row r="553" spans="1:16">
      <c r="A553" s="7" t="str">
        <f>Raw_Orders!A553</f>
        <v>552</v>
      </c>
      <c r="B553" s="7" t="str">
        <f>Raw_Orders!B553</f>
        <v>C064</v>
      </c>
      <c r="C553" s="7" t="str">
        <f>INDEX(Raw_Customers!$B$2:$B$101,MATCH($B553,Raw_Customers!$A$2:$A$101,0))</f>
        <v>Indrajit Kale</v>
      </c>
      <c r="D553" s="7" t="str">
        <f>TRIM(INDEX(Raw_Customers!$C$2:$C$101,MATCH($B553,Raw_Customers!$A$2:$A$101,0)))</f>
        <v>Srikakulam</v>
      </c>
      <c r="E553" s="7" t="str">
        <f>"+91-"&amp;RIGHT("0000000000"&amp;INDEX(Raw_Customers!$D$2:$D$101,MATCH($B553,Raw_Customers!$A$2:$A$101,0)),10)</f>
        <v>+91-6181058210</v>
      </c>
      <c r="F553" s="7" t="str">
        <f>Raw_Orders!C553</f>
        <v>31</v>
      </c>
      <c r="G553" s="7" t="str">
        <f>INDEX(Raw_Products!$B$2:$B$71,MATCH($F553,Raw_Products!$A$2:$A$71,0))</f>
        <v>Nihil Box</v>
      </c>
      <c r="H553" s="7" t="str">
        <f>INDEX(Raw_Products!$C$2:$C$71,MATCH($F553,Raw_Products!$A$2:$A$71,0))</f>
        <v>Colors</v>
      </c>
      <c r="I553" s="7">
        <f>VALUE(Raw_Orders!D553)</f>
        <v>3</v>
      </c>
      <c r="J553" s="11" t="str">
        <f>INDEX(Raw_Products!$D$2:$D$71,MATCH($F553,Raw_Products!$A$2:$A$71,0))</f>
        <v>1804</v>
      </c>
      <c r="K553" s="11">
        <f t="shared" si="16"/>
        <v>5412</v>
      </c>
      <c r="L553" s="12">
        <f>DATE(VALUE(RIGHT(Raw_Orders!E553,4)),VALUE(MID(Raw_Orders!E553,4,2)),VALUE(LEFT(Raw_Orders!E553,2)))</f>
        <v>45056</v>
      </c>
      <c r="M553" s="12">
        <f>DATE(VALUE(RIGHT(Raw_Orders!G553,4)),VALUE(MID(Raw_Orders!G553,4,2)),VALUE(LEFT(Raw_Orders!G553,2)))</f>
        <v>45057</v>
      </c>
      <c r="N553" s="7">
        <f t="shared" si="17"/>
        <v>1</v>
      </c>
      <c r="O553" s="7" t="str">
        <f>Raw_Orders!J553</f>
        <v>All Occasions</v>
      </c>
      <c r="P553" s="7" t="str">
        <f>Raw_Orders!I553</f>
        <v>Tezpur</v>
      </c>
    </row>
    <row r="554" spans="1:16">
      <c r="A554" s="7" t="str">
        <f>Raw_Orders!A554</f>
        <v>553</v>
      </c>
      <c r="B554" s="7" t="str">
        <f>Raw_Orders!B554</f>
        <v>C084</v>
      </c>
      <c r="C554" s="7" t="str">
        <f>INDEX(Raw_Customers!$B$2:$B$101,MATCH($B554,Raw_Customers!$A$2:$A$101,0))</f>
        <v>Anahita Shankar</v>
      </c>
      <c r="D554" s="7" t="str">
        <f>TRIM(INDEX(Raw_Customers!$C$2:$C$101,MATCH($B554,Raw_Customers!$A$2:$A$101,0)))</f>
        <v>Tiruchirappalli</v>
      </c>
      <c r="E554" s="7" t="str">
        <f>"+91-"&amp;RIGHT("0000000000"&amp;INDEX(Raw_Customers!$D$2:$D$101,MATCH($B554,Raw_Customers!$A$2:$A$101,0)),10)</f>
        <v>+91-2205603376</v>
      </c>
      <c r="F554" s="7" t="str">
        <f>Raw_Orders!C554</f>
        <v>39</v>
      </c>
      <c r="G554" s="7" t="str">
        <f>INDEX(Raw_Products!$B$2:$B$71,MATCH($F554,Raw_Products!$A$2:$A$71,0))</f>
        <v>Voluptate Set</v>
      </c>
      <c r="H554" s="7" t="str">
        <f>INDEX(Raw_Products!$C$2:$C$71,MATCH($F554,Raw_Products!$A$2:$A$71,0))</f>
        <v>Mugs</v>
      </c>
      <c r="I554" s="7">
        <f>VALUE(Raw_Orders!D554)</f>
        <v>2</v>
      </c>
      <c r="J554" s="11" t="str">
        <f>INDEX(Raw_Products!$D$2:$D$71,MATCH($F554,Raw_Products!$A$2:$A$71,0))</f>
        <v>387</v>
      </c>
      <c r="K554" s="11">
        <f t="shared" si="16"/>
        <v>774</v>
      </c>
      <c r="L554" s="12">
        <f>DATE(VALUE(RIGHT(Raw_Orders!E554,4)),VALUE(MID(Raw_Orders!E554,4,2)),VALUE(LEFT(Raw_Orders!E554,2)))</f>
        <v>45160</v>
      </c>
      <c r="M554" s="12">
        <f>DATE(VALUE(RIGHT(Raw_Orders!G554,4)),VALUE(MID(Raw_Orders!G554,4,2)),VALUE(LEFT(Raw_Orders!G554,2)))</f>
        <v>45164</v>
      </c>
      <c r="N554" s="7">
        <f t="shared" si="17"/>
        <v>4</v>
      </c>
      <c r="O554" s="7" t="str">
        <f>Raw_Orders!J554</f>
        <v>All Occasions</v>
      </c>
      <c r="P554" s="7" t="str">
        <f>Raw_Orders!I554</f>
        <v>Alwar</v>
      </c>
    </row>
    <row r="555" spans="1:16">
      <c r="A555" s="7" t="str">
        <f>Raw_Orders!A555</f>
        <v>554</v>
      </c>
      <c r="B555" s="7" t="str">
        <f>Raw_Orders!B555</f>
        <v>C045</v>
      </c>
      <c r="C555" s="7" t="str">
        <f>INDEX(Raw_Customers!$B$2:$B$101,MATCH($B555,Raw_Customers!$A$2:$A$101,0))</f>
        <v>Divit Mahajan</v>
      </c>
      <c r="D555" s="7" t="str">
        <f>TRIM(INDEX(Raw_Customers!$C$2:$C$101,MATCH($B555,Raw_Customers!$A$2:$A$101,0)))</f>
        <v>Maheshtala</v>
      </c>
      <c r="E555" s="7" t="str">
        <f>"+91-"&amp;RIGHT("0000000000"&amp;INDEX(Raw_Customers!$D$2:$D$101,MATCH($B555,Raw_Customers!$A$2:$A$101,0)),10)</f>
        <v>+91-6789522856</v>
      </c>
      <c r="F555" s="7" t="str">
        <f>Raw_Orders!C555</f>
        <v>29</v>
      </c>
      <c r="G555" s="7" t="str">
        <f>INDEX(Raw_Products!$B$2:$B$71,MATCH($F555,Raw_Products!$A$2:$A$71,0))</f>
        <v>In Set</v>
      </c>
      <c r="H555" s="7" t="str">
        <f>INDEX(Raw_Products!$C$2:$C$71,MATCH($F555,Raw_Products!$A$2:$A$71,0))</f>
        <v>Colors</v>
      </c>
      <c r="I555" s="7">
        <f>VALUE(Raw_Orders!D555)</f>
        <v>4</v>
      </c>
      <c r="J555" s="11" t="str">
        <f>INDEX(Raw_Products!$D$2:$D$71,MATCH($F555,Raw_Products!$A$2:$A$71,0))</f>
        <v>1252</v>
      </c>
      <c r="K555" s="11">
        <f t="shared" si="16"/>
        <v>5008</v>
      </c>
      <c r="L555" s="12">
        <f>DATE(VALUE(RIGHT(Raw_Orders!E555,4)),VALUE(MID(Raw_Orders!E555,4,2)),VALUE(LEFT(Raw_Orders!E555,2)))</f>
        <v>44985</v>
      </c>
      <c r="M555" s="12">
        <f>DATE(VALUE(RIGHT(Raw_Orders!G555,4)),VALUE(MID(Raw_Orders!G555,4,2)),VALUE(LEFT(Raw_Orders!G555,2)))</f>
        <v>44988</v>
      </c>
      <c r="N555" s="7">
        <f t="shared" si="17"/>
        <v>3</v>
      </c>
      <c r="O555" s="7" t="str">
        <f>Raw_Orders!J555</f>
        <v>Holi</v>
      </c>
      <c r="P555" s="7" t="str">
        <f>Raw_Orders!I555</f>
        <v>Sangli-Miraj &amp; Kupwad</v>
      </c>
    </row>
    <row r="556" spans="1:16">
      <c r="A556" s="7" t="str">
        <f>Raw_Orders!A556</f>
        <v>555</v>
      </c>
      <c r="B556" s="7" t="str">
        <f>Raw_Orders!B556</f>
        <v>C100</v>
      </c>
      <c r="C556" s="7" t="str">
        <f>INDEX(Raw_Customers!$B$2:$B$101,MATCH($B556,Raw_Customers!$A$2:$A$101,0))</f>
        <v>Pranay Chaudhary</v>
      </c>
      <c r="D556" s="7" t="str">
        <f>TRIM(INDEX(Raw_Customers!$C$2:$C$101,MATCH($B556,Raw_Customers!$A$2:$A$101,0)))</f>
        <v>Phagwara</v>
      </c>
      <c r="E556" s="7" t="str">
        <f>"+91-"&amp;RIGHT("0000000000"&amp;INDEX(Raw_Customers!$D$2:$D$101,MATCH($B556,Raw_Customers!$A$2:$A$101,0)),10)</f>
        <v>+91-9478540370</v>
      </c>
      <c r="F556" s="7" t="str">
        <f>Raw_Orders!C556</f>
        <v>56</v>
      </c>
      <c r="G556" s="7" t="str">
        <f>INDEX(Raw_Products!$B$2:$B$71,MATCH($F556,Raw_Products!$A$2:$A$71,0))</f>
        <v>Quia Gift</v>
      </c>
      <c r="H556" s="7" t="str">
        <f>INDEX(Raw_Products!$C$2:$C$71,MATCH($F556,Raw_Products!$A$2:$A$71,0))</f>
        <v>Raksha Bandhan</v>
      </c>
      <c r="I556" s="7">
        <f>VALUE(Raw_Orders!D556)</f>
        <v>4</v>
      </c>
      <c r="J556" s="11" t="str">
        <f>INDEX(Raw_Products!$D$2:$D$71,MATCH($F556,Raw_Products!$A$2:$A$71,0))</f>
        <v>1272</v>
      </c>
      <c r="K556" s="11">
        <f t="shared" si="16"/>
        <v>5088</v>
      </c>
      <c r="L556" s="12">
        <f>DATE(VALUE(RIGHT(Raw_Orders!E556,4)),VALUE(MID(Raw_Orders!E556,4,2)),VALUE(LEFT(Raw_Orders!E556,2)))</f>
        <v>45105</v>
      </c>
      <c r="M556" s="12">
        <f>DATE(VALUE(RIGHT(Raw_Orders!G556,4)),VALUE(MID(Raw_Orders!G556,4,2)),VALUE(LEFT(Raw_Orders!G556,2)))</f>
        <v>45107</v>
      </c>
      <c r="N556" s="7">
        <f t="shared" si="17"/>
        <v>2</v>
      </c>
      <c r="O556" s="7" t="str">
        <f>Raw_Orders!J556</f>
        <v>Anniversary</v>
      </c>
      <c r="P556" s="7" t="str">
        <f>Raw_Orders!I556</f>
        <v>Ratlam</v>
      </c>
    </row>
    <row r="557" spans="1:16">
      <c r="A557" s="7" t="str">
        <f>Raw_Orders!A557</f>
        <v>556</v>
      </c>
      <c r="B557" s="7" t="str">
        <f>Raw_Orders!B557</f>
        <v>C073</v>
      </c>
      <c r="C557" s="7" t="str">
        <f>INDEX(Raw_Customers!$B$2:$B$101,MATCH($B557,Raw_Customers!$A$2:$A$101,0))</f>
        <v>Zeeshan Tailor</v>
      </c>
      <c r="D557" s="7" t="str">
        <f>TRIM(INDEX(Raw_Customers!$C$2:$C$101,MATCH($B557,Raw_Customers!$A$2:$A$101,0)))</f>
        <v>Parbhani</v>
      </c>
      <c r="E557" s="7" t="str">
        <f>"+91-"&amp;RIGHT("0000000000"&amp;INDEX(Raw_Customers!$D$2:$D$101,MATCH($B557,Raw_Customers!$A$2:$A$101,0)),10)</f>
        <v>+91-8037721297</v>
      </c>
      <c r="F557" s="7" t="str">
        <f>Raw_Orders!C557</f>
        <v>17</v>
      </c>
      <c r="G557" s="7" t="str">
        <f>INDEX(Raw_Products!$B$2:$B$71,MATCH($F557,Raw_Products!$A$2:$A$71,0))</f>
        <v>Delectus Gift</v>
      </c>
      <c r="H557" s="7" t="str">
        <f>INDEX(Raw_Products!$C$2:$C$71,MATCH($F557,Raw_Products!$A$2:$A$71,0))</f>
        <v>Soft Toys</v>
      </c>
      <c r="I557" s="7">
        <f>VALUE(Raw_Orders!D557)</f>
        <v>1</v>
      </c>
      <c r="J557" s="11" t="str">
        <f>INDEX(Raw_Products!$D$2:$D$71,MATCH($F557,Raw_Products!$A$2:$A$71,0))</f>
        <v>1899</v>
      </c>
      <c r="K557" s="11">
        <f t="shared" si="16"/>
        <v>1899</v>
      </c>
      <c r="L557" s="12">
        <f>DATE(VALUE(RIGHT(Raw_Orders!E557,4)),VALUE(MID(Raw_Orders!E557,4,2)),VALUE(LEFT(Raw_Orders!E557,2)))</f>
        <v>45273</v>
      </c>
      <c r="M557" s="12">
        <f>DATE(VALUE(RIGHT(Raw_Orders!G557,4)),VALUE(MID(Raw_Orders!G557,4,2)),VALUE(LEFT(Raw_Orders!G557,2)))</f>
        <v>45281</v>
      </c>
      <c r="N557" s="7">
        <f t="shared" si="17"/>
        <v>8</v>
      </c>
      <c r="O557" s="7" t="str">
        <f>Raw_Orders!J557</f>
        <v>Anniversary</v>
      </c>
      <c r="P557" s="7" t="str">
        <f>Raw_Orders!I557</f>
        <v>Cuttack</v>
      </c>
    </row>
    <row r="558" spans="1:16">
      <c r="A558" s="7" t="str">
        <f>Raw_Orders!A558</f>
        <v>557</v>
      </c>
      <c r="B558" s="7" t="str">
        <f>Raw_Orders!B558</f>
        <v>C039</v>
      </c>
      <c r="C558" s="7" t="str">
        <f>INDEX(Raw_Customers!$B$2:$B$101,MATCH($B558,Raw_Customers!$A$2:$A$101,0))</f>
        <v>Kaira Bahl</v>
      </c>
      <c r="D558" s="7" t="str">
        <f>TRIM(INDEX(Raw_Customers!$C$2:$C$101,MATCH($B558,Raw_Customers!$A$2:$A$101,0)))</f>
        <v>Kamarhati</v>
      </c>
      <c r="E558" s="7" t="str">
        <f>"+91-"&amp;RIGHT("0000000000"&amp;INDEX(Raw_Customers!$D$2:$D$101,MATCH($B558,Raw_Customers!$A$2:$A$101,0)),10)</f>
        <v>+91-8804850295</v>
      </c>
      <c r="F558" s="7" t="str">
        <f>Raw_Orders!C558</f>
        <v>47</v>
      </c>
      <c r="G558" s="7" t="str">
        <f>INDEX(Raw_Products!$B$2:$B$71,MATCH($F558,Raw_Products!$A$2:$A$71,0))</f>
        <v>Harum Pack</v>
      </c>
      <c r="H558" s="7" t="str">
        <f>INDEX(Raw_Products!$C$2:$C$71,MATCH($F558,Raw_Products!$A$2:$A$71,0))</f>
        <v>Colors</v>
      </c>
      <c r="I558" s="7">
        <f>VALUE(Raw_Orders!D558)</f>
        <v>3</v>
      </c>
      <c r="J558" s="11" t="str">
        <f>INDEX(Raw_Products!$D$2:$D$71,MATCH($F558,Raw_Products!$A$2:$A$71,0))</f>
        <v>1638</v>
      </c>
      <c r="K558" s="11">
        <f t="shared" si="16"/>
        <v>4914</v>
      </c>
      <c r="L558" s="12">
        <f>DATE(VALUE(RIGHT(Raw_Orders!E558,4)),VALUE(MID(Raw_Orders!E558,4,2)),VALUE(LEFT(Raw_Orders!E558,2)))</f>
        <v>44986</v>
      </c>
      <c r="M558" s="12">
        <f>DATE(VALUE(RIGHT(Raw_Orders!G558,4)),VALUE(MID(Raw_Orders!G558,4,2)),VALUE(LEFT(Raw_Orders!G558,2)))</f>
        <v>44993</v>
      </c>
      <c r="N558" s="7">
        <f t="shared" si="17"/>
        <v>7</v>
      </c>
      <c r="O558" s="7" t="str">
        <f>Raw_Orders!J558</f>
        <v>Holi</v>
      </c>
      <c r="P558" s="7" t="str">
        <f>Raw_Orders!I558</f>
        <v>Kavali</v>
      </c>
    </row>
    <row r="559" spans="1:16">
      <c r="A559" s="7" t="str">
        <f>Raw_Orders!A559</f>
        <v>558</v>
      </c>
      <c r="B559" s="7" t="str">
        <f>Raw_Orders!B559</f>
        <v>C091</v>
      </c>
      <c r="C559" s="7" t="str">
        <f>INDEX(Raw_Customers!$B$2:$B$101,MATCH($B559,Raw_Customers!$A$2:$A$101,0))</f>
        <v>Adira Rajan</v>
      </c>
      <c r="D559" s="7" t="str">
        <f>TRIM(INDEX(Raw_Customers!$C$2:$C$101,MATCH($B559,Raw_Customers!$A$2:$A$101,0)))</f>
        <v>New Delhi</v>
      </c>
      <c r="E559" s="7" t="str">
        <f>"+91-"&amp;RIGHT("0000000000"&amp;INDEX(Raw_Customers!$D$2:$D$101,MATCH($B559,Raw_Customers!$A$2:$A$101,0)),10)</f>
        <v>+91-5525478357</v>
      </c>
      <c r="F559" s="7" t="str">
        <f>Raw_Orders!C559</f>
        <v>64</v>
      </c>
      <c r="G559" s="7" t="str">
        <f>INDEX(Raw_Products!$B$2:$B$71,MATCH($F559,Raw_Products!$A$2:$A$71,0))</f>
        <v>Nostrum Box</v>
      </c>
      <c r="H559" s="7" t="str">
        <f>INDEX(Raw_Products!$C$2:$C$71,MATCH($F559,Raw_Products!$A$2:$A$71,0))</f>
        <v>Soft Toys</v>
      </c>
      <c r="I559" s="7">
        <f>VALUE(Raw_Orders!D559)</f>
        <v>3</v>
      </c>
      <c r="J559" s="11" t="str">
        <f>INDEX(Raw_Products!$D$2:$D$71,MATCH($F559,Raw_Products!$A$2:$A$71,0))</f>
        <v>1878</v>
      </c>
      <c r="K559" s="11">
        <f t="shared" si="16"/>
        <v>5634</v>
      </c>
      <c r="L559" s="12">
        <f>DATE(VALUE(RIGHT(Raw_Orders!E559,4)),VALUE(MID(Raw_Orders!E559,4,2)),VALUE(LEFT(Raw_Orders!E559,2)))</f>
        <v>45160</v>
      </c>
      <c r="M559" s="12">
        <f>DATE(VALUE(RIGHT(Raw_Orders!G559,4)),VALUE(MID(Raw_Orders!G559,4,2)),VALUE(LEFT(Raw_Orders!G559,2)))</f>
        <v>45163</v>
      </c>
      <c r="N559" s="7">
        <f t="shared" si="17"/>
        <v>3</v>
      </c>
      <c r="O559" s="7" t="str">
        <f>Raw_Orders!J559</f>
        <v>Raksha Bandhan</v>
      </c>
      <c r="P559" s="7" t="str">
        <f>Raw_Orders!I559</f>
        <v>Muzaffarpur</v>
      </c>
    </row>
    <row r="560" spans="1:16">
      <c r="A560" s="7" t="str">
        <f>Raw_Orders!A560</f>
        <v>559</v>
      </c>
      <c r="B560" s="7" t="str">
        <f>Raw_Orders!B560</f>
        <v>C084</v>
      </c>
      <c r="C560" s="7" t="str">
        <f>INDEX(Raw_Customers!$B$2:$B$101,MATCH($B560,Raw_Customers!$A$2:$A$101,0))</f>
        <v>Anahita Shankar</v>
      </c>
      <c r="D560" s="7" t="str">
        <f>TRIM(INDEX(Raw_Customers!$C$2:$C$101,MATCH($B560,Raw_Customers!$A$2:$A$101,0)))</f>
        <v>Tiruchirappalli</v>
      </c>
      <c r="E560" s="7" t="str">
        <f>"+91-"&amp;RIGHT("0000000000"&amp;INDEX(Raw_Customers!$D$2:$D$101,MATCH($B560,Raw_Customers!$A$2:$A$101,0)),10)</f>
        <v>+91-2205603376</v>
      </c>
      <c r="F560" s="7" t="str">
        <f>Raw_Orders!C560</f>
        <v>45</v>
      </c>
      <c r="G560" s="7" t="str">
        <f>INDEX(Raw_Products!$B$2:$B$71,MATCH($F560,Raw_Products!$A$2:$A$71,0))</f>
        <v>Iusto Set</v>
      </c>
      <c r="H560" s="7" t="str">
        <f>INDEX(Raw_Products!$C$2:$C$71,MATCH($F560,Raw_Products!$A$2:$A$71,0))</f>
        <v>Raksha Bandhan</v>
      </c>
      <c r="I560" s="7">
        <f>VALUE(Raw_Orders!D560)</f>
        <v>1</v>
      </c>
      <c r="J560" s="11" t="str">
        <f>INDEX(Raw_Products!$D$2:$D$71,MATCH($F560,Raw_Products!$A$2:$A$71,0))</f>
        <v>722</v>
      </c>
      <c r="K560" s="11">
        <f t="shared" si="16"/>
        <v>722</v>
      </c>
      <c r="L560" s="12">
        <f>DATE(VALUE(RIGHT(Raw_Orders!E560,4)),VALUE(MID(Raw_Orders!E560,4,2)),VALUE(LEFT(Raw_Orders!E560,2)))</f>
        <v>45279</v>
      </c>
      <c r="M560" s="12">
        <f>DATE(VALUE(RIGHT(Raw_Orders!G560,4)),VALUE(MID(Raw_Orders!G560,4,2)),VALUE(LEFT(Raw_Orders!G560,2)))</f>
        <v>45286</v>
      </c>
      <c r="N560" s="7">
        <f t="shared" si="17"/>
        <v>7</v>
      </c>
      <c r="O560" s="7" t="str">
        <f>Raw_Orders!J560</f>
        <v>Birthday</v>
      </c>
      <c r="P560" s="7" t="str">
        <f>Raw_Orders!I560</f>
        <v>Mau</v>
      </c>
    </row>
    <row r="561" spans="1:16">
      <c r="A561" s="7" t="str">
        <f>Raw_Orders!A561</f>
        <v>560</v>
      </c>
      <c r="B561" s="7" t="str">
        <f>Raw_Orders!B561</f>
        <v>C019</v>
      </c>
      <c r="C561" s="7" t="str">
        <f>INDEX(Raw_Customers!$B$2:$B$101,MATCH($B561,Raw_Customers!$A$2:$A$101,0))</f>
        <v>Amira Sengupta</v>
      </c>
      <c r="D561" s="7" t="str">
        <f>TRIM(INDEX(Raw_Customers!$C$2:$C$101,MATCH($B561,Raw_Customers!$A$2:$A$101,0)))</f>
        <v>Danapur</v>
      </c>
      <c r="E561" s="7" t="str">
        <f>"+91-"&amp;RIGHT("0000000000"&amp;INDEX(Raw_Customers!$D$2:$D$101,MATCH($B561,Raw_Customers!$A$2:$A$101,0)),10)</f>
        <v>+91-4513393592</v>
      </c>
      <c r="F561" s="7" t="str">
        <f>Raw_Orders!C561</f>
        <v>39</v>
      </c>
      <c r="G561" s="7" t="str">
        <f>INDEX(Raw_Products!$B$2:$B$71,MATCH($F561,Raw_Products!$A$2:$A$71,0))</f>
        <v>Voluptate Set</v>
      </c>
      <c r="H561" s="7" t="str">
        <f>INDEX(Raw_Products!$C$2:$C$71,MATCH($F561,Raw_Products!$A$2:$A$71,0))</f>
        <v>Mugs</v>
      </c>
      <c r="I561" s="7">
        <f>VALUE(Raw_Orders!D561)</f>
        <v>2</v>
      </c>
      <c r="J561" s="11" t="str">
        <f>INDEX(Raw_Products!$D$2:$D$71,MATCH($F561,Raw_Products!$A$2:$A$71,0))</f>
        <v>387</v>
      </c>
      <c r="K561" s="11">
        <f t="shared" si="16"/>
        <v>774</v>
      </c>
      <c r="L561" s="12">
        <f>DATE(VALUE(RIGHT(Raw_Orders!E561,4)),VALUE(MID(Raw_Orders!E561,4,2)),VALUE(LEFT(Raw_Orders!E561,2)))</f>
        <v>45142</v>
      </c>
      <c r="M561" s="12">
        <f>DATE(VALUE(RIGHT(Raw_Orders!G561,4)),VALUE(MID(Raw_Orders!G561,4,2)),VALUE(LEFT(Raw_Orders!G561,2)))</f>
        <v>45147</v>
      </c>
      <c r="N561" s="7">
        <f t="shared" si="17"/>
        <v>5</v>
      </c>
      <c r="O561" s="7" t="str">
        <f>Raw_Orders!J561</f>
        <v>All Occasions</v>
      </c>
      <c r="P561" s="7" t="str">
        <f>Raw_Orders!I561</f>
        <v>Avadi</v>
      </c>
    </row>
    <row r="562" spans="1:16">
      <c r="A562" s="7" t="str">
        <f>Raw_Orders!A562</f>
        <v>561</v>
      </c>
      <c r="B562" s="7" t="str">
        <f>Raw_Orders!B562</f>
        <v>C099</v>
      </c>
      <c r="C562" s="7" t="str">
        <f>INDEX(Raw_Customers!$B$2:$B$101,MATCH($B562,Raw_Customers!$A$2:$A$101,0))</f>
        <v>Ranbir Loyal</v>
      </c>
      <c r="D562" s="7" t="str">
        <f>TRIM(INDEX(Raw_Customers!$C$2:$C$101,MATCH($B562,Raw_Customers!$A$2:$A$101,0)))</f>
        <v>Dhanbad</v>
      </c>
      <c r="E562" s="7" t="str">
        <f>"+91-"&amp;RIGHT("0000000000"&amp;INDEX(Raw_Customers!$D$2:$D$101,MATCH($B562,Raw_Customers!$A$2:$A$101,0)),10)</f>
        <v>+91-3621448305</v>
      </c>
      <c r="F562" s="7" t="str">
        <f>Raw_Orders!C562</f>
        <v>49</v>
      </c>
      <c r="G562" s="7" t="str">
        <f>INDEX(Raw_Products!$B$2:$B$71,MATCH($F562,Raw_Products!$A$2:$A$71,0))</f>
        <v>Voluptate Pack</v>
      </c>
      <c r="H562" s="7" t="str">
        <f>INDEX(Raw_Products!$C$2:$C$71,MATCH($F562,Raw_Products!$A$2:$A$71,0))</f>
        <v>Colors</v>
      </c>
      <c r="I562" s="7">
        <f>VALUE(Raw_Orders!D562)</f>
        <v>5</v>
      </c>
      <c r="J562" s="11" t="str">
        <f>INDEX(Raw_Products!$D$2:$D$71,MATCH($F562,Raw_Products!$A$2:$A$71,0))</f>
        <v>903</v>
      </c>
      <c r="K562" s="11">
        <f t="shared" si="16"/>
        <v>4515</v>
      </c>
      <c r="L562" s="12">
        <f>DATE(VALUE(RIGHT(Raw_Orders!E562,4)),VALUE(MID(Raw_Orders!E562,4,2)),VALUE(LEFT(Raw_Orders!E562,2)))</f>
        <v>44969</v>
      </c>
      <c r="M562" s="12">
        <f>DATE(VALUE(RIGHT(Raw_Orders!G562,4)),VALUE(MID(Raw_Orders!G562,4,2)),VALUE(LEFT(Raw_Orders!G562,2)))</f>
        <v>44978</v>
      </c>
      <c r="N562" s="7">
        <f t="shared" si="17"/>
        <v>9</v>
      </c>
      <c r="O562" s="7" t="str">
        <f>Raw_Orders!J562</f>
        <v>Valentine's Day</v>
      </c>
      <c r="P562" s="7" t="str">
        <f>Raw_Orders!I562</f>
        <v>Ghaziabad</v>
      </c>
    </row>
    <row r="563" spans="1:16">
      <c r="A563" s="7" t="str">
        <f>Raw_Orders!A563</f>
        <v>562</v>
      </c>
      <c r="B563" s="7" t="str">
        <f>Raw_Orders!B563</f>
        <v>C066</v>
      </c>
      <c r="C563" s="7" t="str">
        <f>INDEX(Raw_Customers!$B$2:$B$101,MATCH($B563,Raw_Customers!$A$2:$A$101,0))</f>
        <v>Eshani Buch</v>
      </c>
      <c r="D563" s="7" t="str">
        <f>TRIM(INDEX(Raw_Customers!$C$2:$C$101,MATCH($B563,Raw_Customers!$A$2:$A$101,0)))</f>
        <v>Malegaon</v>
      </c>
      <c r="E563" s="7" t="str">
        <f>"+91-"&amp;RIGHT("0000000000"&amp;INDEX(Raw_Customers!$D$2:$D$101,MATCH($B563,Raw_Customers!$A$2:$A$101,0)),10)</f>
        <v>+91-7436178055</v>
      </c>
      <c r="F563" s="7" t="str">
        <f>Raw_Orders!C563</f>
        <v>24</v>
      </c>
      <c r="G563" s="7" t="str">
        <f>INDEX(Raw_Products!$B$2:$B$71,MATCH($F563,Raw_Products!$A$2:$A$71,0))</f>
        <v>Ad Box</v>
      </c>
      <c r="H563" s="7" t="str">
        <f>INDEX(Raw_Products!$C$2:$C$71,MATCH($F563,Raw_Products!$A$2:$A$71,0))</f>
        <v>Mugs</v>
      </c>
      <c r="I563" s="7">
        <f>VALUE(Raw_Orders!D563)</f>
        <v>4</v>
      </c>
      <c r="J563" s="11" t="str">
        <f>INDEX(Raw_Products!$D$2:$D$71,MATCH($F563,Raw_Products!$A$2:$A$71,0))</f>
        <v>535</v>
      </c>
      <c r="K563" s="11">
        <f t="shared" si="16"/>
        <v>2140</v>
      </c>
      <c r="L563" s="12">
        <f>DATE(VALUE(RIGHT(Raw_Orders!E563,4)),VALUE(MID(Raw_Orders!E563,4,2)),VALUE(LEFT(Raw_Orders!E563,2)))</f>
        <v>45147</v>
      </c>
      <c r="M563" s="12">
        <f>DATE(VALUE(RIGHT(Raw_Orders!G563,4)),VALUE(MID(Raw_Orders!G563,4,2)),VALUE(LEFT(Raw_Orders!G563,2)))</f>
        <v>45154</v>
      </c>
      <c r="N563" s="7">
        <f t="shared" si="17"/>
        <v>7</v>
      </c>
      <c r="O563" s="7" t="str">
        <f>Raw_Orders!J563</f>
        <v>Birthday</v>
      </c>
      <c r="P563" s="7" t="str">
        <f>Raw_Orders!I563</f>
        <v>Ranchi</v>
      </c>
    </row>
    <row r="564" spans="1:16">
      <c r="A564" s="7" t="str">
        <f>Raw_Orders!A564</f>
        <v>563</v>
      </c>
      <c r="B564" s="7" t="str">
        <f>Raw_Orders!B564</f>
        <v>C077</v>
      </c>
      <c r="C564" s="7" t="str">
        <f>INDEX(Raw_Customers!$B$2:$B$101,MATCH($B564,Raw_Customers!$A$2:$A$101,0))</f>
        <v>Gokul Ahluwalia</v>
      </c>
      <c r="D564" s="7" t="str">
        <f>TRIM(INDEX(Raw_Customers!$C$2:$C$101,MATCH($B564,Raw_Customers!$A$2:$A$101,0)))</f>
        <v>Panchkula</v>
      </c>
      <c r="E564" s="7" t="str">
        <f>"+91-"&amp;RIGHT("0000000000"&amp;INDEX(Raw_Customers!$D$2:$D$101,MATCH($B564,Raw_Customers!$A$2:$A$101,0)),10)</f>
        <v>+91-0413737551</v>
      </c>
      <c r="F564" s="7" t="str">
        <f>Raw_Orders!C564</f>
        <v>58</v>
      </c>
      <c r="G564" s="7" t="str">
        <f>INDEX(Raw_Products!$B$2:$B$71,MATCH($F564,Raw_Products!$A$2:$A$71,0))</f>
        <v>Sed Pack</v>
      </c>
      <c r="H564" s="7" t="str">
        <f>INDEX(Raw_Products!$C$2:$C$71,MATCH($F564,Raw_Products!$A$2:$A$71,0))</f>
        <v>Cake</v>
      </c>
      <c r="I564" s="7">
        <f>VALUE(Raw_Orders!D564)</f>
        <v>5</v>
      </c>
      <c r="J564" s="11" t="str">
        <f>INDEX(Raw_Products!$D$2:$D$71,MATCH($F564,Raw_Products!$A$2:$A$71,0))</f>
        <v>1492</v>
      </c>
      <c r="K564" s="11">
        <f t="shared" si="16"/>
        <v>7460</v>
      </c>
      <c r="L564" s="12">
        <f>DATE(VALUE(RIGHT(Raw_Orders!E564,4)),VALUE(MID(Raw_Orders!E564,4,2)),VALUE(LEFT(Raw_Orders!E564,2)))</f>
        <v>44968</v>
      </c>
      <c r="M564" s="12">
        <f>DATE(VALUE(RIGHT(Raw_Orders!G564,4)),VALUE(MID(Raw_Orders!G564,4,2)),VALUE(LEFT(Raw_Orders!G564,2)))</f>
        <v>44976</v>
      </c>
      <c r="N564" s="7">
        <f t="shared" si="17"/>
        <v>8</v>
      </c>
      <c r="O564" s="7" t="str">
        <f>Raw_Orders!J564</f>
        <v>Valentine's Day</v>
      </c>
      <c r="P564" s="7" t="str">
        <f>Raw_Orders!I564</f>
        <v>Jorhat</v>
      </c>
    </row>
    <row r="565" spans="1:16">
      <c r="A565" s="7" t="str">
        <f>Raw_Orders!A565</f>
        <v>564</v>
      </c>
      <c r="B565" s="7" t="str">
        <f>Raw_Orders!B565</f>
        <v>C007</v>
      </c>
      <c r="C565" s="7" t="str">
        <f>INDEX(Raw_Customers!$B$2:$B$101,MATCH($B565,Raw_Customers!$A$2:$A$101,0))</f>
        <v>Jayant Kamdar</v>
      </c>
      <c r="D565" s="7" t="str">
        <f>TRIM(INDEX(Raw_Customers!$C$2:$C$101,MATCH($B565,Raw_Customers!$A$2:$A$101,0)))</f>
        <v>Berhampore</v>
      </c>
      <c r="E565" s="7" t="str">
        <f>"+91-"&amp;RIGHT("0000000000"&amp;INDEX(Raw_Customers!$D$2:$D$101,MATCH($B565,Raw_Customers!$A$2:$A$101,0)),10)</f>
        <v>+91-8576675504</v>
      </c>
      <c r="F565" s="7" t="str">
        <f>Raw_Orders!C565</f>
        <v>40</v>
      </c>
      <c r="G565" s="7" t="str">
        <f>INDEX(Raw_Products!$B$2:$B$71,MATCH($F565,Raw_Products!$A$2:$A$71,0))</f>
        <v>Provident Pack</v>
      </c>
      <c r="H565" s="7" t="str">
        <f>INDEX(Raw_Products!$C$2:$C$71,MATCH($F565,Raw_Products!$A$2:$A$71,0))</f>
        <v>Sweets</v>
      </c>
      <c r="I565" s="7">
        <f>VALUE(Raw_Orders!D565)</f>
        <v>1</v>
      </c>
      <c r="J565" s="11" t="str">
        <f>INDEX(Raw_Products!$D$2:$D$71,MATCH($F565,Raw_Products!$A$2:$A$71,0))</f>
        <v>1923</v>
      </c>
      <c r="K565" s="11">
        <f t="shared" si="16"/>
        <v>1923</v>
      </c>
      <c r="L565" s="12">
        <f>DATE(VALUE(RIGHT(Raw_Orders!E565,4)),VALUE(MID(Raw_Orders!E565,4,2)),VALUE(LEFT(Raw_Orders!E565,2)))</f>
        <v>45023</v>
      </c>
      <c r="M565" s="12">
        <f>DATE(VALUE(RIGHT(Raw_Orders!G565,4)),VALUE(MID(Raw_Orders!G565,4,2)),VALUE(LEFT(Raw_Orders!G565,2)))</f>
        <v>45031</v>
      </c>
      <c r="N565" s="7">
        <f t="shared" si="17"/>
        <v>8</v>
      </c>
      <c r="O565" s="7" t="str">
        <f>Raw_Orders!J565</f>
        <v>Anniversary</v>
      </c>
      <c r="P565" s="7" t="str">
        <f>Raw_Orders!I565</f>
        <v>Gandhinagar</v>
      </c>
    </row>
    <row r="566" spans="1:16">
      <c r="A566" s="7" t="str">
        <f>Raw_Orders!A566</f>
        <v>565</v>
      </c>
      <c r="B566" s="7" t="str">
        <f>Raw_Orders!B566</f>
        <v>C011</v>
      </c>
      <c r="C566" s="7" t="str">
        <f>INDEX(Raw_Customers!$B$2:$B$101,MATCH($B566,Raw_Customers!$A$2:$A$101,0))</f>
        <v>Lagan Kapoor</v>
      </c>
      <c r="D566" s="7" t="str">
        <f>TRIM(INDEX(Raw_Customers!$C$2:$C$101,MATCH($B566,Raw_Customers!$A$2:$A$101,0)))</f>
        <v>Orai</v>
      </c>
      <c r="E566" s="7" t="str">
        <f>"+91-"&amp;RIGHT("0000000000"&amp;INDEX(Raw_Customers!$D$2:$D$101,MATCH($B566,Raw_Customers!$A$2:$A$101,0)),10)</f>
        <v>+91-6173563562</v>
      </c>
      <c r="F566" s="7" t="str">
        <f>Raw_Orders!C566</f>
        <v>50</v>
      </c>
      <c r="G566" s="7" t="str">
        <f>INDEX(Raw_Products!$B$2:$B$71,MATCH($F566,Raw_Products!$A$2:$A$71,0))</f>
        <v>Eligendi Set</v>
      </c>
      <c r="H566" s="7" t="str">
        <f>INDEX(Raw_Products!$C$2:$C$71,MATCH($F566,Raw_Products!$A$2:$A$71,0))</f>
        <v>Plants</v>
      </c>
      <c r="I566" s="7">
        <f>VALUE(Raw_Orders!D566)</f>
        <v>3</v>
      </c>
      <c r="J566" s="11" t="str">
        <f>INDEX(Raw_Products!$D$2:$D$71,MATCH($F566,Raw_Products!$A$2:$A$71,0))</f>
        <v>422</v>
      </c>
      <c r="K566" s="11">
        <f t="shared" si="16"/>
        <v>1266</v>
      </c>
      <c r="L566" s="12">
        <f>DATE(VALUE(RIGHT(Raw_Orders!E566,4)),VALUE(MID(Raw_Orders!E566,4,2)),VALUE(LEFT(Raw_Orders!E566,2)))</f>
        <v>44991</v>
      </c>
      <c r="M566" s="12">
        <f>DATE(VALUE(RIGHT(Raw_Orders!G566,4)),VALUE(MID(Raw_Orders!G566,4,2)),VALUE(LEFT(Raw_Orders!G566,2)))</f>
        <v>44999</v>
      </c>
      <c r="N566" s="7">
        <f t="shared" si="17"/>
        <v>8</v>
      </c>
      <c r="O566" s="7" t="str">
        <f>Raw_Orders!J566</f>
        <v>Holi</v>
      </c>
      <c r="P566" s="7" t="str">
        <f>Raw_Orders!I566</f>
        <v>Mehsana</v>
      </c>
    </row>
    <row r="567" spans="1:16">
      <c r="A567" s="7" t="str">
        <f>Raw_Orders!A567</f>
        <v>566</v>
      </c>
      <c r="B567" s="7" t="str">
        <f>Raw_Orders!B567</f>
        <v>C054</v>
      </c>
      <c r="C567" s="7" t="str">
        <f>INDEX(Raw_Customers!$B$2:$B$101,MATCH($B567,Raw_Customers!$A$2:$A$101,0))</f>
        <v>Umang Ahuja</v>
      </c>
      <c r="D567" s="7" t="str">
        <f>TRIM(INDEX(Raw_Customers!$C$2:$C$101,MATCH($B567,Raw_Customers!$A$2:$A$101,0)))</f>
        <v>Bidhannagar</v>
      </c>
      <c r="E567" s="7" t="str">
        <f>"+91-"&amp;RIGHT("0000000000"&amp;INDEX(Raw_Customers!$D$2:$D$101,MATCH($B567,Raw_Customers!$A$2:$A$101,0)),10)</f>
        <v>+91-7271590783</v>
      </c>
      <c r="F567" s="7" t="str">
        <f>Raw_Orders!C567</f>
        <v>42</v>
      </c>
      <c r="G567" s="7" t="str">
        <f>INDEX(Raw_Products!$B$2:$B$71,MATCH($F567,Raw_Products!$A$2:$A$71,0))</f>
        <v>Expedita Gift</v>
      </c>
      <c r="H567" s="7" t="str">
        <f>INDEX(Raw_Products!$C$2:$C$71,MATCH($F567,Raw_Products!$A$2:$A$71,0))</f>
        <v>Sweets</v>
      </c>
      <c r="I567" s="7">
        <f>VALUE(Raw_Orders!D567)</f>
        <v>4</v>
      </c>
      <c r="J567" s="11" t="str">
        <f>INDEX(Raw_Products!$D$2:$D$71,MATCH($F567,Raw_Products!$A$2:$A$71,0))</f>
        <v>1744</v>
      </c>
      <c r="K567" s="11">
        <f t="shared" si="16"/>
        <v>6976</v>
      </c>
      <c r="L567" s="12">
        <f>DATE(VALUE(RIGHT(Raw_Orders!E567,4)),VALUE(MID(Raw_Orders!E567,4,2)),VALUE(LEFT(Raw_Orders!E567,2)))</f>
        <v>45058</v>
      </c>
      <c r="M567" s="12">
        <f>DATE(VALUE(RIGHT(Raw_Orders!G567,4)),VALUE(MID(Raw_Orders!G567,4,2)),VALUE(LEFT(Raw_Orders!G567,2)))</f>
        <v>45060</v>
      </c>
      <c r="N567" s="7">
        <f t="shared" si="17"/>
        <v>2</v>
      </c>
      <c r="O567" s="7" t="str">
        <f>Raw_Orders!J567</f>
        <v>All Occasions</v>
      </c>
      <c r="P567" s="7" t="str">
        <f>Raw_Orders!I567</f>
        <v>Patna</v>
      </c>
    </row>
    <row r="568" spans="1:16">
      <c r="A568" s="7" t="str">
        <f>Raw_Orders!A568</f>
        <v>567</v>
      </c>
      <c r="B568" s="7" t="str">
        <f>Raw_Orders!B568</f>
        <v>C090</v>
      </c>
      <c r="C568" s="7" t="str">
        <f>INDEX(Raw_Customers!$B$2:$B$101,MATCH($B568,Raw_Customers!$A$2:$A$101,0))</f>
        <v>Drishya De</v>
      </c>
      <c r="D568" s="7" t="str">
        <f>TRIM(INDEX(Raw_Customers!$C$2:$C$101,MATCH($B568,Raw_Customers!$A$2:$A$101,0)))</f>
        <v>Anantapuram</v>
      </c>
      <c r="E568" s="7" t="str">
        <f>"+91-"&amp;RIGHT("0000000000"&amp;INDEX(Raw_Customers!$D$2:$D$101,MATCH($B568,Raw_Customers!$A$2:$A$101,0)),10)</f>
        <v>+91-3327374841</v>
      </c>
      <c r="F568" s="7" t="str">
        <f>Raw_Orders!C568</f>
        <v>66</v>
      </c>
      <c r="G568" s="7" t="str">
        <f>INDEX(Raw_Products!$B$2:$B$71,MATCH($F568,Raw_Products!$A$2:$A$71,0))</f>
        <v>Quas Box</v>
      </c>
      <c r="H568" s="7" t="str">
        <f>INDEX(Raw_Products!$C$2:$C$71,MATCH($F568,Raw_Products!$A$2:$A$71,0))</f>
        <v>Colors</v>
      </c>
      <c r="I568" s="7">
        <f>VALUE(Raw_Orders!D568)</f>
        <v>1</v>
      </c>
      <c r="J568" s="11" t="str">
        <f>INDEX(Raw_Products!$D$2:$D$71,MATCH($F568,Raw_Products!$A$2:$A$71,0))</f>
        <v>610</v>
      </c>
      <c r="K568" s="11">
        <f t="shared" si="16"/>
        <v>610</v>
      </c>
      <c r="L568" s="12">
        <f>DATE(VALUE(RIGHT(Raw_Orders!E568,4)),VALUE(MID(Raw_Orders!E568,4,2)),VALUE(LEFT(Raw_Orders!E568,2)))</f>
        <v>44991</v>
      </c>
      <c r="M568" s="12">
        <f>DATE(VALUE(RIGHT(Raw_Orders!G568,4)),VALUE(MID(Raw_Orders!G568,4,2)),VALUE(LEFT(Raw_Orders!G568,2)))</f>
        <v>45000</v>
      </c>
      <c r="N568" s="7">
        <f t="shared" si="17"/>
        <v>9</v>
      </c>
      <c r="O568" s="7" t="str">
        <f>Raw_Orders!J568</f>
        <v>Holi</v>
      </c>
      <c r="P568" s="7" t="str">
        <f>Raw_Orders!I568</f>
        <v>Unnao</v>
      </c>
    </row>
    <row r="569" spans="1:16">
      <c r="A569" s="7" t="str">
        <f>Raw_Orders!A569</f>
        <v>568</v>
      </c>
      <c r="B569" s="7" t="str">
        <f>Raw_Orders!B569</f>
        <v>C056</v>
      </c>
      <c r="C569" s="7" t="str">
        <f>INDEX(Raw_Customers!$B$2:$B$101,MATCH($B569,Raw_Customers!$A$2:$A$101,0))</f>
        <v>Pihu Choudhury</v>
      </c>
      <c r="D569" s="7" t="str">
        <f>TRIM(INDEX(Raw_Customers!$C$2:$C$101,MATCH($B569,Raw_Customers!$A$2:$A$101,0)))</f>
        <v>Haridwar</v>
      </c>
      <c r="E569" s="7" t="str">
        <f>"+91-"&amp;RIGHT("0000000000"&amp;INDEX(Raw_Customers!$D$2:$D$101,MATCH($B569,Raw_Customers!$A$2:$A$101,0)),10)</f>
        <v>+91-9732644810</v>
      </c>
      <c r="F569" s="7" t="str">
        <f>Raw_Orders!C569</f>
        <v>10</v>
      </c>
      <c r="G569" s="7" t="str">
        <f>INDEX(Raw_Products!$B$2:$B$71,MATCH($F569,Raw_Products!$A$2:$A$71,0))</f>
        <v>Accusantium Gift</v>
      </c>
      <c r="H569" s="7" t="str">
        <f>INDEX(Raw_Products!$C$2:$C$71,MATCH($F569,Raw_Products!$A$2:$A$71,0))</f>
        <v>Cake</v>
      </c>
      <c r="I569" s="7">
        <f>VALUE(Raw_Orders!D569)</f>
        <v>1</v>
      </c>
      <c r="J569" s="11" t="str">
        <f>INDEX(Raw_Products!$D$2:$D$71,MATCH($F569,Raw_Products!$A$2:$A$71,0))</f>
        <v>259</v>
      </c>
      <c r="K569" s="11">
        <f t="shared" si="16"/>
        <v>259</v>
      </c>
      <c r="L569" s="12">
        <f>DATE(VALUE(RIGHT(Raw_Orders!E569,4)),VALUE(MID(Raw_Orders!E569,4,2)),VALUE(LEFT(Raw_Orders!E569,2)))</f>
        <v>45106</v>
      </c>
      <c r="M569" s="12">
        <f>DATE(VALUE(RIGHT(Raw_Orders!G569,4)),VALUE(MID(Raw_Orders!G569,4,2)),VALUE(LEFT(Raw_Orders!G569,2)))</f>
        <v>45115</v>
      </c>
      <c r="N569" s="7">
        <f t="shared" si="17"/>
        <v>9</v>
      </c>
      <c r="O569" s="7" t="str">
        <f>Raw_Orders!J569</f>
        <v>Birthday</v>
      </c>
      <c r="P569" s="7" t="str">
        <f>Raw_Orders!I569</f>
        <v>Bhubaneswar</v>
      </c>
    </row>
    <row r="570" spans="1:16">
      <c r="A570" s="7" t="str">
        <f>Raw_Orders!A570</f>
        <v>569</v>
      </c>
      <c r="B570" s="7" t="str">
        <f>Raw_Orders!B570</f>
        <v>C027</v>
      </c>
      <c r="C570" s="7" t="str">
        <f>INDEX(Raw_Customers!$B$2:$B$101,MATCH($B570,Raw_Customers!$A$2:$A$101,0))</f>
        <v>Kashvi Sur</v>
      </c>
      <c r="D570" s="7" t="str">
        <f>TRIM(INDEX(Raw_Customers!$C$2:$C$101,MATCH($B570,Raw_Customers!$A$2:$A$101,0)))</f>
        <v>Serampore</v>
      </c>
      <c r="E570" s="7" t="str">
        <f>"+91-"&amp;RIGHT("0000000000"&amp;INDEX(Raw_Customers!$D$2:$D$101,MATCH($B570,Raw_Customers!$A$2:$A$101,0)),10)</f>
        <v>+91-3431035116</v>
      </c>
      <c r="F570" s="7" t="str">
        <f>Raw_Orders!C570</f>
        <v>53</v>
      </c>
      <c r="G570" s="7" t="str">
        <f>INDEX(Raw_Products!$B$2:$B$71,MATCH($F570,Raw_Products!$A$2:$A$71,0))</f>
        <v>Ipsam Set</v>
      </c>
      <c r="H570" s="7" t="str">
        <f>INDEX(Raw_Products!$C$2:$C$71,MATCH($F570,Raw_Products!$A$2:$A$71,0))</f>
        <v>Sweets</v>
      </c>
      <c r="I570" s="7">
        <f>VALUE(Raw_Orders!D570)</f>
        <v>2</v>
      </c>
      <c r="J570" s="11" t="str">
        <f>INDEX(Raw_Products!$D$2:$D$71,MATCH($F570,Raw_Products!$A$2:$A$71,0))</f>
        <v>1672</v>
      </c>
      <c r="K570" s="11">
        <f t="shared" si="16"/>
        <v>3344</v>
      </c>
      <c r="L570" s="12">
        <f>DATE(VALUE(RIGHT(Raw_Orders!E570,4)),VALUE(MID(Raw_Orders!E570,4,2)),VALUE(LEFT(Raw_Orders!E570,2)))</f>
        <v>45166</v>
      </c>
      <c r="M570" s="12">
        <f>DATE(VALUE(RIGHT(Raw_Orders!G570,4)),VALUE(MID(Raw_Orders!G570,4,2)),VALUE(LEFT(Raw_Orders!G570,2)))</f>
        <v>45173</v>
      </c>
      <c r="N570" s="7">
        <f t="shared" si="17"/>
        <v>7</v>
      </c>
      <c r="O570" s="7" t="str">
        <f>Raw_Orders!J570</f>
        <v>Raksha Bandhan</v>
      </c>
      <c r="P570" s="7" t="str">
        <f>Raw_Orders!I570</f>
        <v>Purnia</v>
      </c>
    </row>
    <row r="571" spans="1:16">
      <c r="A571" s="7" t="str">
        <f>Raw_Orders!A571</f>
        <v>570</v>
      </c>
      <c r="B571" s="7" t="str">
        <f>Raw_Orders!B571</f>
        <v>C056</v>
      </c>
      <c r="C571" s="7" t="str">
        <f>INDEX(Raw_Customers!$B$2:$B$101,MATCH($B571,Raw_Customers!$A$2:$A$101,0))</f>
        <v>Pihu Choudhury</v>
      </c>
      <c r="D571" s="7" t="str">
        <f>TRIM(INDEX(Raw_Customers!$C$2:$C$101,MATCH($B571,Raw_Customers!$A$2:$A$101,0)))</f>
        <v>Haridwar</v>
      </c>
      <c r="E571" s="7" t="str">
        <f>"+91-"&amp;RIGHT("0000000000"&amp;INDEX(Raw_Customers!$D$2:$D$101,MATCH($B571,Raw_Customers!$A$2:$A$101,0)),10)</f>
        <v>+91-9732644810</v>
      </c>
      <c r="F571" s="7" t="str">
        <f>Raw_Orders!C571</f>
        <v>69</v>
      </c>
      <c r="G571" s="7" t="str">
        <f>INDEX(Raw_Products!$B$2:$B$71,MATCH($F571,Raw_Products!$A$2:$A$71,0))</f>
        <v>Id Box</v>
      </c>
      <c r="H571" s="7" t="str">
        <f>INDEX(Raw_Products!$C$2:$C$71,MATCH($F571,Raw_Products!$A$2:$A$71,0))</f>
        <v>Cake</v>
      </c>
      <c r="I571" s="7">
        <f>VALUE(Raw_Orders!D571)</f>
        <v>3</v>
      </c>
      <c r="J571" s="11" t="str">
        <f>INDEX(Raw_Products!$D$2:$D$71,MATCH($F571,Raw_Products!$A$2:$A$71,0))</f>
        <v>998</v>
      </c>
      <c r="K571" s="11">
        <f t="shared" si="16"/>
        <v>2994</v>
      </c>
      <c r="L571" s="12">
        <f>DATE(VALUE(RIGHT(Raw_Orders!E571,4)),VALUE(MID(Raw_Orders!E571,4,2)),VALUE(LEFT(Raw_Orders!E571,2)))</f>
        <v>44985</v>
      </c>
      <c r="M571" s="12">
        <f>DATE(VALUE(RIGHT(Raw_Orders!G571,4)),VALUE(MID(Raw_Orders!G571,4,2)),VALUE(LEFT(Raw_Orders!G571,2)))</f>
        <v>44994</v>
      </c>
      <c r="N571" s="7">
        <f t="shared" si="17"/>
        <v>9</v>
      </c>
      <c r="O571" s="7" t="str">
        <f>Raw_Orders!J571</f>
        <v>Holi</v>
      </c>
      <c r="P571" s="7" t="str">
        <f>Raw_Orders!I571</f>
        <v>Satna</v>
      </c>
    </row>
    <row r="572" spans="1:16">
      <c r="A572" s="7" t="str">
        <f>Raw_Orders!A572</f>
        <v>571</v>
      </c>
      <c r="B572" s="7" t="str">
        <f>Raw_Orders!B572</f>
        <v>C046</v>
      </c>
      <c r="C572" s="7" t="str">
        <f>INDEX(Raw_Customers!$B$2:$B$101,MATCH($B572,Raw_Customers!$A$2:$A$101,0))</f>
        <v>Tara Kannan</v>
      </c>
      <c r="D572" s="7" t="str">
        <f>TRIM(INDEX(Raw_Customers!$C$2:$C$101,MATCH($B572,Raw_Customers!$A$2:$A$101,0)))</f>
        <v>Guna</v>
      </c>
      <c r="E572" s="7" t="str">
        <f>"+91-"&amp;RIGHT("0000000000"&amp;INDEX(Raw_Customers!$D$2:$D$101,MATCH($B572,Raw_Customers!$A$2:$A$101,0)),10)</f>
        <v>+91-7543187237</v>
      </c>
      <c r="F572" s="7" t="str">
        <f>Raw_Orders!C572</f>
        <v>6</v>
      </c>
      <c r="G572" s="7" t="str">
        <f>INDEX(Raw_Products!$B$2:$B$71,MATCH($F572,Raw_Products!$A$2:$A$71,0))</f>
        <v>Quos Box</v>
      </c>
      <c r="H572" s="7" t="str">
        <f>INDEX(Raw_Products!$C$2:$C$71,MATCH($F572,Raw_Products!$A$2:$A$71,0))</f>
        <v>Cake</v>
      </c>
      <c r="I572" s="7">
        <f>VALUE(Raw_Orders!D572)</f>
        <v>1</v>
      </c>
      <c r="J572" s="11" t="str">
        <f>INDEX(Raw_Products!$D$2:$D$71,MATCH($F572,Raw_Products!$A$2:$A$71,0))</f>
        <v>1112</v>
      </c>
      <c r="K572" s="11">
        <f t="shared" si="16"/>
        <v>1112</v>
      </c>
      <c r="L572" s="12">
        <f>DATE(VALUE(RIGHT(Raw_Orders!E572,4)),VALUE(MID(Raw_Orders!E572,4,2)),VALUE(LEFT(Raw_Orders!E572,2)))</f>
        <v>44985</v>
      </c>
      <c r="M572" s="12">
        <f>DATE(VALUE(RIGHT(Raw_Orders!G572,4)),VALUE(MID(Raw_Orders!G572,4,2)),VALUE(LEFT(Raw_Orders!G572,2)))</f>
        <v>44994</v>
      </c>
      <c r="N572" s="7">
        <f t="shared" si="17"/>
        <v>9</v>
      </c>
      <c r="O572" s="7" t="str">
        <f>Raw_Orders!J572</f>
        <v>Holi</v>
      </c>
      <c r="P572" s="7" t="str">
        <f>Raw_Orders!I572</f>
        <v>Bhatpara</v>
      </c>
    </row>
    <row r="573" spans="1:16">
      <c r="A573" s="7" t="str">
        <f>Raw_Orders!A573</f>
        <v>572</v>
      </c>
      <c r="B573" s="7" t="str">
        <f>Raw_Orders!B573</f>
        <v>C060</v>
      </c>
      <c r="C573" s="7" t="str">
        <f>INDEX(Raw_Customers!$B$2:$B$101,MATCH($B573,Raw_Customers!$A$2:$A$101,0))</f>
        <v>Riya Wagle</v>
      </c>
      <c r="D573" s="7" t="str">
        <f>TRIM(INDEX(Raw_Customers!$C$2:$C$101,MATCH($B573,Raw_Customers!$A$2:$A$101,0)))</f>
        <v>Satara</v>
      </c>
      <c r="E573" s="7" t="str">
        <f>"+91-"&amp;RIGHT("0000000000"&amp;INDEX(Raw_Customers!$D$2:$D$101,MATCH($B573,Raw_Customers!$A$2:$A$101,0)),10)</f>
        <v>+91-0214103009</v>
      </c>
      <c r="F573" s="7" t="str">
        <f>Raw_Orders!C573</f>
        <v>25</v>
      </c>
      <c r="G573" s="7" t="str">
        <f>INDEX(Raw_Products!$B$2:$B$71,MATCH($F573,Raw_Products!$A$2:$A$71,0))</f>
        <v>Qui Gift</v>
      </c>
      <c r="H573" s="7" t="str">
        <f>INDEX(Raw_Products!$C$2:$C$71,MATCH($F573,Raw_Products!$A$2:$A$71,0))</f>
        <v>Plants</v>
      </c>
      <c r="I573" s="7">
        <f>VALUE(Raw_Orders!D573)</f>
        <v>5</v>
      </c>
      <c r="J573" s="11" t="str">
        <f>INDEX(Raw_Products!$D$2:$D$71,MATCH($F573,Raw_Products!$A$2:$A$71,0))</f>
        <v>1202</v>
      </c>
      <c r="K573" s="11">
        <f t="shared" si="16"/>
        <v>6010</v>
      </c>
      <c r="L573" s="12">
        <f>DATE(VALUE(RIGHT(Raw_Orders!E573,4)),VALUE(MID(Raw_Orders!E573,4,2)),VALUE(LEFT(Raw_Orders!E573,2)))</f>
        <v>45081</v>
      </c>
      <c r="M573" s="12">
        <f>DATE(VALUE(RIGHT(Raw_Orders!G573,4)),VALUE(MID(Raw_Orders!G573,4,2)),VALUE(LEFT(Raw_Orders!G573,2)))</f>
        <v>45087</v>
      </c>
      <c r="N573" s="7">
        <f t="shared" si="17"/>
        <v>6</v>
      </c>
      <c r="O573" s="7" t="str">
        <f>Raw_Orders!J573</f>
        <v>Anniversary</v>
      </c>
      <c r="P573" s="7" t="str">
        <f>Raw_Orders!I573</f>
        <v>Kamarhati</v>
      </c>
    </row>
    <row r="574" spans="1:16">
      <c r="A574" s="7" t="str">
        <f>Raw_Orders!A574</f>
        <v>573</v>
      </c>
      <c r="B574" s="7" t="str">
        <f>Raw_Orders!B574</f>
        <v>C040</v>
      </c>
      <c r="C574" s="7" t="str">
        <f>INDEX(Raw_Customers!$B$2:$B$101,MATCH($B574,Raw_Customers!$A$2:$A$101,0))</f>
        <v>Hazel Mangat</v>
      </c>
      <c r="D574" s="7" t="str">
        <f>TRIM(INDEX(Raw_Customers!$C$2:$C$101,MATCH($B574,Raw_Customers!$A$2:$A$101,0)))</f>
        <v>Pallavaram</v>
      </c>
      <c r="E574" s="7" t="str">
        <f>"+91-"&amp;RIGHT("0000000000"&amp;INDEX(Raw_Customers!$D$2:$D$101,MATCH($B574,Raw_Customers!$A$2:$A$101,0)),10)</f>
        <v>+91-8810621361</v>
      </c>
      <c r="F574" s="7" t="str">
        <f>Raw_Orders!C574</f>
        <v>3</v>
      </c>
      <c r="G574" s="7" t="str">
        <f>INDEX(Raw_Products!$B$2:$B$71,MATCH($F574,Raw_Products!$A$2:$A$71,0))</f>
        <v>Eius Gift</v>
      </c>
      <c r="H574" s="7" t="str">
        <f>INDEX(Raw_Products!$C$2:$C$71,MATCH($F574,Raw_Products!$A$2:$A$71,0))</f>
        <v>Colors</v>
      </c>
      <c r="I574" s="7">
        <f>VALUE(Raw_Orders!D574)</f>
        <v>5</v>
      </c>
      <c r="J574" s="11" t="str">
        <f>INDEX(Raw_Products!$D$2:$D$71,MATCH($F574,Raw_Products!$A$2:$A$71,0))</f>
        <v>1534</v>
      </c>
      <c r="K574" s="11">
        <f t="shared" si="16"/>
        <v>7670</v>
      </c>
      <c r="L574" s="12">
        <f>DATE(VALUE(RIGHT(Raw_Orders!E574,4)),VALUE(MID(Raw_Orders!E574,4,2)),VALUE(LEFT(Raw_Orders!E574,2)))</f>
        <v>44965</v>
      </c>
      <c r="M574" s="12">
        <f>DATE(VALUE(RIGHT(Raw_Orders!G574,4)),VALUE(MID(Raw_Orders!G574,4,2)),VALUE(LEFT(Raw_Orders!G574,2)))</f>
        <v>44971</v>
      </c>
      <c r="N574" s="7">
        <f t="shared" si="17"/>
        <v>6</v>
      </c>
      <c r="O574" s="7" t="str">
        <f>Raw_Orders!J574</f>
        <v>Valentine's Day</v>
      </c>
      <c r="P574" s="7" t="str">
        <f>Raw_Orders!I574</f>
        <v>Thane</v>
      </c>
    </row>
    <row r="575" spans="1:16">
      <c r="A575" s="7" t="str">
        <f>Raw_Orders!A575</f>
        <v>574</v>
      </c>
      <c r="B575" s="7" t="str">
        <f>Raw_Orders!B575</f>
        <v>C064</v>
      </c>
      <c r="C575" s="7" t="str">
        <f>INDEX(Raw_Customers!$B$2:$B$101,MATCH($B575,Raw_Customers!$A$2:$A$101,0))</f>
        <v>Indrajit Kale</v>
      </c>
      <c r="D575" s="7" t="str">
        <f>TRIM(INDEX(Raw_Customers!$C$2:$C$101,MATCH($B575,Raw_Customers!$A$2:$A$101,0)))</f>
        <v>Srikakulam</v>
      </c>
      <c r="E575" s="7" t="str">
        <f>"+91-"&amp;RIGHT("0000000000"&amp;INDEX(Raw_Customers!$D$2:$D$101,MATCH($B575,Raw_Customers!$A$2:$A$101,0)),10)</f>
        <v>+91-6181058210</v>
      </c>
      <c r="F575" s="7" t="str">
        <f>Raw_Orders!C575</f>
        <v>29</v>
      </c>
      <c r="G575" s="7" t="str">
        <f>INDEX(Raw_Products!$B$2:$B$71,MATCH($F575,Raw_Products!$A$2:$A$71,0))</f>
        <v>In Set</v>
      </c>
      <c r="H575" s="7" t="str">
        <f>INDEX(Raw_Products!$C$2:$C$71,MATCH($F575,Raw_Products!$A$2:$A$71,0))</f>
        <v>Colors</v>
      </c>
      <c r="I575" s="7">
        <f>VALUE(Raw_Orders!D575)</f>
        <v>3</v>
      </c>
      <c r="J575" s="11" t="str">
        <f>INDEX(Raw_Products!$D$2:$D$71,MATCH($F575,Raw_Products!$A$2:$A$71,0))</f>
        <v>1252</v>
      </c>
      <c r="K575" s="11">
        <f t="shared" si="16"/>
        <v>3756</v>
      </c>
      <c r="L575" s="12">
        <f>DATE(VALUE(RIGHT(Raw_Orders!E575,4)),VALUE(MID(Raw_Orders!E575,4,2)),VALUE(LEFT(Raw_Orders!E575,2)))</f>
        <v>44987</v>
      </c>
      <c r="M575" s="12">
        <f>DATE(VALUE(RIGHT(Raw_Orders!G575,4)),VALUE(MID(Raw_Orders!G575,4,2)),VALUE(LEFT(Raw_Orders!G575,2)))</f>
        <v>44991</v>
      </c>
      <c r="N575" s="7">
        <f t="shared" si="17"/>
        <v>4</v>
      </c>
      <c r="O575" s="7" t="str">
        <f>Raw_Orders!J575</f>
        <v>Holi</v>
      </c>
      <c r="P575" s="7" t="str">
        <f>Raw_Orders!I575</f>
        <v>Kozhikode</v>
      </c>
    </row>
    <row r="576" spans="1:16">
      <c r="A576" s="7" t="str">
        <f>Raw_Orders!A576</f>
        <v>575</v>
      </c>
      <c r="B576" s="7" t="str">
        <f>Raw_Orders!B576</f>
        <v>C076</v>
      </c>
      <c r="C576" s="7" t="str">
        <f>INDEX(Raw_Customers!$B$2:$B$101,MATCH($B576,Raw_Customers!$A$2:$A$101,0))</f>
        <v>Oorja Dayal</v>
      </c>
      <c r="D576" s="7" t="str">
        <f>TRIM(INDEX(Raw_Customers!$C$2:$C$101,MATCH($B576,Raw_Customers!$A$2:$A$101,0)))</f>
        <v>Gaya</v>
      </c>
      <c r="E576" s="7" t="str">
        <f>"+91-"&amp;RIGHT("0000000000"&amp;INDEX(Raw_Customers!$D$2:$D$101,MATCH($B576,Raw_Customers!$A$2:$A$101,0)),10)</f>
        <v>+91-6936516442</v>
      </c>
      <c r="F576" s="7" t="str">
        <f>Raw_Orders!C576</f>
        <v>49</v>
      </c>
      <c r="G576" s="7" t="str">
        <f>INDEX(Raw_Products!$B$2:$B$71,MATCH($F576,Raw_Products!$A$2:$A$71,0))</f>
        <v>Voluptate Pack</v>
      </c>
      <c r="H576" s="7" t="str">
        <f>INDEX(Raw_Products!$C$2:$C$71,MATCH($F576,Raw_Products!$A$2:$A$71,0))</f>
        <v>Colors</v>
      </c>
      <c r="I576" s="7">
        <f>VALUE(Raw_Orders!D576)</f>
        <v>2</v>
      </c>
      <c r="J576" s="11" t="str">
        <f>INDEX(Raw_Products!$D$2:$D$71,MATCH($F576,Raw_Products!$A$2:$A$71,0))</f>
        <v>903</v>
      </c>
      <c r="K576" s="11">
        <f t="shared" si="16"/>
        <v>1806</v>
      </c>
      <c r="L576" s="12">
        <f>DATE(VALUE(RIGHT(Raw_Orders!E576,4)),VALUE(MID(Raw_Orders!E576,4,2)),VALUE(LEFT(Raw_Orders!E576,2)))</f>
        <v>44963</v>
      </c>
      <c r="M576" s="12">
        <f>DATE(VALUE(RIGHT(Raw_Orders!G576,4)),VALUE(MID(Raw_Orders!G576,4,2)),VALUE(LEFT(Raw_Orders!G576,2)))</f>
        <v>44966</v>
      </c>
      <c r="N576" s="7">
        <f t="shared" si="17"/>
        <v>3</v>
      </c>
      <c r="O576" s="7" t="str">
        <f>Raw_Orders!J576</f>
        <v>Valentine's Day</v>
      </c>
      <c r="P576" s="7" t="str">
        <f>Raw_Orders!I576</f>
        <v>Kota</v>
      </c>
    </row>
    <row r="577" spans="1:16">
      <c r="A577" s="7" t="str">
        <f>Raw_Orders!A577</f>
        <v>576</v>
      </c>
      <c r="B577" s="7" t="str">
        <f>Raw_Orders!B577</f>
        <v>C074</v>
      </c>
      <c r="C577" s="7" t="str">
        <f>INDEX(Raw_Customers!$B$2:$B$101,MATCH($B577,Raw_Customers!$A$2:$A$101,0))</f>
        <v>Vanya Apte</v>
      </c>
      <c r="D577" s="7" t="str">
        <f>TRIM(INDEX(Raw_Customers!$C$2:$C$101,MATCH($B577,Raw_Customers!$A$2:$A$101,0)))</f>
        <v>Sultan Pur Majra</v>
      </c>
      <c r="E577" s="7" t="str">
        <f>"+91-"&amp;RIGHT("0000000000"&amp;INDEX(Raw_Customers!$D$2:$D$101,MATCH($B577,Raw_Customers!$A$2:$A$101,0)),10)</f>
        <v>+91-9182523205</v>
      </c>
      <c r="F577" s="7" t="str">
        <f>Raw_Orders!C577</f>
        <v>53</v>
      </c>
      <c r="G577" s="7" t="str">
        <f>INDEX(Raw_Products!$B$2:$B$71,MATCH($F577,Raw_Products!$A$2:$A$71,0))</f>
        <v>Ipsam Set</v>
      </c>
      <c r="H577" s="7" t="str">
        <f>INDEX(Raw_Products!$C$2:$C$71,MATCH($F577,Raw_Products!$A$2:$A$71,0))</f>
        <v>Sweets</v>
      </c>
      <c r="I577" s="7">
        <f>VALUE(Raw_Orders!D577)</f>
        <v>4</v>
      </c>
      <c r="J577" s="11" t="str">
        <f>INDEX(Raw_Products!$D$2:$D$71,MATCH($F577,Raw_Products!$A$2:$A$71,0))</f>
        <v>1672</v>
      </c>
      <c r="K577" s="11">
        <f t="shared" si="16"/>
        <v>6688</v>
      </c>
      <c r="L577" s="12">
        <f>DATE(VALUE(RIGHT(Raw_Orders!E577,4)),VALUE(MID(Raw_Orders!E577,4,2)),VALUE(LEFT(Raw_Orders!E577,2)))</f>
        <v>45158</v>
      </c>
      <c r="M577" s="12">
        <f>DATE(VALUE(RIGHT(Raw_Orders!G577,4)),VALUE(MID(Raw_Orders!G577,4,2)),VALUE(LEFT(Raw_Orders!G577,2)))</f>
        <v>45164</v>
      </c>
      <c r="N577" s="7">
        <f t="shared" si="17"/>
        <v>6</v>
      </c>
      <c r="O577" s="7" t="str">
        <f>Raw_Orders!J577</f>
        <v>Raksha Bandhan</v>
      </c>
      <c r="P577" s="7" t="str">
        <f>Raw_Orders!I577</f>
        <v>Aurangabad</v>
      </c>
    </row>
    <row r="578" spans="1:16">
      <c r="A578" s="7" t="str">
        <f>Raw_Orders!A578</f>
        <v>577</v>
      </c>
      <c r="B578" s="7" t="str">
        <f>Raw_Orders!B578</f>
        <v>C008</v>
      </c>
      <c r="C578" s="7" t="str">
        <f>INDEX(Raw_Customers!$B$2:$B$101,MATCH($B578,Raw_Customers!$A$2:$A$101,0))</f>
        <v>Veer Ray</v>
      </c>
      <c r="D578" s="7" t="str">
        <f>TRIM(INDEX(Raw_Customers!$C$2:$C$101,MATCH($B578,Raw_Customers!$A$2:$A$101,0)))</f>
        <v>Chinsurah</v>
      </c>
      <c r="E578" s="7" t="str">
        <f>"+91-"&amp;RIGHT("0000000000"&amp;INDEX(Raw_Customers!$D$2:$D$101,MATCH($B578,Raw_Customers!$A$2:$A$101,0)),10)</f>
        <v>+91-7138085704</v>
      </c>
      <c r="F578" s="7" t="str">
        <f>Raw_Orders!C578</f>
        <v>20</v>
      </c>
      <c r="G578" s="7" t="str">
        <f>INDEX(Raw_Products!$B$2:$B$71,MATCH($F578,Raw_Products!$A$2:$A$71,0))</f>
        <v>Reiciendis Box</v>
      </c>
      <c r="H578" s="7" t="str">
        <f>INDEX(Raw_Products!$C$2:$C$71,MATCH($F578,Raw_Products!$A$2:$A$71,0))</f>
        <v>Colors</v>
      </c>
      <c r="I578" s="7">
        <f>VALUE(Raw_Orders!D578)</f>
        <v>4</v>
      </c>
      <c r="J578" s="11" t="str">
        <f>INDEX(Raw_Products!$D$2:$D$71,MATCH($F578,Raw_Products!$A$2:$A$71,0))</f>
        <v>697</v>
      </c>
      <c r="K578" s="11">
        <f t="shared" ref="K578:K641" si="18">I578*J578</f>
        <v>2788</v>
      </c>
      <c r="L578" s="12">
        <f>DATE(VALUE(RIGHT(Raw_Orders!E578,4)),VALUE(MID(Raw_Orders!E578,4,2)),VALUE(LEFT(Raw_Orders!E578,2)))</f>
        <v>45227</v>
      </c>
      <c r="M578" s="12">
        <f>DATE(VALUE(RIGHT(Raw_Orders!G578,4)),VALUE(MID(Raw_Orders!G578,4,2)),VALUE(LEFT(Raw_Orders!G578,2)))</f>
        <v>45235</v>
      </c>
      <c r="N578" s="7">
        <f t="shared" ref="N578:N641" si="19">M578-L578</f>
        <v>8</v>
      </c>
      <c r="O578" s="7" t="str">
        <f>Raw_Orders!J578</f>
        <v>Anniversary</v>
      </c>
      <c r="P578" s="7" t="str">
        <f>Raw_Orders!I578</f>
        <v>Hazaribagh</v>
      </c>
    </row>
    <row r="579" spans="1:16">
      <c r="A579" s="7" t="str">
        <f>Raw_Orders!A579</f>
        <v>578</v>
      </c>
      <c r="B579" s="7" t="str">
        <f>Raw_Orders!B579</f>
        <v>C008</v>
      </c>
      <c r="C579" s="7" t="str">
        <f>INDEX(Raw_Customers!$B$2:$B$101,MATCH($B579,Raw_Customers!$A$2:$A$101,0))</f>
        <v>Veer Ray</v>
      </c>
      <c r="D579" s="7" t="str">
        <f>TRIM(INDEX(Raw_Customers!$C$2:$C$101,MATCH($B579,Raw_Customers!$A$2:$A$101,0)))</f>
        <v>Chinsurah</v>
      </c>
      <c r="E579" s="7" t="str">
        <f>"+91-"&amp;RIGHT("0000000000"&amp;INDEX(Raw_Customers!$D$2:$D$101,MATCH($B579,Raw_Customers!$A$2:$A$101,0)),10)</f>
        <v>+91-7138085704</v>
      </c>
      <c r="F579" s="7" t="str">
        <f>Raw_Orders!C579</f>
        <v>18</v>
      </c>
      <c r="G579" s="7" t="str">
        <f>INDEX(Raw_Products!$B$2:$B$71,MATCH($F579,Raw_Products!$A$2:$A$71,0))</f>
        <v>Nemo Set</v>
      </c>
      <c r="H579" s="7" t="str">
        <f>INDEX(Raw_Products!$C$2:$C$71,MATCH($F579,Raw_Products!$A$2:$A$71,0))</f>
        <v>Plants</v>
      </c>
      <c r="I579" s="7">
        <f>VALUE(Raw_Orders!D579)</f>
        <v>4</v>
      </c>
      <c r="J579" s="11" t="str">
        <f>INDEX(Raw_Products!$D$2:$D$71,MATCH($F579,Raw_Products!$A$2:$A$71,0))</f>
        <v>781</v>
      </c>
      <c r="K579" s="11">
        <f t="shared" si="18"/>
        <v>3124</v>
      </c>
      <c r="L579" s="12">
        <f>DATE(VALUE(RIGHT(Raw_Orders!E579,4)),VALUE(MID(Raw_Orders!E579,4,2)),VALUE(LEFT(Raw_Orders!E579,2)))</f>
        <v>45138</v>
      </c>
      <c r="M579" s="12">
        <f>DATE(VALUE(RIGHT(Raw_Orders!G579,4)),VALUE(MID(Raw_Orders!G579,4,2)),VALUE(LEFT(Raw_Orders!G579,2)))</f>
        <v>45144</v>
      </c>
      <c r="N579" s="7">
        <f t="shared" si="19"/>
        <v>6</v>
      </c>
      <c r="O579" s="7" t="str">
        <f>Raw_Orders!J579</f>
        <v>Birthday</v>
      </c>
      <c r="P579" s="7" t="str">
        <f>Raw_Orders!I579</f>
        <v>Warangal</v>
      </c>
    </row>
    <row r="580" spans="1:16">
      <c r="A580" s="7" t="str">
        <f>Raw_Orders!A580</f>
        <v>579</v>
      </c>
      <c r="B580" s="7" t="str">
        <f>Raw_Orders!B580</f>
        <v>C092</v>
      </c>
      <c r="C580" s="7" t="str">
        <f>INDEX(Raw_Customers!$B$2:$B$101,MATCH($B580,Raw_Customers!$A$2:$A$101,0))</f>
        <v>Zoya Mani</v>
      </c>
      <c r="D580" s="7" t="str">
        <f>TRIM(INDEX(Raw_Customers!$C$2:$C$101,MATCH($B580,Raw_Customers!$A$2:$A$101,0)))</f>
        <v>Dibrugarh</v>
      </c>
      <c r="E580" s="7" t="str">
        <f>"+91-"&amp;RIGHT("0000000000"&amp;INDEX(Raw_Customers!$D$2:$D$101,MATCH($B580,Raw_Customers!$A$2:$A$101,0)),10)</f>
        <v>+91-8918356963</v>
      </c>
      <c r="F580" s="7" t="str">
        <f>Raw_Orders!C580</f>
        <v>29</v>
      </c>
      <c r="G580" s="7" t="str">
        <f>INDEX(Raw_Products!$B$2:$B$71,MATCH($F580,Raw_Products!$A$2:$A$71,0))</f>
        <v>In Set</v>
      </c>
      <c r="H580" s="7" t="str">
        <f>INDEX(Raw_Products!$C$2:$C$71,MATCH($F580,Raw_Products!$A$2:$A$71,0))</f>
        <v>Colors</v>
      </c>
      <c r="I580" s="7">
        <f>VALUE(Raw_Orders!D580)</f>
        <v>2</v>
      </c>
      <c r="J580" s="11" t="str">
        <f>INDEX(Raw_Products!$D$2:$D$71,MATCH($F580,Raw_Products!$A$2:$A$71,0))</f>
        <v>1252</v>
      </c>
      <c r="K580" s="11">
        <f t="shared" si="18"/>
        <v>2504</v>
      </c>
      <c r="L580" s="12">
        <f>DATE(VALUE(RIGHT(Raw_Orders!E580,4)),VALUE(MID(Raw_Orders!E580,4,2)),VALUE(LEFT(Raw_Orders!E580,2)))</f>
        <v>44992</v>
      </c>
      <c r="M580" s="12">
        <f>DATE(VALUE(RIGHT(Raw_Orders!G580,4)),VALUE(MID(Raw_Orders!G580,4,2)),VALUE(LEFT(Raw_Orders!G580,2)))</f>
        <v>44999</v>
      </c>
      <c r="N580" s="7">
        <f t="shared" si="19"/>
        <v>7</v>
      </c>
      <c r="O580" s="7" t="str">
        <f>Raw_Orders!J580</f>
        <v>Holi</v>
      </c>
      <c r="P580" s="7" t="str">
        <f>Raw_Orders!I580</f>
        <v>Maheshtala</v>
      </c>
    </row>
    <row r="581" spans="1:16">
      <c r="A581" s="7" t="str">
        <f>Raw_Orders!A581</f>
        <v>580</v>
      </c>
      <c r="B581" s="7" t="str">
        <f>Raw_Orders!B581</f>
        <v>C093</v>
      </c>
      <c r="C581" s="7" t="str">
        <f>INDEX(Raw_Customers!$B$2:$B$101,MATCH($B581,Raw_Customers!$A$2:$A$101,0))</f>
        <v>Mamooty Bawa</v>
      </c>
      <c r="D581" s="7" t="str">
        <f>TRIM(INDEX(Raw_Customers!$C$2:$C$101,MATCH($B581,Raw_Customers!$A$2:$A$101,0)))</f>
        <v>Tumkur</v>
      </c>
      <c r="E581" s="7" t="str">
        <f>"+91-"&amp;RIGHT("0000000000"&amp;INDEX(Raw_Customers!$D$2:$D$101,MATCH($B581,Raw_Customers!$A$2:$A$101,0)),10)</f>
        <v>+91-2783169130</v>
      </c>
      <c r="F581" s="7" t="str">
        <f>Raw_Orders!C581</f>
        <v>24</v>
      </c>
      <c r="G581" s="7" t="str">
        <f>INDEX(Raw_Products!$B$2:$B$71,MATCH($F581,Raw_Products!$A$2:$A$71,0))</f>
        <v>Ad Box</v>
      </c>
      <c r="H581" s="7" t="str">
        <f>INDEX(Raw_Products!$C$2:$C$71,MATCH($F581,Raw_Products!$A$2:$A$71,0))</f>
        <v>Mugs</v>
      </c>
      <c r="I581" s="7">
        <f>VALUE(Raw_Orders!D581)</f>
        <v>4</v>
      </c>
      <c r="J581" s="11" t="str">
        <f>INDEX(Raw_Products!$D$2:$D$71,MATCH($F581,Raw_Products!$A$2:$A$71,0))</f>
        <v>535</v>
      </c>
      <c r="K581" s="11">
        <f t="shared" si="18"/>
        <v>2140</v>
      </c>
      <c r="L581" s="12">
        <f>DATE(VALUE(RIGHT(Raw_Orders!E581,4)),VALUE(MID(Raw_Orders!E581,4,2)),VALUE(LEFT(Raw_Orders!E581,2)))</f>
        <v>45093</v>
      </c>
      <c r="M581" s="12">
        <f>DATE(VALUE(RIGHT(Raw_Orders!G581,4)),VALUE(MID(Raw_Orders!G581,4,2)),VALUE(LEFT(Raw_Orders!G581,2)))</f>
        <v>45097</v>
      </c>
      <c r="N581" s="7">
        <f t="shared" si="19"/>
        <v>4</v>
      </c>
      <c r="O581" s="7" t="str">
        <f>Raw_Orders!J581</f>
        <v>Birthday</v>
      </c>
      <c r="P581" s="7" t="str">
        <f>Raw_Orders!I581</f>
        <v>Bhatpara</v>
      </c>
    </row>
    <row r="582" spans="1:16">
      <c r="A582" s="7" t="str">
        <f>Raw_Orders!A582</f>
        <v>581</v>
      </c>
      <c r="B582" s="7" t="str">
        <f>Raw_Orders!B582</f>
        <v>C082</v>
      </c>
      <c r="C582" s="7" t="str">
        <f>INDEX(Raw_Customers!$B$2:$B$101,MATCH($B582,Raw_Customers!$A$2:$A$101,0))</f>
        <v>Anya Chaudhari</v>
      </c>
      <c r="D582" s="7" t="str">
        <f>TRIM(INDEX(Raw_Customers!$C$2:$C$101,MATCH($B582,Raw_Customers!$A$2:$A$101,0)))</f>
        <v>Ahmednagar</v>
      </c>
      <c r="E582" s="7" t="str">
        <f>"+91-"&amp;RIGHT("0000000000"&amp;INDEX(Raw_Customers!$D$2:$D$101,MATCH($B582,Raw_Customers!$A$2:$A$101,0)),10)</f>
        <v>+91-0813770782</v>
      </c>
      <c r="F582" s="7" t="str">
        <f>Raw_Orders!C582</f>
        <v>18</v>
      </c>
      <c r="G582" s="7" t="str">
        <f>INDEX(Raw_Products!$B$2:$B$71,MATCH($F582,Raw_Products!$A$2:$A$71,0))</f>
        <v>Nemo Set</v>
      </c>
      <c r="H582" s="7" t="str">
        <f>INDEX(Raw_Products!$C$2:$C$71,MATCH($F582,Raw_Products!$A$2:$A$71,0))</f>
        <v>Plants</v>
      </c>
      <c r="I582" s="7">
        <f>VALUE(Raw_Orders!D582)</f>
        <v>2</v>
      </c>
      <c r="J582" s="11" t="str">
        <f>INDEX(Raw_Products!$D$2:$D$71,MATCH($F582,Raw_Products!$A$2:$A$71,0))</f>
        <v>781</v>
      </c>
      <c r="K582" s="11">
        <f t="shared" si="18"/>
        <v>1562</v>
      </c>
      <c r="L582" s="12">
        <f>DATE(VALUE(RIGHT(Raw_Orders!E582,4)),VALUE(MID(Raw_Orders!E582,4,2)),VALUE(LEFT(Raw_Orders!E582,2)))</f>
        <v>45109</v>
      </c>
      <c r="M582" s="12">
        <f>DATE(VALUE(RIGHT(Raw_Orders!G582,4)),VALUE(MID(Raw_Orders!G582,4,2)),VALUE(LEFT(Raw_Orders!G582,2)))</f>
        <v>45118</v>
      </c>
      <c r="N582" s="7">
        <f t="shared" si="19"/>
        <v>9</v>
      </c>
      <c r="O582" s="7" t="str">
        <f>Raw_Orders!J582</f>
        <v>Birthday</v>
      </c>
      <c r="P582" s="7" t="str">
        <f>Raw_Orders!I582</f>
        <v>Anand</v>
      </c>
    </row>
    <row r="583" spans="1:16">
      <c r="A583" s="7" t="str">
        <f>Raw_Orders!A583</f>
        <v>582</v>
      </c>
      <c r="B583" s="7" t="str">
        <f>Raw_Orders!B583</f>
        <v>C019</v>
      </c>
      <c r="C583" s="7" t="str">
        <f>INDEX(Raw_Customers!$B$2:$B$101,MATCH($B583,Raw_Customers!$A$2:$A$101,0))</f>
        <v>Amira Sengupta</v>
      </c>
      <c r="D583" s="7" t="str">
        <f>TRIM(INDEX(Raw_Customers!$C$2:$C$101,MATCH($B583,Raw_Customers!$A$2:$A$101,0)))</f>
        <v>Danapur</v>
      </c>
      <c r="E583" s="7" t="str">
        <f>"+91-"&amp;RIGHT("0000000000"&amp;INDEX(Raw_Customers!$D$2:$D$101,MATCH($B583,Raw_Customers!$A$2:$A$101,0)),10)</f>
        <v>+91-4513393592</v>
      </c>
      <c r="F583" s="7" t="str">
        <f>Raw_Orders!C583</f>
        <v>3</v>
      </c>
      <c r="G583" s="7" t="str">
        <f>INDEX(Raw_Products!$B$2:$B$71,MATCH($F583,Raw_Products!$A$2:$A$71,0))</f>
        <v>Eius Gift</v>
      </c>
      <c r="H583" s="7" t="str">
        <f>INDEX(Raw_Products!$C$2:$C$71,MATCH($F583,Raw_Products!$A$2:$A$71,0))</f>
        <v>Colors</v>
      </c>
      <c r="I583" s="7">
        <f>VALUE(Raw_Orders!D583)</f>
        <v>4</v>
      </c>
      <c r="J583" s="11" t="str">
        <f>INDEX(Raw_Products!$D$2:$D$71,MATCH($F583,Raw_Products!$A$2:$A$71,0))</f>
        <v>1534</v>
      </c>
      <c r="K583" s="11">
        <f t="shared" si="18"/>
        <v>6136</v>
      </c>
      <c r="L583" s="12">
        <f>DATE(VALUE(RIGHT(Raw_Orders!E583,4)),VALUE(MID(Raw_Orders!E583,4,2)),VALUE(LEFT(Raw_Orders!E583,2)))</f>
        <v>44961</v>
      </c>
      <c r="M583" s="12">
        <f>DATE(VALUE(RIGHT(Raw_Orders!G583,4)),VALUE(MID(Raw_Orders!G583,4,2)),VALUE(LEFT(Raw_Orders!G583,2)))</f>
        <v>44962</v>
      </c>
      <c r="N583" s="7">
        <f t="shared" si="19"/>
        <v>1</v>
      </c>
      <c r="O583" s="7" t="str">
        <f>Raw_Orders!J583</f>
        <v>Valentine's Day</v>
      </c>
      <c r="P583" s="7" t="str">
        <f>Raw_Orders!I583</f>
        <v>Latur</v>
      </c>
    </row>
    <row r="584" spans="1:16">
      <c r="A584" s="7" t="str">
        <f>Raw_Orders!A584</f>
        <v>583</v>
      </c>
      <c r="B584" s="7" t="str">
        <f>Raw_Orders!B584</f>
        <v>C025</v>
      </c>
      <c r="C584" s="7" t="str">
        <f>INDEX(Raw_Customers!$B$2:$B$101,MATCH($B584,Raw_Customers!$A$2:$A$101,0))</f>
        <v>Ira Bava</v>
      </c>
      <c r="D584" s="7" t="str">
        <f>TRIM(INDEX(Raw_Customers!$C$2:$C$101,MATCH($B584,Raw_Customers!$A$2:$A$101,0)))</f>
        <v>Singrauli</v>
      </c>
      <c r="E584" s="7" t="str">
        <f>"+91-"&amp;RIGHT("0000000000"&amp;INDEX(Raw_Customers!$D$2:$D$101,MATCH($B584,Raw_Customers!$A$2:$A$101,0)),10)</f>
        <v>+91-7406193950</v>
      </c>
      <c r="F584" s="7" t="str">
        <f>Raw_Orders!C584</f>
        <v>56</v>
      </c>
      <c r="G584" s="7" t="str">
        <f>INDEX(Raw_Products!$B$2:$B$71,MATCH($F584,Raw_Products!$A$2:$A$71,0))</f>
        <v>Quia Gift</v>
      </c>
      <c r="H584" s="7" t="str">
        <f>INDEX(Raw_Products!$C$2:$C$71,MATCH($F584,Raw_Products!$A$2:$A$71,0))</f>
        <v>Raksha Bandhan</v>
      </c>
      <c r="I584" s="7">
        <f>VALUE(Raw_Orders!D584)</f>
        <v>4</v>
      </c>
      <c r="J584" s="11" t="str">
        <f>INDEX(Raw_Products!$D$2:$D$71,MATCH($F584,Raw_Products!$A$2:$A$71,0))</f>
        <v>1272</v>
      </c>
      <c r="K584" s="11">
        <f t="shared" si="18"/>
        <v>5088</v>
      </c>
      <c r="L584" s="12">
        <f>DATE(VALUE(RIGHT(Raw_Orders!E584,4)),VALUE(MID(Raw_Orders!E584,4,2)),VALUE(LEFT(Raw_Orders!E584,2)))</f>
        <v>45187</v>
      </c>
      <c r="M584" s="12">
        <f>DATE(VALUE(RIGHT(Raw_Orders!G584,4)),VALUE(MID(Raw_Orders!G584,4,2)),VALUE(LEFT(Raw_Orders!G584,2)))</f>
        <v>45191</v>
      </c>
      <c r="N584" s="7">
        <f t="shared" si="19"/>
        <v>4</v>
      </c>
      <c r="O584" s="7" t="str">
        <f>Raw_Orders!J584</f>
        <v>Anniversary</v>
      </c>
      <c r="P584" s="7" t="str">
        <f>Raw_Orders!I584</f>
        <v>Hosur</v>
      </c>
    </row>
    <row r="585" spans="1:16">
      <c r="A585" s="7" t="str">
        <f>Raw_Orders!A585</f>
        <v>584</v>
      </c>
      <c r="B585" s="7" t="str">
        <f>Raw_Orders!B585</f>
        <v>C089</v>
      </c>
      <c r="C585" s="7" t="str">
        <f>INDEX(Raw_Customers!$B$2:$B$101,MATCH($B585,Raw_Customers!$A$2:$A$101,0))</f>
        <v>Oorja Dey</v>
      </c>
      <c r="D585" s="7" t="str">
        <f>TRIM(INDEX(Raw_Customers!$C$2:$C$101,MATCH($B585,Raw_Customers!$A$2:$A$101,0)))</f>
        <v>Nellore</v>
      </c>
      <c r="E585" s="7" t="str">
        <f>"+91-"&amp;RIGHT("0000000000"&amp;INDEX(Raw_Customers!$D$2:$D$101,MATCH($B585,Raw_Customers!$A$2:$A$101,0)),10)</f>
        <v>+91-7264144428</v>
      </c>
      <c r="F585" s="7" t="str">
        <f>Raw_Orders!C585</f>
        <v>34</v>
      </c>
      <c r="G585" s="7" t="str">
        <f>INDEX(Raw_Products!$B$2:$B$71,MATCH($F585,Raw_Products!$A$2:$A$71,0))</f>
        <v>Placeat Pack</v>
      </c>
      <c r="H585" s="7" t="str">
        <f>INDEX(Raw_Products!$C$2:$C$71,MATCH($F585,Raw_Products!$A$2:$A$71,0))</f>
        <v>Soft Toys</v>
      </c>
      <c r="I585" s="7">
        <f>VALUE(Raw_Orders!D585)</f>
        <v>2</v>
      </c>
      <c r="J585" s="11" t="str">
        <f>INDEX(Raw_Products!$D$2:$D$71,MATCH($F585,Raw_Products!$A$2:$A$71,0))</f>
        <v>1335</v>
      </c>
      <c r="K585" s="11">
        <f t="shared" si="18"/>
        <v>2670</v>
      </c>
      <c r="L585" s="12">
        <f>DATE(VALUE(RIGHT(Raw_Orders!E585,4)),VALUE(MID(Raw_Orders!E585,4,2)),VALUE(LEFT(Raw_Orders!E585,2)))</f>
        <v>45161</v>
      </c>
      <c r="M585" s="12">
        <f>DATE(VALUE(RIGHT(Raw_Orders!G585,4)),VALUE(MID(Raw_Orders!G585,4,2)),VALUE(LEFT(Raw_Orders!G585,2)))</f>
        <v>45165</v>
      </c>
      <c r="N585" s="7">
        <f t="shared" si="19"/>
        <v>4</v>
      </c>
      <c r="O585" s="7" t="str">
        <f>Raw_Orders!J585</f>
        <v>Raksha Bandhan</v>
      </c>
      <c r="P585" s="7" t="str">
        <f>Raw_Orders!I585</f>
        <v>Eluru</v>
      </c>
    </row>
    <row r="586" spans="1:16">
      <c r="A586" s="7" t="str">
        <f>Raw_Orders!A586</f>
        <v>585</v>
      </c>
      <c r="B586" s="7" t="str">
        <f>Raw_Orders!B586</f>
        <v>C013</v>
      </c>
      <c r="C586" s="7" t="str">
        <f>INDEX(Raw_Customers!$B$2:$B$101,MATCH($B586,Raw_Customers!$A$2:$A$101,0))</f>
        <v>Manikya Goswami</v>
      </c>
      <c r="D586" s="7" t="str">
        <f>TRIM(INDEX(Raw_Customers!$C$2:$C$101,MATCH($B586,Raw_Customers!$A$2:$A$101,0)))</f>
        <v>Mangalore</v>
      </c>
      <c r="E586" s="7" t="str">
        <f>"+91-"&amp;RIGHT("0000000000"&amp;INDEX(Raw_Customers!$D$2:$D$101,MATCH($B586,Raw_Customers!$A$2:$A$101,0)),10)</f>
        <v>+91-2112817503</v>
      </c>
      <c r="F586" s="7" t="str">
        <f>Raw_Orders!C586</f>
        <v>63</v>
      </c>
      <c r="G586" s="7" t="str">
        <f>INDEX(Raw_Products!$B$2:$B$71,MATCH($F586,Raw_Products!$A$2:$A$71,0))</f>
        <v>Adipisci Set</v>
      </c>
      <c r="H586" s="7" t="str">
        <f>INDEX(Raw_Products!$C$2:$C$71,MATCH($F586,Raw_Products!$A$2:$A$71,0))</f>
        <v>Sweets</v>
      </c>
      <c r="I586" s="7">
        <f>VALUE(Raw_Orders!D586)</f>
        <v>5</v>
      </c>
      <c r="J586" s="11" t="str">
        <f>INDEX(Raw_Products!$D$2:$D$71,MATCH($F586,Raw_Products!$A$2:$A$71,0))</f>
        <v>1348</v>
      </c>
      <c r="K586" s="11">
        <f t="shared" si="18"/>
        <v>6740</v>
      </c>
      <c r="L586" s="12">
        <f>DATE(VALUE(RIGHT(Raw_Orders!E586,4)),VALUE(MID(Raw_Orders!E586,4,2)),VALUE(LEFT(Raw_Orders!E586,2)))</f>
        <v>45042</v>
      </c>
      <c r="M586" s="12">
        <f>DATE(VALUE(RIGHT(Raw_Orders!G586,4)),VALUE(MID(Raw_Orders!G586,4,2)),VALUE(LEFT(Raw_Orders!G586,2)))</f>
        <v>45047</v>
      </c>
      <c r="N586" s="7">
        <f t="shared" si="19"/>
        <v>5</v>
      </c>
      <c r="O586" s="7" t="str">
        <f>Raw_Orders!J586</f>
        <v>All Occasions</v>
      </c>
      <c r="P586" s="7" t="str">
        <f>Raw_Orders!I586</f>
        <v>Bhubaneswar</v>
      </c>
    </row>
    <row r="587" spans="1:16">
      <c r="A587" s="7" t="str">
        <f>Raw_Orders!A587</f>
        <v>586</v>
      </c>
      <c r="B587" s="7" t="str">
        <f>Raw_Orders!B587</f>
        <v>C068</v>
      </c>
      <c r="C587" s="7" t="str">
        <f>INDEX(Raw_Customers!$B$2:$B$101,MATCH($B587,Raw_Customers!$A$2:$A$101,0))</f>
        <v>Ritvik Garde</v>
      </c>
      <c r="D587" s="7" t="str">
        <f>TRIM(INDEX(Raw_Customers!$C$2:$C$101,MATCH($B587,Raw_Customers!$A$2:$A$101,0)))</f>
        <v>Kalyan-Dombivli</v>
      </c>
      <c r="E587" s="7" t="str">
        <f>"+91-"&amp;RIGHT("0000000000"&amp;INDEX(Raw_Customers!$D$2:$D$101,MATCH($B587,Raw_Customers!$A$2:$A$101,0)),10)</f>
        <v>+91-3719858588</v>
      </c>
      <c r="F587" s="7" t="str">
        <f>Raw_Orders!C587</f>
        <v>64</v>
      </c>
      <c r="G587" s="7" t="str">
        <f>INDEX(Raw_Products!$B$2:$B$71,MATCH($F587,Raw_Products!$A$2:$A$71,0))</f>
        <v>Nostrum Box</v>
      </c>
      <c r="H587" s="7" t="str">
        <f>INDEX(Raw_Products!$C$2:$C$71,MATCH($F587,Raw_Products!$A$2:$A$71,0))</f>
        <v>Soft Toys</v>
      </c>
      <c r="I587" s="7">
        <f>VALUE(Raw_Orders!D587)</f>
        <v>5</v>
      </c>
      <c r="J587" s="11" t="str">
        <f>INDEX(Raw_Products!$D$2:$D$71,MATCH($F587,Raw_Products!$A$2:$A$71,0))</f>
        <v>1878</v>
      </c>
      <c r="K587" s="11">
        <f t="shared" si="18"/>
        <v>9390</v>
      </c>
      <c r="L587" s="12">
        <f>DATE(VALUE(RIGHT(Raw_Orders!E587,4)),VALUE(MID(Raw_Orders!E587,4,2)),VALUE(LEFT(Raw_Orders!E587,2)))</f>
        <v>45165</v>
      </c>
      <c r="M587" s="12">
        <f>DATE(VALUE(RIGHT(Raw_Orders!G587,4)),VALUE(MID(Raw_Orders!G587,4,2)),VALUE(LEFT(Raw_Orders!G587,2)))</f>
        <v>45173</v>
      </c>
      <c r="N587" s="7">
        <f t="shared" si="19"/>
        <v>8</v>
      </c>
      <c r="O587" s="7" t="str">
        <f>Raw_Orders!J587</f>
        <v>Raksha Bandhan</v>
      </c>
      <c r="P587" s="7" t="str">
        <f>Raw_Orders!I587</f>
        <v>Bilaspur</v>
      </c>
    </row>
    <row r="588" spans="1:16">
      <c r="A588" s="7" t="str">
        <f>Raw_Orders!A588</f>
        <v>587</v>
      </c>
      <c r="B588" s="7" t="str">
        <f>Raw_Orders!B588</f>
        <v>C018</v>
      </c>
      <c r="C588" s="7" t="str">
        <f>INDEX(Raw_Customers!$B$2:$B$101,MATCH($B588,Raw_Customers!$A$2:$A$101,0))</f>
        <v>Eva Vaidya</v>
      </c>
      <c r="D588" s="7" t="str">
        <f>TRIM(INDEX(Raw_Customers!$C$2:$C$101,MATCH($B588,Raw_Customers!$A$2:$A$101,0)))</f>
        <v>Nizamabad</v>
      </c>
      <c r="E588" s="7" t="str">
        <f>"+91-"&amp;RIGHT("0000000000"&amp;INDEX(Raw_Customers!$D$2:$D$101,MATCH($B588,Raw_Customers!$A$2:$A$101,0)),10)</f>
        <v>+91-9080029661</v>
      </c>
      <c r="F588" s="7" t="str">
        <f>Raw_Orders!C588</f>
        <v>43</v>
      </c>
      <c r="G588" s="7" t="str">
        <f>INDEX(Raw_Products!$B$2:$B$71,MATCH($F588,Raw_Products!$A$2:$A$71,0))</f>
        <v>Quisquam Pack</v>
      </c>
      <c r="H588" s="7" t="str">
        <f>INDEX(Raw_Products!$C$2:$C$71,MATCH($F588,Raw_Products!$A$2:$A$71,0))</f>
        <v>Raksha Bandhan</v>
      </c>
      <c r="I588" s="7">
        <f>VALUE(Raw_Orders!D588)</f>
        <v>1</v>
      </c>
      <c r="J588" s="11" t="str">
        <f>INDEX(Raw_Products!$D$2:$D$71,MATCH($F588,Raw_Products!$A$2:$A$71,0))</f>
        <v>750</v>
      </c>
      <c r="K588" s="11">
        <f t="shared" si="18"/>
        <v>750</v>
      </c>
      <c r="L588" s="12">
        <f>DATE(VALUE(RIGHT(Raw_Orders!E588,4)),VALUE(MID(Raw_Orders!E588,4,2)),VALUE(LEFT(Raw_Orders!E588,2)))</f>
        <v>45232</v>
      </c>
      <c r="M588" s="12">
        <f>DATE(VALUE(RIGHT(Raw_Orders!G588,4)),VALUE(MID(Raw_Orders!G588,4,2)),VALUE(LEFT(Raw_Orders!G588,2)))</f>
        <v>45233</v>
      </c>
      <c r="N588" s="7">
        <f t="shared" si="19"/>
        <v>1</v>
      </c>
      <c r="O588" s="7" t="str">
        <f>Raw_Orders!J588</f>
        <v>Diwali</v>
      </c>
      <c r="P588" s="7" t="str">
        <f>Raw_Orders!I588</f>
        <v>Panchkula</v>
      </c>
    </row>
    <row r="589" spans="1:16">
      <c r="A589" s="7" t="str">
        <f>Raw_Orders!A589</f>
        <v>588</v>
      </c>
      <c r="B589" s="7" t="str">
        <f>Raw_Orders!B589</f>
        <v>C056</v>
      </c>
      <c r="C589" s="7" t="str">
        <f>INDEX(Raw_Customers!$B$2:$B$101,MATCH($B589,Raw_Customers!$A$2:$A$101,0))</f>
        <v>Pihu Choudhury</v>
      </c>
      <c r="D589" s="7" t="str">
        <f>TRIM(INDEX(Raw_Customers!$C$2:$C$101,MATCH($B589,Raw_Customers!$A$2:$A$101,0)))</f>
        <v>Haridwar</v>
      </c>
      <c r="E589" s="7" t="str">
        <f>"+91-"&amp;RIGHT("0000000000"&amp;INDEX(Raw_Customers!$D$2:$D$101,MATCH($B589,Raw_Customers!$A$2:$A$101,0)),10)</f>
        <v>+91-9732644810</v>
      </c>
      <c r="F589" s="7" t="str">
        <f>Raw_Orders!C589</f>
        <v>49</v>
      </c>
      <c r="G589" s="7" t="str">
        <f>INDEX(Raw_Products!$B$2:$B$71,MATCH($F589,Raw_Products!$A$2:$A$71,0))</f>
        <v>Voluptate Pack</v>
      </c>
      <c r="H589" s="7" t="str">
        <f>INDEX(Raw_Products!$C$2:$C$71,MATCH($F589,Raw_Products!$A$2:$A$71,0))</f>
        <v>Colors</v>
      </c>
      <c r="I589" s="7">
        <f>VALUE(Raw_Orders!D589)</f>
        <v>5</v>
      </c>
      <c r="J589" s="11" t="str">
        <f>INDEX(Raw_Products!$D$2:$D$71,MATCH($F589,Raw_Products!$A$2:$A$71,0))</f>
        <v>903</v>
      </c>
      <c r="K589" s="11">
        <f t="shared" si="18"/>
        <v>4515</v>
      </c>
      <c r="L589" s="12">
        <f>DATE(VALUE(RIGHT(Raw_Orders!E589,4)),VALUE(MID(Raw_Orders!E589,4,2)),VALUE(LEFT(Raw_Orders!E589,2)))</f>
        <v>44961</v>
      </c>
      <c r="M589" s="12">
        <f>DATE(VALUE(RIGHT(Raw_Orders!G589,4)),VALUE(MID(Raw_Orders!G589,4,2)),VALUE(LEFT(Raw_Orders!G589,2)))</f>
        <v>44962</v>
      </c>
      <c r="N589" s="7">
        <f t="shared" si="19"/>
        <v>1</v>
      </c>
      <c r="O589" s="7" t="str">
        <f>Raw_Orders!J589</f>
        <v>Valentine's Day</v>
      </c>
      <c r="P589" s="7" t="str">
        <f>Raw_Orders!I589</f>
        <v>Kishanganj</v>
      </c>
    </row>
    <row r="590" spans="1:16">
      <c r="A590" s="7" t="str">
        <f>Raw_Orders!A590</f>
        <v>589</v>
      </c>
      <c r="B590" s="7" t="str">
        <f>Raw_Orders!B590</f>
        <v>C093</v>
      </c>
      <c r="C590" s="7" t="str">
        <f>INDEX(Raw_Customers!$B$2:$B$101,MATCH($B590,Raw_Customers!$A$2:$A$101,0))</f>
        <v>Mamooty Bawa</v>
      </c>
      <c r="D590" s="7" t="str">
        <f>TRIM(INDEX(Raw_Customers!$C$2:$C$101,MATCH($B590,Raw_Customers!$A$2:$A$101,0)))</f>
        <v>Tumkur</v>
      </c>
      <c r="E590" s="7" t="str">
        <f>"+91-"&amp;RIGHT("0000000000"&amp;INDEX(Raw_Customers!$D$2:$D$101,MATCH($B590,Raw_Customers!$A$2:$A$101,0)),10)</f>
        <v>+91-2783169130</v>
      </c>
      <c r="F590" s="7" t="str">
        <f>Raw_Orders!C590</f>
        <v>40</v>
      </c>
      <c r="G590" s="7" t="str">
        <f>INDEX(Raw_Products!$B$2:$B$71,MATCH($F590,Raw_Products!$A$2:$A$71,0))</f>
        <v>Provident Pack</v>
      </c>
      <c r="H590" s="7" t="str">
        <f>INDEX(Raw_Products!$C$2:$C$71,MATCH($F590,Raw_Products!$A$2:$A$71,0))</f>
        <v>Sweets</v>
      </c>
      <c r="I590" s="7">
        <f>VALUE(Raw_Orders!D590)</f>
        <v>3</v>
      </c>
      <c r="J590" s="11" t="str">
        <f>INDEX(Raw_Products!$D$2:$D$71,MATCH($F590,Raw_Products!$A$2:$A$71,0))</f>
        <v>1923</v>
      </c>
      <c r="K590" s="11">
        <f t="shared" si="18"/>
        <v>5769</v>
      </c>
      <c r="L590" s="12">
        <f>DATE(VALUE(RIGHT(Raw_Orders!E590,4)),VALUE(MID(Raw_Orders!E590,4,2)),VALUE(LEFT(Raw_Orders!E590,2)))</f>
        <v>45269</v>
      </c>
      <c r="M590" s="12">
        <f>DATE(VALUE(RIGHT(Raw_Orders!G590,4)),VALUE(MID(Raw_Orders!G590,4,2)),VALUE(LEFT(Raw_Orders!G590,2)))</f>
        <v>45279</v>
      </c>
      <c r="N590" s="7">
        <f t="shared" si="19"/>
        <v>10</v>
      </c>
      <c r="O590" s="7" t="str">
        <f>Raw_Orders!J590</f>
        <v>Anniversary</v>
      </c>
      <c r="P590" s="7" t="str">
        <f>Raw_Orders!I590</f>
        <v>Lucknow</v>
      </c>
    </row>
    <row r="591" spans="1:16">
      <c r="A591" s="7" t="str">
        <f>Raw_Orders!A591</f>
        <v>590</v>
      </c>
      <c r="B591" s="7" t="str">
        <f>Raw_Orders!B591</f>
        <v>C006</v>
      </c>
      <c r="C591" s="7" t="str">
        <f>INDEX(Raw_Customers!$B$2:$B$101,MATCH($B591,Raw_Customers!$A$2:$A$101,0))</f>
        <v>Rania Mann</v>
      </c>
      <c r="D591" s="7" t="str">
        <f>TRIM(INDEX(Raw_Customers!$C$2:$C$101,MATCH($B591,Raw_Customers!$A$2:$A$101,0)))</f>
        <v>Karimnagar</v>
      </c>
      <c r="E591" s="7" t="str">
        <f>"+91-"&amp;RIGHT("0000000000"&amp;INDEX(Raw_Customers!$D$2:$D$101,MATCH($B591,Raw_Customers!$A$2:$A$101,0)),10)</f>
        <v>+91-9363577179</v>
      </c>
      <c r="F591" s="7" t="str">
        <f>Raw_Orders!C591</f>
        <v>23</v>
      </c>
      <c r="G591" s="7" t="str">
        <f>INDEX(Raw_Products!$B$2:$B$71,MATCH($F591,Raw_Products!$A$2:$A$71,0))</f>
        <v>Dignissimos Pack</v>
      </c>
      <c r="H591" s="7" t="str">
        <f>INDEX(Raw_Products!$C$2:$C$71,MATCH($F591,Raw_Products!$A$2:$A$71,0))</f>
        <v>Sweets</v>
      </c>
      <c r="I591" s="7">
        <f>VALUE(Raw_Orders!D591)</f>
        <v>2</v>
      </c>
      <c r="J591" s="11" t="str">
        <f>INDEX(Raw_Products!$D$2:$D$71,MATCH($F591,Raw_Products!$A$2:$A$71,0))</f>
        <v>1098</v>
      </c>
      <c r="K591" s="11">
        <f t="shared" si="18"/>
        <v>2196</v>
      </c>
      <c r="L591" s="12">
        <f>DATE(VALUE(RIGHT(Raw_Orders!E591,4)),VALUE(MID(Raw_Orders!E591,4,2)),VALUE(LEFT(Raw_Orders!E591,2)))</f>
        <v>44945</v>
      </c>
      <c r="M591" s="12">
        <f>DATE(VALUE(RIGHT(Raw_Orders!G591,4)),VALUE(MID(Raw_Orders!G591,4,2)),VALUE(LEFT(Raw_Orders!G591,2)))</f>
        <v>44949</v>
      </c>
      <c r="N591" s="7">
        <f t="shared" si="19"/>
        <v>4</v>
      </c>
      <c r="O591" s="7" t="str">
        <f>Raw_Orders!J591</f>
        <v>Anniversary</v>
      </c>
      <c r="P591" s="7" t="str">
        <f>Raw_Orders!I591</f>
        <v>Durg</v>
      </c>
    </row>
    <row r="592" spans="1:16">
      <c r="A592" s="7" t="str">
        <f>Raw_Orders!A592</f>
        <v>591</v>
      </c>
      <c r="B592" s="7" t="str">
        <f>Raw_Orders!B592</f>
        <v>C002</v>
      </c>
      <c r="C592" s="7" t="str">
        <f>INDEX(Raw_Customers!$B$2:$B$101,MATCH($B592,Raw_Customers!$A$2:$A$101,0))</f>
        <v>Myra Edwin</v>
      </c>
      <c r="D592" s="7" t="str">
        <f>TRIM(INDEX(Raw_Customers!$C$2:$C$101,MATCH($B592,Raw_Customers!$A$2:$A$101,0)))</f>
        <v>Bulandshahr</v>
      </c>
      <c r="E592" s="7" t="str">
        <f>"+91-"&amp;RIGHT("0000000000"&amp;INDEX(Raw_Customers!$D$2:$D$101,MATCH($B592,Raw_Customers!$A$2:$A$101,0)),10)</f>
        <v>+91-8915420519</v>
      </c>
      <c r="F592" s="7" t="str">
        <f>Raw_Orders!C592</f>
        <v>31</v>
      </c>
      <c r="G592" s="7" t="str">
        <f>INDEX(Raw_Products!$B$2:$B$71,MATCH($F592,Raw_Products!$A$2:$A$71,0))</f>
        <v>Nihil Box</v>
      </c>
      <c r="H592" s="7" t="str">
        <f>INDEX(Raw_Products!$C$2:$C$71,MATCH($F592,Raw_Products!$A$2:$A$71,0))</f>
        <v>Colors</v>
      </c>
      <c r="I592" s="7">
        <f>VALUE(Raw_Orders!D592)</f>
        <v>3</v>
      </c>
      <c r="J592" s="11" t="str">
        <f>INDEX(Raw_Products!$D$2:$D$71,MATCH($F592,Raw_Products!$A$2:$A$71,0))</f>
        <v>1804</v>
      </c>
      <c r="K592" s="11">
        <f t="shared" si="18"/>
        <v>5412</v>
      </c>
      <c r="L592" s="12">
        <f>DATE(VALUE(RIGHT(Raw_Orders!E592,4)),VALUE(MID(Raw_Orders!E592,4,2)),VALUE(LEFT(Raw_Orders!E592,2)))</f>
        <v>45113</v>
      </c>
      <c r="M592" s="12">
        <f>DATE(VALUE(RIGHT(Raw_Orders!G592,4)),VALUE(MID(Raw_Orders!G592,4,2)),VALUE(LEFT(Raw_Orders!G592,2)))</f>
        <v>45121</v>
      </c>
      <c r="N592" s="7">
        <f t="shared" si="19"/>
        <v>8</v>
      </c>
      <c r="O592" s="7" t="str">
        <f>Raw_Orders!J592</f>
        <v>All Occasions</v>
      </c>
      <c r="P592" s="7" t="str">
        <f>Raw_Orders!I592</f>
        <v>Surat</v>
      </c>
    </row>
    <row r="593" spans="1:16">
      <c r="A593" s="7" t="str">
        <f>Raw_Orders!A593</f>
        <v>592</v>
      </c>
      <c r="B593" s="7" t="str">
        <f>Raw_Orders!B593</f>
        <v>C007</v>
      </c>
      <c r="C593" s="7" t="str">
        <f>INDEX(Raw_Customers!$B$2:$B$101,MATCH($B593,Raw_Customers!$A$2:$A$101,0))</f>
        <v>Jayant Kamdar</v>
      </c>
      <c r="D593" s="7" t="str">
        <f>TRIM(INDEX(Raw_Customers!$C$2:$C$101,MATCH($B593,Raw_Customers!$A$2:$A$101,0)))</f>
        <v>Berhampore</v>
      </c>
      <c r="E593" s="7" t="str">
        <f>"+91-"&amp;RIGHT("0000000000"&amp;INDEX(Raw_Customers!$D$2:$D$101,MATCH($B593,Raw_Customers!$A$2:$A$101,0)),10)</f>
        <v>+91-8576675504</v>
      </c>
      <c r="F593" s="7" t="str">
        <f>Raw_Orders!C593</f>
        <v>47</v>
      </c>
      <c r="G593" s="7" t="str">
        <f>INDEX(Raw_Products!$B$2:$B$71,MATCH($F593,Raw_Products!$A$2:$A$71,0))</f>
        <v>Harum Pack</v>
      </c>
      <c r="H593" s="7" t="str">
        <f>INDEX(Raw_Products!$C$2:$C$71,MATCH($F593,Raw_Products!$A$2:$A$71,0))</f>
        <v>Colors</v>
      </c>
      <c r="I593" s="7">
        <f>VALUE(Raw_Orders!D593)</f>
        <v>5</v>
      </c>
      <c r="J593" s="11" t="str">
        <f>INDEX(Raw_Products!$D$2:$D$71,MATCH($F593,Raw_Products!$A$2:$A$71,0))</f>
        <v>1638</v>
      </c>
      <c r="K593" s="11">
        <f t="shared" si="18"/>
        <v>8190</v>
      </c>
      <c r="L593" s="12">
        <f>DATE(VALUE(RIGHT(Raw_Orders!E593,4)),VALUE(MID(Raw_Orders!E593,4,2)),VALUE(LEFT(Raw_Orders!E593,2)))</f>
        <v>44992</v>
      </c>
      <c r="M593" s="12">
        <f>DATE(VALUE(RIGHT(Raw_Orders!G593,4)),VALUE(MID(Raw_Orders!G593,4,2)),VALUE(LEFT(Raw_Orders!G593,2)))</f>
        <v>44996</v>
      </c>
      <c r="N593" s="7">
        <f t="shared" si="19"/>
        <v>4</v>
      </c>
      <c r="O593" s="7" t="str">
        <f>Raw_Orders!J593</f>
        <v>Holi</v>
      </c>
      <c r="P593" s="7" t="str">
        <f>Raw_Orders!I593</f>
        <v>Phusro</v>
      </c>
    </row>
    <row r="594" spans="1:16">
      <c r="A594" s="7" t="str">
        <f>Raw_Orders!A594</f>
        <v>593</v>
      </c>
      <c r="B594" s="7" t="str">
        <f>Raw_Orders!B594</f>
        <v>C016</v>
      </c>
      <c r="C594" s="7" t="str">
        <f>INDEX(Raw_Customers!$B$2:$B$101,MATCH($B594,Raw_Customers!$A$2:$A$101,0))</f>
        <v>Amani Ganesh</v>
      </c>
      <c r="D594" s="7" t="str">
        <f>TRIM(INDEX(Raw_Customers!$C$2:$C$101,MATCH($B594,Raw_Customers!$A$2:$A$101,0)))</f>
        <v>Tenali</v>
      </c>
      <c r="E594" s="7" t="str">
        <f>"+91-"&amp;RIGHT("0000000000"&amp;INDEX(Raw_Customers!$D$2:$D$101,MATCH($B594,Raw_Customers!$A$2:$A$101,0)),10)</f>
        <v>+91-8482992702</v>
      </c>
      <c r="F594" s="7" t="str">
        <f>Raw_Orders!C594</f>
        <v>58</v>
      </c>
      <c r="G594" s="7" t="str">
        <f>INDEX(Raw_Products!$B$2:$B$71,MATCH($F594,Raw_Products!$A$2:$A$71,0))</f>
        <v>Sed Pack</v>
      </c>
      <c r="H594" s="7" t="str">
        <f>INDEX(Raw_Products!$C$2:$C$71,MATCH($F594,Raw_Products!$A$2:$A$71,0))</f>
        <v>Cake</v>
      </c>
      <c r="I594" s="7">
        <f>VALUE(Raw_Orders!D594)</f>
        <v>3</v>
      </c>
      <c r="J594" s="11" t="str">
        <f>INDEX(Raw_Products!$D$2:$D$71,MATCH($F594,Raw_Products!$A$2:$A$71,0))</f>
        <v>1492</v>
      </c>
      <c r="K594" s="11">
        <f t="shared" si="18"/>
        <v>4476</v>
      </c>
      <c r="L594" s="12">
        <f>DATE(VALUE(RIGHT(Raw_Orders!E594,4)),VALUE(MID(Raw_Orders!E594,4,2)),VALUE(LEFT(Raw_Orders!E594,2)))</f>
        <v>44962</v>
      </c>
      <c r="M594" s="12">
        <f>DATE(VALUE(RIGHT(Raw_Orders!G594,4)),VALUE(MID(Raw_Orders!G594,4,2)),VALUE(LEFT(Raw_Orders!G594,2)))</f>
        <v>44969</v>
      </c>
      <c r="N594" s="7">
        <f t="shared" si="19"/>
        <v>7</v>
      </c>
      <c r="O594" s="7" t="str">
        <f>Raw_Orders!J594</f>
        <v>Valentine's Day</v>
      </c>
      <c r="P594" s="7" t="str">
        <f>Raw_Orders!I594</f>
        <v>Bhilai</v>
      </c>
    </row>
    <row r="595" spans="1:16">
      <c r="A595" s="7" t="str">
        <f>Raw_Orders!A595</f>
        <v>594</v>
      </c>
      <c r="B595" s="7" t="str">
        <f>Raw_Orders!B595</f>
        <v>C060</v>
      </c>
      <c r="C595" s="7" t="str">
        <f>INDEX(Raw_Customers!$B$2:$B$101,MATCH($B595,Raw_Customers!$A$2:$A$101,0))</f>
        <v>Riya Wagle</v>
      </c>
      <c r="D595" s="7" t="str">
        <f>TRIM(INDEX(Raw_Customers!$C$2:$C$101,MATCH($B595,Raw_Customers!$A$2:$A$101,0)))</f>
        <v>Satara</v>
      </c>
      <c r="E595" s="7" t="str">
        <f>"+91-"&amp;RIGHT("0000000000"&amp;INDEX(Raw_Customers!$D$2:$D$101,MATCH($B595,Raw_Customers!$A$2:$A$101,0)),10)</f>
        <v>+91-0214103009</v>
      </c>
      <c r="F595" s="7" t="str">
        <f>Raw_Orders!C595</f>
        <v>20</v>
      </c>
      <c r="G595" s="7" t="str">
        <f>INDEX(Raw_Products!$B$2:$B$71,MATCH($F595,Raw_Products!$A$2:$A$71,0))</f>
        <v>Reiciendis Box</v>
      </c>
      <c r="H595" s="7" t="str">
        <f>INDEX(Raw_Products!$C$2:$C$71,MATCH($F595,Raw_Products!$A$2:$A$71,0))</f>
        <v>Colors</v>
      </c>
      <c r="I595" s="7">
        <f>VALUE(Raw_Orders!D595)</f>
        <v>2</v>
      </c>
      <c r="J595" s="11" t="str">
        <f>INDEX(Raw_Products!$D$2:$D$71,MATCH($F595,Raw_Products!$A$2:$A$71,0))</f>
        <v>697</v>
      </c>
      <c r="K595" s="11">
        <f t="shared" si="18"/>
        <v>1394</v>
      </c>
      <c r="L595" s="12">
        <f>DATE(VALUE(RIGHT(Raw_Orders!E595,4)),VALUE(MID(Raw_Orders!E595,4,2)),VALUE(LEFT(Raw_Orders!E595,2)))</f>
        <v>45072</v>
      </c>
      <c r="M595" s="12">
        <f>DATE(VALUE(RIGHT(Raw_Orders!G595,4)),VALUE(MID(Raw_Orders!G595,4,2)),VALUE(LEFT(Raw_Orders!G595,2)))</f>
        <v>45078</v>
      </c>
      <c r="N595" s="7">
        <f t="shared" si="19"/>
        <v>6</v>
      </c>
      <c r="O595" s="7" t="str">
        <f>Raw_Orders!J595</f>
        <v>Anniversary</v>
      </c>
      <c r="P595" s="7" t="str">
        <f>Raw_Orders!I595</f>
        <v>Varanasi</v>
      </c>
    </row>
    <row r="596" spans="1:16">
      <c r="A596" s="7" t="str">
        <f>Raw_Orders!A596</f>
        <v>595</v>
      </c>
      <c r="B596" s="7" t="str">
        <f>Raw_Orders!B596</f>
        <v>C022</v>
      </c>
      <c r="C596" s="7" t="str">
        <f>INDEX(Raw_Customers!$B$2:$B$101,MATCH($B596,Raw_Customers!$A$2:$A$101,0))</f>
        <v>Ivana Rout</v>
      </c>
      <c r="D596" s="7" t="str">
        <f>TRIM(INDEX(Raw_Customers!$C$2:$C$101,MATCH($B596,Raw_Customers!$A$2:$A$101,0)))</f>
        <v>Khandwa</v>
      </c>
      <c r="E596" s="7" t="str">
        <f>"+91-"&amp;RIGHT("0000000000"&amp;INDEX(Raw_Customers!$D$2:$D$101,MATCH($B596,Raw_Customers!$A$2:$A$101,0)),10)</f>
        <v>+91-3111711777</v>
      </c>
      <c r="F596" s="7" t="str">
        <f>Raw_Orders!C596</f>
        <v>51</v>
      </c>
      <c r="G596" s="7" t="str">
        <f>INDEX(Raw_Products!$B$2:$B$71,MATCH($F596,Raw_Products!$A$2:$A$71,0))</f>
        <v>Fugit Set</v>
      </c>
      <c r="H596" s="7" t="str">
        <f>INDEX(Raw_Products!$C$2:$C$71,MATCH($F596,Raw_Products!$A$2:$A$71,0))</f>
        <v>Soft Toys</v>
      </c>
      <c r="I596" s="7">
        <f>VALUE(Raw_Orders!D596)</f>
        <v>4</v>
      </c>
      <c r="J596" s="11" t="str">
        <f>INDEX(Raw_Products!$D$2:$D$71,MATCH($F596,Raw_Products!$A$2:$A$71,0))</f>
        <v>1084</v>
      </c>
      <c r="K596" s="11">
        <f t="shared" si="18"/>
        <v>4336</v>
      </c>
      <c r="L596" s="12">
        <f>DATE(VALUE(RIGHT(Raw_Orders!E596,4)),VALUE(MID(Raw_Orders!E596,4,2)),VALUE(LEFT(Raw_Orders!E596,2)))</f>
        <v>45238</v>
      </c>
      <c r="M596" s="12">
        <f>DATE(VALUE(RIGHT(Raw_Orders!G596,4)),VALUE(MID(Raw_Orders!G596,4,2)),VALUE(LEFT(Raw_Orders!G596,2)))</f>
        <v>45245</v>
      </c>
      <c r="N596" s="7">
        <f t="shared" si="19"/>
        <v>7</v>
      </c>
      <c r="O596" s="7" t="str">
        <f>Raw_Orders!J596</f>
        <v>All Occasions</v>
      </c>
      <c r="P596" s="7" t="str">
        <f>Raw_Orders!I596</f>
        <v>Dhanbad</v>
      </c>
    </row>
    <row r="597" spans="1:16">
      <c r="A597" s="7" t="str">
        <f>Raw_Orders!A597</f>
        <v>596</v>
      </c>
      <c r="B597" s="7" t="str">
        <f>Raw_Orders!B597</f>
        <v>C046</v>
      </c>
      <c r="C597" s="7" t="str">
        <f>INDEX(Raw_Customers!$B$2:$B$101,MATCH($B597,Raw_Customers!$A$2:$A$101,0))</f>
        <v>Tara Kannan</v>
      </c>
      <c r="D597" s="7" t="str">
        <f>TRIM(INDEX(Raw_Customers!$C$2:$C$101,MATCH($B597,Raw_Customers!$A$2:$A$101,0)))</f>
        <v>Guna</v>
      </c>
      <c r="E597" s="7" t="str">
        <f>"+91-"&amp;RIGHT("0000000000"&amp;INDEX(Raw_Customers!$D$2:$D$101,MATCH($B597,Raw_Customers!$A$2:$A$101,0)),10)</f>
        <v>+91-7543187237</v>
      </c>
      <c r="F597" s="7" t="str">
        <f>Raw_Orders!C597</f>
        <v>50</v>
      </c>
      <c r="G597" s="7" t="str">
        <f>INDEX(Raw_Products!$B$2:$B$71,MATCH($F597,Raw_Products!$A$2:$A$71,0))</f>
        <v>Eligendi Set</v>
      </c>
      <c r="H597" s="7" t="str">
        <f>INDEX(Raw_Products!$C$2:$C$71,MATCH($F597,Raw_Products!$A$2:$A$71,0))</f>
        <v>Plants</v>
      </c>
      <c r="I597" s="7">
        <f>VALUE(Raw_Orders!D597)</f>
        <v>1</v>
      </c>
      <c r="J597" s="11" t="str">
        <f>INDEX(Raw_Products!$D$2:$D$71,MATCH($F597,Raw_Products!$A$2:$A$71,0))</f>
        <v>422</v>
      </c>
      <c r="K597" s="11">
        <f t="shared" si="18"/>
        <v>422</v>
      </c>
      <c r="L597" s="12">
        <f>DATE(VALUE(RIGHT(Raw_Orders!E597,4)),VALUE(MID(Raw_Orders!E597,4,2)),VALUE(LEFT(Raw_Orders!E597,2)))</f>
        <v>44990</v>
      </c>
      <c r="M597" s="12">
        <f>DATE(VALUE(RIGHT(Raw_Orders!G597,4)),VALUE(MID(Raw_Orders!G597,4,2)),VALUE(LEFT(Raw_Orders!G597,2)))</f>
        <v>44999</v>
      </c>
      <c r="N597" s="7">
        <f t="shared" si="19"/>
        <v>9</v>
      </c>
      <c r="O597" s="7" t="str">
        <f>Raw_Orders!J597</f>
        <v>Holi</v>
      </c>
      <c r="P597" s="7" t="str">
        <f>Raw_Orders!I597</f>
        <v>Tiruppur</v>
      </c>
    </row>
    <row r="598" spans="1:16">
      <c r="A598" s="7" t="str">
        <f>Raw_Orders!A598</f>
        <v>597</v>
      </c>
      <c r="B598" s="7" t="str">
        <f>Raw_Orders!B598</f>
        <v>C074</v>
      </c>
      <c r="C598" s="7" t="str">
        <f>INDEX(Raw_Customers!$B$2:$B$101,MATCH($B598,Raw_Customers!$A$2:$A$101,0))</f>
        <v>Vanya Apte</v>
      </c>
      <c r="D598" s="7" t="str">
        <f>TRIM(INDEX(Raw_Customers!$C$2:$C$101,MATCH($B598,Raw_Customers!$A$2:$A$101,0)))</f>
        <v>Sultan Pur Majra</v>
      </c>
      <c r="E598" s="7" t="str">
        <f>"+91-"&amp;RIGHT("0000000000"&amp;INDEX(Raw_Customers!$D$2:$D$101,MATCH($B598,Raw_Customers!$A$2:$A$101,0)),10)</f>
        <v>+91-9182523205</v>
      </c>
      <c r="F598" s="7" t="str">
        <f>Raw_Orders!C598</f>
        <v>16</v>
      </c>
      <c r="G598" s="7" t="str">
        <f>INDEX(Raw_Products!$B$2:$B$71,MATCH($F598,Raw_Products!$A$2:$A$71,0))</f>
        <v>Ut Pack</v>
      </c>
      <c r="H598" s="7" t="str">
        <f>INDEX(Raw_Products!$C$2:$C$71,MATCH($F598,Raw_Products!$A$2:$A$71,0))</f>
        <v>Sweets</v>
      </c>
      <c r="I598" s="7">
        <f>VALUE(Raw_Orders!D598)</f>
        <v>1</v>
      </c>
      <c r="J598" s="11" t="str">
        <f>INDEX(Raw_Products!$D$2:$D$71,MATCH($F598,Raw_Products!$A$2:$A$71,0))</f>
        <v>1721</v>
      </c>
      <c r="K598" s="11">
        <f t="shared" si="18"/>
        <v>1721</v>
      </c>
      <c r="L598" s="12">
        <f>DATE(VALUE(RIGHT(Raw_Orders!E598,4)),VALUE(MID(Raw_Orders!E598,4,2)),VALUE(LEFT(Raw_Orders!E598,2)))</f>
        <v>44986</v>
      </c>
      <c r="M598" s="12">
        <f>DATE(VALUE(RIGHT(Raw_Orders!G598,4)),VALUE(MID(Raw_Orders!G598,4,2)),VALUE(LEFT(Raw_Orders!G598,2)))</f>
        <v>44991</v>
      </c>
      <c r="N598" s="7">
        <f t="shared" si="19"/>
        <v>5</v>
      </c>
      <c r="O598" s="7" t="str">
        <f>Raw_Orders!J598</f>
        <v>Holi</v>
      </c>
      <c r="P598" s="7" t="str">
        <f>Raw_Orders!I598</f>
        <v>Pimpri-Chinchwad</v>
      </c>
    </row>
    <row r="599" spans="1:16">
      <c r="A599" s="7" t="str">
        <f>Raw_Orders!A599</f>
        <v>598</v>
      </c>
      <c r="B599" s="7" t="str">
        <f>Raw_Orders!B599</f>
        <v>C054</v>
      </c>
      <c r="C599" s="7" t="str">
        <f>INDEX(Raw_Customers!$B$2:$B$101,MATCH($B599,Raw_Customers!$A$2:$A$101,0))</f>
        <v>Umang Ahuja</v>
      </c>
      <c r="D599" s="7" t="str">
        <f>TRIM(INDEX(Raw_Customers!$C$2:$C$101,MATCH($B599,Raw_Customers!$A$2:$A$101,0)))</f>
        <v>Bidhannagar</v>
      </c>
      <c r="E599" s="7" t="str">
        <f>"+91-"&amp;RIGHT("0000000000"&amp;INDEX(Raw_Customers!$D$2:$D$101,MATCH($B599,Raw_Customers!$A$2:$A$101,0)),10)</f>
        <v>+91-7271590783</v>
      </c>
      <c r="F599" s="7" t="str">
        <f>Raw_Orders!C599</f>
        <v>37</v>
      </c>
      <c r="G599" s="7" t="str">
        <f>INDEX(Raw_Products!$B$2:$B$71,MATCH($F599,Raw_Products!$A$2:$A$71,0))</f>
        <v>Officiis Pack</v>
      </c>
      <c r="H599" s="7" t="str">
        <f>INDEX(Raw_Products!$C$2:$C$71,MATCH($F599,Raw_Products!$A$2:$A$71,0))</f>
        <v>Colors</v>
      </c>
      <c r="I599" s="7">
        <f>VALUE(Raw_Orders!D599)</f>
        <v>3</v>
      </c>
      <c r="J599" s="11" t="str">
        <f>INDEX(Raw_Products!$D$2:$D$71,MATCH($F599,Raw_Products!$A$2:$A$71,0))</f>
        <v>1428</v>
      </c>
      <c r="K599" s="11">
        <f t="shared" si="18"/>
        <v>4284</v>
      </c>
      <c r="L599" s="12">
        <f>DATE(VALUE(RIGHT(Raw_Orders!E599,4)),VALUE(MID(Raw_Orders!E599,4,2)),VALUE(LEFT(Raw_Orders!E599,2)))</f>
        <v>45241</v>
      </c>
      <c r="M599" s="12">
        <f>DATE(VALUE(RIGHT(Raw_Orders!G599,4)),VALUE(MID(Raw_Orders!G599,4,2)),VALUE(LEFT(Raw_Orders!G599,2)))</f>
        <v>45248</v>
      </c>
      <c r="N599" s="7">
        <f t="shared" si="19"/>
        <v>7</v>
      </c>
      <c r="O599" s="7" t="str">
        <f>Raw_Orders!J599</f>
        <v>Diwali</v>
      </c>
      <c r="P599" s="7" t="str">
        <f>Raw_Orders!I599</f>
        <v>Ratlam</v>
      </c>
    </row>
    <row r="600" spans="1:16">
      <c r="A600" s="7" t="str">
        <f>Raw_Orders!A600</f>
        <v>599</v>
      </c>
      <c r="B600" s="7" t="str">
        <f>Raw_Orders!B600</f>
        <v>C004</v>
      </c>
      <c r="C600" s="7" t="str">
        <f>INDEX(Raw_Customers!$B$2:$B$101,MATCH($B600,Raw_Customers!$A$2:$A$101,0))</f>
        <v>Tarini Bava</v>
      </c>
      <c r="D600" s="7" t="str">
        <f>TRIM(INDEX(Raw_Customers!$C$2:$C$101,MATCH($B600,Raw_Customers!$A$2:$A$101,0)))</f>
        <v>Miryalaguda</v>
      </c>
      <c r="E600" s="7" t="str">
        <f>"+91-"&amp;RIGHT("0000000000"&amp;INDEX(Raw_Customers!$D$2:$D$101,MATCH($B600,Raw_Customers!$A$2:$A$101,0)),10)</f>
        <v>+91-7232349928</v>
      </c>
      <c r="F600" s="7" t="str">
        <f>Raw_Orders!C600</f>
        <v>34</v>
      </c>
      <c r="G600" s="7" t="str">
        <f>INDEX(Raw_Products!$B$2:$B$71,MATCH($F600,Raw_Products!$A$2:$A$71,0))</f>
        <v>Placeat Pack</v>
      </c>
      <c r="H600" s="7" t="str">
        <f>INDEX(Raw_Products!$C$2:$C$71,MATCH($F600,Raw_Products!$A$2:$A$71,0))</f>
        <v>Soft Toys</v>
      </c>
      <c r="I600" s="7">
        <f>VALUE(Raw_Orders!D600)</f>
        <v>1</v>
      </c>
      <c r="J600" s="11" t="str">
        <f>INDEX(Raw_Products!$D$2:$D$71,MATCH($F600,Raw_Products!$A$2:$A$71,0))</f>
        <v>1335</v>
      </c>
      <c r="K600" s="11">
        <f t="shared" si="18"/>
        <v>1335</v>
      </c>
      <c r="L600" s="12">
        <f>DATE(VALUE(RIGHT(Raw_Orders!E600,4)),VALUE(MID(Raw_Orders!E600,4,2)),VALUE(LEFT(Raw_Orders!E600,2)))</f>
        <v>45159</v>
      </c>
      <c r="M600" s="12">
        <f>DATE(VALUE(RIGHT(Raw_Orders!G600,4)),VALUE(MID(Raw_Orders!G600,4,2)),VALUE(LEFT(Raw_Orders!G600,2)))</f>
        <v>45162</v>
      </c>
      <c r="N600" s="7">
        <f t="shared" si="19"/>
        <v>3</v>
      </c>
      <c r="O600" s="7" t="str">
        <f>Raw_Orders!J600</f>
        <v>Raksha Bandhan</v>
      </c>
      <c r="P600" s="7" t="str">
        <f>Raw_Orders!I600</f>
        <v>Naihati</v>
      </c>
    </row>
    <row r="601" spans="1:16">
      <c r="A601" s="7" t="str">
        <f>Raw_Orders!A601</f>
        <v>600</v>
      </c>
      <c r="B601" s="7" t="str">
        <f>Raw_Orders!B601</f>
        <v>C095</v>
      </c>
      <c r="C601" s="7" t="str">
        <f>INDEX(Raw_Customers!$B$2:$B$101,MATCH($B601,Raw_Customers!$A$2:$A$101,0))</f>
        <v>Mahika Cherian</v>
      </c>
      <c r="D601" s="7" t="str">
        <f>TRIM(INDEX(Raw_Customers!$C$2:$C$101,MATCH($B601,Raw_Customers!$A$2:$A$101,0)))</f>
        <v>Warangal</v>
      </c>
      <c r="E601" s="7" t="str">
        <f>"+91-"&amp;RIGHT("0000000000"&amp;INDEX(Raw_Customers!$D$2:$D$101,MATCH($B601,Raw_Customers!$A$2:$A$101,0)),10)</f>
        <v>+91-2769457161</v>
      </c>
      <c r="F601" s="7" t="str">
        <f>Raw_Orders!C601</f>
        <v>47</v>
      </c>
      <c r="G601" s="7" t="str">
        <f>INDEX(Raw_Products!$B$2:$B$71,MATCH($F601,Raw_Products!$A$2:$A$71,0))</f>
        <v>Harum Pack</v>
      </c>
      <c r="H601" s="7" t="str">
        <f>INDEX(Raw_Products!$C$2:$C$71,MATCH($F601,Raw_Products!$A$2:$A$71,0))</f>
        <v>Colors</v>
      </c>
      <c r="I601" s="7">
        <f>VALUE(Raw_Orders!D601)</f>
        <v>4</v>
      </c>
      <c r="J601" s="11" t="str">
        <f>INDEX(Raw_Products!$D$2:$D$71,MATCH($F601,Raw_Products!$A$2:$A$71,0))</f>
        <v>1638</v>
      </c>
      <c r="K601" s="11">
        <f t="shared" si="18"/>
        <v>6552</v>
      </c>
      <c r="L601" s="12">
        <f>DATE(VALUE(RIGHT(Raw_Orders!E601,4)),VALUE(MID(Raw_Orders!E601,4,2)),VALUE(LEFT(Raw_Orders!E601,2)))</f>
        <v>44992</v>
      </c>
      <c r="M601" s="12">
        <f>DATE(VALUE(RIGHT(Raw_Orders!G601,4)),VALUE(MID(Raw_Orders!G601,4,2)),VALUE(LEFT(Raw_Orders!G601,2)))</f>
        <v>44994</v>
      </c>
      <c r="N601" s="7">
        <f t="shared" si="19"/>
        <v>2</v>
      </c>
      <c r="O601" s="7" t="str">
        <f>Raw_Orders!J601</f>
        <v>Holi</v>
      </c>
      <c r="P601" s="7" t="str">
        <f>Raw_Orders!I601</f>
        <v>Shimla</v>
      </c>
    </row>
    <row r="602" spans="1:16">
      <c r="A602" s="7" t="str">
        <f>Raw_Orders!A602</f>
        <v>601</v>
      </c>
      <c r="B602" s="7" t="str">
        <f>Raw_Orders!B602</f>
        <v>C030</v>
      </c>
      <c r="C602" s="7" t="str">
        <f>INDEX(Raw_Customers!$B$2:$B$101,MATCH($B602,Raw_Customers!$A$2:$A$101,0))</f>
        <v>Vardaniya Contractor</v>
      </c>
      <c r="D602" s="7" t="str">
        <f>TRIM(INDEX(Raw_Customers!$C$2:$C$101,MATCH($B602,Raw_Customers!$A$2:$A$101,0)))</f>
        <v>Sambhal</v>
      </c>
      <c r="E602" s="7" t="str">
        <f>"+91-"&amp;RIGHT("0000000000"&amp;INDEX(Raw_Customers!$D$2:$D$101,MATCH($B602,Raw_Customers!$A$2:$A$101,0)),10)</f>
        <v>+91-9972300876</v>
      </c>
      <c r="F602" s="7" t="str">
        <f>Raw_Orders!C602</f>
        <v>1</v>
      </c>
      <c r="G602" s="7" t="str">
        <f>INDEX(Raw_Products!$B$2:$B$71,MATCH($F602,Raw_Products!$A$2:$A$71,0))</f>
        <v>Magnam Set</v>
      </c>
      <c r="H602" s="7" t="str">
        <f>INDEX(Raw_Products!$C$2:$C$71,MATCH($F602,Raw_Products!$A$2:$A$71,0))</f>
        <v>Soft Toys</v>
      </c>
      <c r="I602" s="7">
        <f>VALUE(Raw_Orders!D602)</f>
        <v>4</v>
      </c>
      <c r="J602" s="11" t="str">
        <f>INDEX(Raw_Products!$D$2:$D$71,MATCH($F602,Raw_Products!$A$2:$A$71,0))</f>
        <v>1935</v>
      </c>
      <c r="K602" s="11">
        <f t="shared" si="18"/>
        <v>7740</v>
      </c>
      <c r="L602" s="12">
        <f>DATE(VALUE(RIGHT(Raw_Orders!E602,4)),VALUE(MID(Raw_Orders!E602,4,2)),VALUE(LEFT(Raw_Orders!E602,2)))</f>
        <v>44999</v>
      </c>
      <c r="M602" s="12">
        <f>DATE(VALUE(RIGHT(Raw_Orders!G602,4)),VALUE(MID(Raw_Orders!G602,4,2)),VALUE(LEFT(Raw_Orders!G602,2)))</f>
        <v>45003</v>
      </c>
      <c r="N602" s="7">
        <f t="shared" si="19"/>
        <v>4</v>
      </c>
      <c r="O602" s="7" t="str">
        <f>Raw_Orders!J602</f>
        <v>All Occasions</v>
      </c>
      <c r="P602" s="7" t="str">
        <f>Raw_Orders!I602</f>
        <v>Raurkela Industrial Township</v>
      </c>
    </row>
    <row r="603" spans="1:16">
      <c r="A603" s="7" t="str">
        <f>Raw_Orders!A603</f>
        <v>602</v>
      </c>
      <c r="B603" s="7" t="str">
        <f>Raw_Orders!B603</f>
        <v>C042</v>
      </c>
      <c r="C603" s="7" t="str">
        <f>INDEX(Raw_Customers!$B$2:$B$101,MATCH($B603,Raw_Customers!$A$2:$A$101,0))</f>
        <v>Eshani Sharma</v>
      </c>
      <c r="D603" s="7" t="str">
        <f>TRIM(INDEX(Raw_Customers!$C$2:$C$101,MATCH($B603,Raw_Customers!$A$2:$A$101,0)))</f>
        <v>Ajmer</v>
      </c>
      <c r="E603" s="7" t="str">
        <f>"+91-"&amp;RIGHT("0000000000"&amp;INDEX(Raw_Customers!$D$2:$D$101,MATCH($B603,Raw_Customers!$A$2:$A$101,0)),10)</f>
        <v>+91-6843169694</v>
      </c>
      <c r="F603" s="7" t="str">
        <f>Raw_Orders!C603</f>
        <v>43</v>
      </c>
      <c r="G603" s="7" t="str">
        <f>INDEX(Raw_Products!$B$2:$B$71,MATCH($F603,Raw_Products!$A$2:$A$71,0))</f>
        <v>Quisquam Pack</v>
      </c>
      <c r="H603" s="7" t="str">
        <f>INDEX(Raw_Products!$C$2:$C$71,MATCH($F603,Raw_Products!$A$2:$A$71,0))</f>
        <v>Raksha Bandhan</v>
      </c>
      <c r="I603" s="7">
        <f>VALUE(Raw_Orders!D603)</f>
        <v>5</v>
      </c>
      <c r="J603" s="11" t="str">
        <f>INDEX(Raw_Products!$D$2:$D$71,MATCH($F603,Raw_Products!$A$2:$A$71,0))</f>
        <v>750</v>
      </c>
      <c r="K603" s="11">
        <f t="shared" si="18"/>
        <v>3750</v>
      </c>
      <c r="L603" s="12">
        <f>DATE(VALUE(RIGHT(Raw_Orders!E603,4)),VALUE(MID(Raw_Orders!E603,4,2)),VALUE(LEFT(Raw_Orders!E603,2)))</f>
        <v>45232</v>
      </c>
      <c r="M603" s="12">
        <f>DATE(VALUE(RIGHT(Raw_Orders!G603,4)),VALUE(MID(Raw_Orders!G603,4,2)),VALUE(LEFT(Raw_Orders!G603,2)))</f>
        <v>45241</v>
      </c>
      <c r="N603" s="7">
        <f t="shared" si="19"/>
        <v>9</v>
      </c>
      <c r="O603" s="7" t="str">
        <f>Raw_Orders!J603</f>
        <v>Diwali</v>
      </c>
      <c r="P603" s="7" t="str">
        <f>Raw_Orders!I603</f>
        <v>Buxar</v>
      </c>
    </row>
    <row r="604" spans="1:16">
      <c r="A604" s="7" t="str">
        <f>Raw_Orders!A604</f>
        <v>603</v>
      </c>
      <c r="B604" s="7" t="str">
        <f>Raw_Orders!B604</f>
        <v>C079</v>
      </c>
      <c r="C604" s="7" t="str">
        <f>INDEX(Raw_Customers!$B$2:$B$101,MATCH($B604,Raw_Customers!$A$2:$A$101,0))</f>
        <v>Vedika Sankaran</v>
      </c>
      <c r="D604" s="7" t="str">
        <f>TRIM(INDEX(Raw_Customers!$C$2:$C$101,MATCH($B604,Raw_Customers!$A$2:$A$101,0)))</f>
        <v>Bhilai</v>
      </c>
      <c r="E604" s="7" t="str">
        <f>"+91-"&amp;RIGHT("0000000000"&amp;INDEX(Raw_Customers!$D$2:$D$101,MATCH($B604,Raw_Customers!$A$2:$A$101,0)),10)</f>
        <v>+91-7606054646</v>
      </c>
      <c r="F604" s="7" t="str">
        <f>Raw_Orders!C604</f>
        <v>8</v>
      </c>
      <c r="G604" s="7" t="str">
        <f>INDEX(Raw_Products!$B$2:$B$71,MATCH($F604,Raw_Products!$A$2:$A$71,0))</f>
        <v>Qui Box</v>
      </c>
      <c r="H604" s="7" t="str">
        <f>INDEX(Raw_Products!$C$2:$C$71,MATCH($F604,Raw_Products!$A$2:$A$71,0))</f>
        <v>Sweets</v>
      </c>
      <c r="I604" s="7">
        <f>VALUE(Raw_Orders!D604)</f>
        <v>3</v>
      </c>
      <c r="J604" s="11" t="str">
        <f>INDEX(Raw_Products!$D$2:$D$71,MATCH($F604,Raw_Products!$A$2:$A$71,0))</f>
        <v>252</v>
      </c>
      <c r="K604" s="11">
        <f t="shared" si="18"/>
        <v>756</v>
      </c>
      <c r="L604" s="12">
        <f>DATE(VALUE(RIGHT(Raw_Orders!E604,4)),VALUE(MID(Raw_Orders!E604,4,2)),VALUE(LEFT(Raw_Orders!E604,2)))</f>
        <v>45075</v>
      </c>
      <c r="M604" s="12">
        <f>DATE(VALUE(RIGHT(Raw_Orders!G604,4)),VALUE(MID(Raw_Orders!G604,4,2)),VALUE(LEFT(Raw_Orders!G604,2)))</f>
        <v>45084</v>
      </c>
      <c r="N604" s="7">
        <f t="shared" si="19"/>
        <v>9</v>
      </c>
      <c r="O604" s="7" t="str">
        <f>Raw_Orders!J604</f>
        <v>Anniversary</v>
      </c>
      <c r="P604" s="7" t="str">
        <f>Raw_Orders!I604</f>
        <v>Tiruvottiyur</v>
      </c>
    </row>
    <row r="605" spans="1:16">
      <c r="A605" s="7" t="str">
        <f>Raw_Orders!A605</f>
        <v>604</v>
      </c>
      <c r="B605" s="7" t="str">
        <f>Raw_Orders!B605</f>
        <v>C069</v>
      </c>
      <c r="C605" s="7" t="str">
        <f>INDEX(Raw_Customers!$B$2:$B$101,MATCH($B605,Raw_Customers!$A$2:$A$101,0))</f>
        <v>Hunar Tripathi</v>
      </c>
      <c r="D605" s="7" t="str">
        <f>TRIM(INDEX(Raw_Customers!$C$2:$C$101,MATCH($B605,Raw_Customers!$A$2:$A$101,0)))</f>
        <v>Madhyamgram</v>
      </c>
      <c r="E605" s="7" t="str">
        <f>"+91-"&amp;RIGHT("0000000000"&amp;INDEX(Raw_Customers!$D$2:$D$101,MATCH($B605,Raw_Customers!$A$2:$A$101,0)),10)</f>
        <v>+91-1440411271</v>
      </c>
      <c r="F605" s="7" t="str">
        <f>Raw_Orders!C605</f>
        <v>39</v>
      </c>
      <c r="G605" s="7" t="str">
        <f>INDEX(Raw_Products!$B$2:$B$71,MATCH($F605,Raw_Products!$A$2:$A$71,0))</f>
        <v>Voluptate Set</v>
      </c>
      <c r="H605" s="7" t="str">
        <f>INDEX(Raw_Products!$C$2:$C$71,MATCH($F605,Raw_Products!$A$2:$A$71,0))</f>
        <v>Mugs</v>
      </c>
      <c r="I605" s="7">
        <f>VALUE(Raw_Orders!D605)</f>
        <v>3</v>
      </c>
      <c r="J605" s="11" t="str">
        <f>INDEX(Raw_Products!$D$2:$D$71,MATCH($F605,Raw_Products!$A$2:$A$71,0))</f>
        <v>387</v>
      </c>
      <c r="K605" s="11">
        <f t="shared" si="18"/>
        <v>1161</v>
      </c>
      <c r="L605" s="12">
        <f>DATE(VALUE(RIGHT(Raw_Orders!E605,4)),VALUE(MID(Raw_Orders!E605,4,2)),VALUE(LEFT(Raw_Orders!E605,2)))</f>
        <v>44957</v>
      </c>
      <c r="M605" s="12">
        <f>DATE(VALUE(RIGHT(Raw_Orders!G605,4)),VALUE(MID(Raw_Orders!G605,4,2)),VALUE(LEFT(Raw_Orders!G605,2)))</f>
        <v>44960</v>
      </c>
      <c r="N605" s="7">
        <f t="shared" si="19"/>
        <v>3</v>
      </c>
      <c r="O605" s="7" t="str">
        <f>Raw_Orders!J605</f>
        <v>All Occasions</v>
      </c>
      <c r="P605" s="7" t="str">
        <f>Raw_Orders!I605</f>
        <v>Tadipatri</v>
      </c>
    </row>
    <row r="606" spans="1:16">
      <c r="A606" s="7" t="str">
        <f>Raw_Orders!A606</f>
        <v>605</v>
      </c>
      <c r="B606" s="7" t="str">
        <f>Raw_Orders!B606</f>
        <v>C068</v>
      </c>
      <c r="C606" s="7" t="str">
        <f>INDEX(Raw_Customers!$B$2:$B$101,MATCH($B606,Raw_Customers!$A$2:$A$101,0))</f>
        <v>Ritvik Garde</v>
      </c>
      <c r="D606" s="7" t="str">
        <f>TRIM(INDEX(Raw_Customers!$C$2:$C$101,MATCH($B606,Raw_Customers!$A$2:$A$101,0)))</f>
        <v>Kalyan-Dombivli</v>
      </c>
      <c r="E606" s="7" t="str">
        <f>"+91-"&amp;RIGHT("0000000000"&amp;INDEX(Raw_Customers!$D$2:$D$101,MATCH($B606,Raw_Customers!$A$2:$A$101,0)),10)</f>
        <v>+91-3719858588</v>
      </c>
      <c r="F606" s="7" t="str">
        <f>Raw_Orders!C606</f>
        <v>45</v>
      </c>
      <c r="G606" s="7" t="str">
        <f>INDEX(Raw_Products!$B$2:$B$71,MATCH($F606,Raw_Products!$A$2:$A$71,0))</f>
        <v>Iusto Set</v>
      </c>
      <c r="H606" s="7" t="str">
        <f>INDEX(Raw_Products!$C$2:$C$71,MATCH($F606,Raw_Products!$A$2:$A$71,0))</f>
        <v>Raksha Bandhan</v>
      </c>
      <c r="I606" s="7">
        <f>VALUE(Raw_Orders!D606)</f>
        <v>2</v>
      </c>
      <c r="J606" s="11" t="str">
        <f>INDEX(Raw_Products!$D$2:$D$71,MATCH($F606,Raw_Products!$A$2:$A$71,0))</f>
        <v>722</v>
      </c>
      <c r="K606" s="11">
        <f t="shared" si="18"/>
        <v>1444</v>
      </c>
      <c r="L606" s="12">
        <f>DATE(VALUE(RIGHT(Raw_Orders!E606,4)),VALUE(MID(Raw_Orders!E606,4,2)),VALUE(LEFT(Raw_Orders!E606,2)))</f>
        <v>45281</v>
      </c>
      <c r="M606" s="12">
        <f>DATE(VALUE(RIGHT(Raw_Orders!G606,4)),VALUE(MID(Raw_Orders!G606,4,2)),VALUE(LEFT(Raw_Orders!G606,2)))</f>
        <v>45285</v>
      </c>
      <c r="N606" s="7">
        <f t="shared" si="19"/>
        <v>4</v>
      </c>
      <c r="O606" s="7" t="str">
        <f>Raw_Orders!J606</f>
        <v>Birthday</v>
      </c>
      <c r="P606" s="7" t="str">
        <f>Raw_Orders!I606</f>
        <v>Kakinada</v>
      </c>
    </row>
    <row r="607" spans="1:16">
      <c r="A607" s="7" t="str">
        <f>Raw_Orders!A607</f>
        <v>606</v>
      </c>
      <c r="B607" s="7" t="str">
        <f>Raw_Orders!B607</f>
        <v>C047</v>
      </c>
      <c r="C607" s="7" t="str">
        <f>INDEX(Raw_Customers!$B$2:$B$101,MATCH($B607,Raw_Customers!$A$2:$A$101,0))</f>
        <v>Bhamini Ravi</v>
      </c>
      <c r="D607" s="7" t="str">
        <f>TRIM(INDEX(Raw_Customers!$C$2:$C$101,MATCH($B607,Raw_Customers!$A$2:$A$101,0)))</f>
        <v>Jorhat</v>
      </c>
      <c r="E607" s="7" t="str">
        <f>"+91-"&amp;RIGHT("0000000000"&amp;INDEX(Raw_Customers!$D$2:$D$101,MATCH($B607,Raw_Customers!$A$2:$A$101,0)),10)</f>
        <v>+91-0798274175</v>
      </c>
      <c r="F607" s="7" t="str">
        <f>Raw_Orders!C607</f>
        <v>3</v>
      </c>
      <c r="G607" s="7" t="str">
        <f>INDEX(Raw_Products!$B$2:$B$71,MATCH($F607,Raw_Products!$A$2:$A$71,0))</f>
        <v>Eius Gift</v>
      </c>
      <c r="H607" s="7" t="str">
        <f>INDEX(Raw_Products!$C$2:$C$71,MATCH($F607,Raw_Products!$A$2:$A$71,0))</f>
        <v>Colors</v>
      </c>
      <c r="I607" s="7">
        <f>VALUE(Raw_Orders!D607)</f>
        <v>5</v>
      </c>
      <c r="J607" s="11" t="str">
        <f>INDEX(Raw_Products!$D$2:$D$71,MATCH($F607,Raw_Products!$A$2:$A$71,0))</f>
        <v>1534</v>
      </c>
      <c r="K607" s="11">
        <f t="shared" si="18"/>
        <v>7670</v>
      </c>
      <c r="L607" s="12">
        <f>DATE(VALUE(RIGHT(Raw_Orders!E607,4)),VALUE(MID(Raw_Orders!E607,4,2)),VALUE(LEFT(Raw_Orders!E607,2)))</f>
        <v>44965</v>
      </c>
      <c r="M607" s="12">
        <f>DATE(VALUE(RIGHT(Raw_Orders!G607,4)),VALUE(MID(Raw_Orders!G607,4,2)),VALUE(LEFT(Raw_Orders!G607,2)))</f>
        <v>44974</v>
      </c>
      <c r="N607" s="7">
        <f t="shared" si="19"/>
        <v>9</v>
      </c>
      <c r="O607" s="7" t="str">
        <f>Raw_Orders!J607</f>
        <v>Valentine's Day</v>
      </c>
      <c r="P607" s="7" t="str">
        <f>Raw_Orders!I607</f>
        <v>Sambalpur</v>
      </c>
    </row>
    <row r="608" spans="1:16">
      <c r="A608" s="7" t="str">
        <f>Raw_Orders!A608</f>
        <v>607</v>
      </c>
      <c r="B608" s="7" t="str">
        <f>Raw_Orders!B608</f>
        <v>C028</v>
      </c>
      <c r="C608" s="7" t="str">
        <f>INDEX(Raw_Customers!$B$2:$B$101,MATCH($B608,Raw_Customers!$A$2:$A$101,0))</f>
        <v>Hridaan Rajagopalan</v>
      </c>
      <c r="D608" s="7" t="str">
        <f>TRIM(INDEX(Raw_Customers!$C$2:$C$101,MATCH($B608,Raw_Customers!$A$2:$A$101,0)))</f>
        <v>Noida</v>
      </c>
      <c r="E608" s="7" t="str">
        <f>"+91-"&amp;RIGHT("0000000000"&amp;INDEX(Raw_Customers!$D$2:$D$101,MATCH($B608,Raw_Customers!$A$2:$A$101,0)),10)</f>
        <v>+91-2539728317</v>
      </c>
      <c r="F608" s="7" t="str">
        <f>Raw_Orders!C608</f>
        <v>50</v>
      </c>
      <c r="G608" s="7" t="str">
        <f>INDEX(Raw_Products!$B$2:$B$71,MATCH($F608,Raw_Products!$A$2:$A$71,0))</f>
        <v>Eligendi Set</v>
      </c>
      <c r="H608" s="7" t="str">
        <f>INDEX(Raw_Products!$C$2:$C$71,MATCH($F608,Raw_Products!$A$2:$A$71,0))</f>
        <v>Plants</v>
      </c>
      <c r="I608" s="7">
        <f>VALUE(Raw_Orders!D608)</f>
        <v>3</v>
      </c>
      <c r="J608" s="11" t="str">
        <f>INDEX(Raw_Products!$D$2:$D$71,MATCH($F608,Raw_Products!$A$2:$A$71,0))</f>
        <v>422</v>
      </c>
      <c r="K608" s="11">
        <f t="shared" si="18"/>
        <v>1266</v>
      </c>
      <c r="L608" s="12">
        <f>DATE(VALUE(RIGHT(Raw_Orders!E608,4)),VALUE(MID(Raw_Orders!E608,4,2)),VALUE(LEFT(Raw_Orders!E608,2)))</f>
        <v>44988</v>
      </c>
      <c r="M608" s="12">
        <f>DATE(VALUE(RIGHT(Raw_Orders!G608,4)),VALUE(MID(Raw_Orders!G608,4,2)),VALUE(LEFT(Raw_Orders!G608,2)))</f>
        <v>44990</v>
      </c>
      <c r="N608" s="7">
        <f t="shared" si="19"/>
        <v>2</v>
      </c>
      <c r="O608" s="7" t="str">
        <f>Raw_Orders!J608</f>
        <v>Holi</v>
      </c>
      <c r="P608" s="7" t="str">
        <f>Raw_Orders!I608</f>
        <v>Bidhannagar</v>
      </c>
    </row>
    <row r="609" spans="1:16">
      <c r="A609" s="7" t="str">
        <f>Raw_Orders!A609</f>
        <v>608</v>
      </c>
      <c r="B609" s="7" t="str">
        <f>Raw_Orders!B609</f>
        <v>C030</v>
      </c>
      <c r="C609" s="7" t="str">
        <f>INDEX(Raw_Customers!$B$2:$B$101,MATCH($B609,Raw_Customers!$A$2:$A$101,0))</f>
        <v>Vardaniya Contractor</v>
      </c>
      <c r="D609" s="7" t="str">
        <f>TRIM(INDEX(Raw_Customers!$C$2:$C$101,MATCH($B609,Raw_Customers!$A$2:$A$101,0)))</f>
        <v>Sambhal</v>
      </c>
      <c r="E609" s="7" t="str">
        <f>"+91-"&amp;RIGHT("0000000000"&amp;INDEX(Raw_Customers!$D$2:$D$101,MATCH($B609,Raw_Customers!$A$2:$A$101,0)),10)</f>
        <v>+91-9972300876</v>
      </c>
      <c r="F609" s="7" t="str">
        <f>Raw_Orders!C609</f>
        <v>55</v>
      </c>
      <c r="G609" s="7" t="str">
        <f>INDEX(Raw_Products!$B$2:$B$71,MATCH($F609,Raw_Products!$A$2:$A$71,0))</f>
        <v>Dolores Gift</v>
      </c>
      <c r="H609" s="7" t="str">
        <f>INDEX(Raw_Products!$C$2:$C$71,MATCH($F609,Raw_Products!$A$2:$A$71,0))</f>
        <v>Soft Toys</v>
      </c>
      <c r="I609" s="7">
        <f>VALUE(Raw_Orders!D609)</f>
        <v>5</v>
      </c>
      <c r="J609" s="11" t="str">
        <f>INDEX(Raw_Products!$D$2:$D$71,MATCH($F609,Raw_Products!$A$2:$A$71,0))</f>
        <v>1904</v>
      </c>
      <c r="K609" s="11">
        <f t="shared" si="18"/>
        <v>9520</v>
      </c>
      <c r="L609" s="12">
        <f>DATE(VALUE(RIGHT(Raw_Orders!E609,4)),VALUE(MID(Raw_Orders!E609,4,2)),VALUE(LEFT(Raw_Orders!E609,2)))</f>
        <v>45166</v>
      </c>
      <c r="M609" s="12">
        <f>DATE(VALUE(RIGHT(Raw_Orders!G609,4)),VALUE(MID(Raw_Orders!G609,4,2)),VALUE(LEFT(Raw_Orders!G609,2)))</f>
        <v>45170</v>
      </c>
      <c r="N609" s="7">
        <f t="shared" si="19"/>
        <v>4</v>
      </c>
      <c r="O609" s="7" t="str">
        <f>Raw_Orders!J609</f>
        <v>Raksha Bandhan</v>
      </c>
      <c r="P609" s="7" t="str">
        <f>Raw_Orders!I609</f>
        <v>Etawah</v>
      </c>
    </row>
    <row r="610" spans="1:16">
      <c r="A610" s="7" t="str">
        <f>Raw_Orders!A610</f>
        <v>609</v>
      </c>
      <c r="B610" s="7" t="str">
        <f>Raw_Orders!B610</f>
        <v>C024</v>
      </c>
      <c r="C610" s="7" t="str">
        <f>INDEX(Raw_Customers!$B$2:$B$101,MATCH($B610,Raw_Customers!$A$2:$A$101,0))</f>
        <v>Jhanvi Chowdhury</v>
      </c>
      <c r="D610" s="7" t="str">
        <f>TRIM(INDEX(Raw_Customers!$C$2:$C$101,MATCH($B610,Raw_Customers!$A$2:$A$101,0)))</f>
        <v>Kavali</v>
      </c>
      <c r="E610" s="7" t="str">
        <f>"+91-"&amp;RIGHT("0000000000"&amp;INDEX(Raw_Customers!$D$2:$D$101,MATCH($B610,Raw_Customers!$A$2:$A$101,0)),10)</f>
        <v>+91-0316756360</v>
      </c>
      <c r="F610" s="7" t="str">
        <f>Raw_Orders!C610</f>
        <v>25</v>
      </c>
      <c r="G610" s="7" t="str">
        <f>INDEX(Raw_Products!$B$2:$B$71,MATCH($F610,Raw_Products!$A$2:$A$71,0))</f>
        <v>Qui Gift</v>
      </c>
      <c r="H610" s="7" t="str">
        <f>INDEX(Raw_Products!$C$2:$C$71,MATCH($F610,Raw_Products!$A$2:$A$71,0))</f>
        <v>Plants</v>
      </c>
      <c r="I610" s="7">
        <f>VALUE(Raw_Orders!D610)</f>
        <v>5</v>
      </c>
      <c r="J610" s="11" t="str">
        <f>INDEX(Raw_Products!$D$2:$D$71,MATCH($F610,Raw_Products!$A$2:$A$71,0))</f>
        <v>1202</v>
      </c>
      <c r="K610" s="11">
        <f t="shared" si="18"/>
        <v>6010</v>
      </c>
      <c r="L610" s="12">
        <f>DATE(VALUE(RIGHT(Raw_Orders!E610,4)),VALUE(MID(Raw_Orders!E610,4,2)),VALUE(LEFT(Raw_Orders!E610,2)))</f>
        <v>45226</v>
      </c>
      <c r="M610" s="12">
        <f>DATE(VALUE(RIGHT(Raw_Orders!G610,4)),VALUE(MID(Raw_Orders!G610,4,2)),VALUE(LEFT(Raw_Orders!G610,2)))</f>
        <v>45227</v>
      </c>
      <c r="N610" s="7">
        <f t="shared" si="19"/>
        <v>1</v>
      </c>
      <c r="O610" s="7" t="str">
        <f>Raw_Orders!J610</f>
        <v>Anniversary</v>
      </c>
      <c r="P610" s="7" t="str">
        <f>Raw_Orders!I610</f>
        <v>Hazaribagh</v>
      </c>
    </row>
    <row r="611" spans="1:16">
      <c r="A611" s="7" t="str">
        <f>Raw_Orders!A611</f>
        <v>610</v>
      </c>
      <c r="B611" s="7" t="str">
        <f>Raw_Orders!B611</f>
        <v>C068</v>
      </c>
      <c r="C611" s="7" t="str">
        <f>INDEX(Raw_Customers!$B$2:$B$101,MATCH($B611,Raw_Customers!$A$2:$A$101,0))</f>
        <v>Ritvik Garde</v>
      </c>
      <c r="D611" s="7" t="str">
        <f>TRIM(INDEX(Raw_Customers!$C$2:$C$101,MATCH($B611,Raw_Customers!$A$2:$A$101,0)))</f>
        <v>Kalyan-Dombivli</v>
      </c>
      <c r="E611" s="7" t="str">
        <f>"+91-"&amp;RIGHT("0000000000"&amp;INDEX(Raw_Customers!$D$2:$D$101,MATCH($B611,Raw_Customers!$A$2:$A$101,0)),10)</f>
        <v>+91-3719858588</v>
      </c>
      <c r="F611" s="7" t="str">
        <f>Raw_Orders!C611</f>
        <v>5</v>
      </c>
      <c r="G611" s="7" t="str">
        <f>INDEX(Raw_Products!$B$2:$B$71,MATCH($F611,Raw_Products!$A$2:$A$71,0))</f>
        <v>Natus Gift</v>
      </c>
      <c r="H611" s="7" t="str">
        <f>INDEX(Raw_Products!$C$2:$C$71,MATCH($F611,Raw_Products!$A$2:$A$71,0))</f>
        <v>Colors</v>
      </c>
      <c r="I611" s="7">
        <f>VALUE(Raw_Orders!D611)</f>
        <v>3</v>
      </c>
      <c r="J611" s="11" t="str">
        <f>INDEX(Raw_Products!$D$2:$D$71,MATCH($F611,Raw_Products!$A$2:$A$71,0))</f>
        <v>1444</v>
      </c>
      <c r="K611" s="11">
        <f t="shared" si="18"/>
        <v>4332</v>
      </c>
      <c r="L611" s="12">
        <f>DATE(VALUE(RIGHT(Raw_Orders!E611,4)),VALUE(MID(Raw_Orders!E611,4,2)),VALUE(LEFT(Raw_Orders!E611,2)))</f>
        <v>44929</v>
      </c>
      <c r="M611" s="12">
        <f>DATE(VALUE(RIGHT(Raw_Orders!G611,4)),VALUE(MID(Raw_Orders!G611,4,2)),VALUE(LEFT(Raw_Orders!G611,2)))</f>
        <v>44931</v>
      </c>
      <c r="N611" s="7">
        <f t="shared" si="19"/>
        <v>2</v>
      </c>
      <c r="O611" s="7" t="str">
        <f>Raw_Orders!J611</f>
        <v>All Occasions</v>
      </c>
      <c r="P611" s="7" t="str">
        <f>Raw_Orders!I611</f>
        <v>Sirsa</v>
      </c>
    </row>
    <row r="612" spans="1:16">
      <c r="A612" s="7" t="str">
        <f>Raw_Orders!A612</f>
        <v>611</v>
      </c>
      <c r="B612" s="7" t="str">
        <f>Raw_Orders!B612</f>
        <v>C056</v>
      </c>
      <c r="C612" s="7" t="str">
        <f>INDEX(Raw_Customers!$B$2:$B$101,MATCH($B612,Raw_Customers!$A$2:$A$101,0))</f>
        <v>Pihu Choudhury</v>
      </c>
      <c r="D612" s="7" t="str">
        <f>TRIM(INDEX(Raw_Customers!$C$2:$C$101,MATCH($B612,Raw_Customers!$A$2:$A$101,0)))</f>
        <v>Haridwar</v>
      </c>
      <c r="E612" s="7" t="str">
        <f>"+91-"&amp;RIGHT("0000000000"&amp;INDEX(Raw_Customers!$D$2:$D$101,MATCH($B612,Raw_Customers!$A$2:$A$101,0)),10)</f>
        <v>+91-9732644810</v>
      </c>
      <c r="F612" s="7" t="str">
        <f>Raw_Orders!C612</f>
        <v>28</v>
      </c>
      <c r="G612" s="7" t="str">
        <f>INDEX(Raw_Products!$B$2:$B$71,MATCH($F612,Raw_Products!$A$2:$A$71,0))</f>
        <v>Velit Set</v>
      </c>
      <c r="H612" s="7" t="str">
        <f>INDEX(Raw_Products!$C$2:$C$71,MATCH($F612,Raw_Products!$A$2:$A$71,0))</f>
        <v>Sweets</v>
      </c>
      <c r="I612" s="7">
        <f>VALUE(Raw_Orders!D612)</f>
        <v>2</v>
      </c>
      <c r="J612" s="11" t="str">
        <f>INDEX(Raw_Products!$D$2:$D$71,MATCH($F612,Raw_Products!$A$2:$A$71,0))</f>
        <v>1778</v>
      </c>
      <c r="K612" s="11">
        <f t="shared" si="18"/>
        <v>3556</v>
      </c>
      <c r="L612" s="12">
        <f>DATE(VALUE(RIGHT(Raw_Orders!E612,4)),VALUE(MID(Raw_Orders!E612,4,2)),VALUE(LEFT(Raw_Orders!E612,2)))</f>
        <v>45160</v>
      </c>
      <c r="M612" s="12">
        <f>DATE(VALUE(RIGHT(Raw_Orders!G612,4)),VALUE(MID(Raw_Orders!G612,4,2)),VALUE(LEFT(Raw_Orders!G612,2)))</f>
        <v>45166</v>
      </c>
      <c r="N612" s="7">
        <f t="shared" si="19"/>
        <v>6</v>
      </c>
      <c r="O612" s="7" t="str">
        <f>Raw_Orders!J612</f>
        <v>Raksha Bandhan</v>
      </c>
      <c r="P612" s="7" t="str">
        <f>Raw_Orders!I612</f>
        <v>Latur</v>
      </c>
    </row>
    <row r="613" spans="1:16">
      <c r="A613" s="7" t="str">
        <f>Raw_Orders!A613</f>
        <v>612</v>
      </c>
      <c r="B613" s="7" t="str">
        <f>Raw_Orders!B613</f>
        <v>C075</v>
      </c>
      <c r="C613" s="7" t="str">
        <f>INDEX(Raw_Customers!$B$2:$B$101,MATCH($B613,Raw_Customers!$A$2:$A$101,0))</f>
        <v>Yashvi Bansal</v>
      </c>
      <c r="D613" s="7" t="str">
        <f>TRIM(INDEX(Raw_Customers!$C$2:$C$101,MATCH($B613,Raw_Customers!$A$2:$A$101,0)))</f>
        <v>Aligarh</v>
      </c>
      <c r="E613" s="7" t="str">
        <f>"+91-"&amp;RIGHT("0000000000"&amp;INDEX(Raw_Customers!$D$2:$D$101,MATCH($B613,Raw_Customers!$A$2:$A$101,0)),10)</f>
        <v>+91-4513765238</v>
      </c>
      <c r="F613" s="7" t="str">
        <f>Raw_Orders!C613</f>
        <v>26</v>
      </c>
      <c r="G613" s="7" t="str">
        <f>INDEX(Raw_Products!$B$2:$B$71,MATCH($F613,Raw_Products!$A$2:$A$71,0))</f>
        <v>Aliquam Box</v>
      </c>
      <c r="H613" s="7" t="str">
        <f>INDEX(Raw_Products!$C$2:$C$71,MATCH($F613,Raw_Products!$A$2:$A$71,0))</f>
        <v>Colors</v>
      </c>
      <c r="I613" s="7">
        <f>VALUE(Raw_Orders!D613)</f>
        <v>1</v>
      </c>
      <c r="J613" s="11" t="str">
        <f>INDEX(Raw_Products!$D$2:$D$71,MATCH($F613,Raw_Products!$A$2:$A$71,0))</f>
        <v>289</v>
      </c>
      <c r="K613" s="11">
        <f t="shared" si="18"/>
        <v>289</v>
      </c>
      <c r="L613" s="12">
        <f>DATE(VALUE(RIGHT(Raw_Orders!E613,4)),VALUE(MID(Raw_Orders!E613,4,2)),VALUE(LEFT(Raw_Orders!E613,2)))</f>
        <v>44987</v>
      </c>
      <c r="M613" s="12">
        <f>DATE(VALUE(RIGHT(Raw_Orders!G613,4)),VALUE(MID(Raw_Orders!G613,4,2)),VALUE(LEFT(Raw_Orders!G613,2)))</f>
        <v>44993</v>
      </c>
      <c r="N613" s="7">
        <f t="shared" si="19"/>
        <v>6</v>
      </c>
      <c r="O613" s="7" t="str">
        <f>Raw_Orders!J613</f>
        <v>Holi</v>
      </c>
      <c r="P613" s="7" t="str">
        <f>Raw_Orders!I613</f>
        <v>Shivpuri</v>
      </c>
    </row>
    <row r="614" spans="1:16">
      <c r="A614" s="7" t="str">
        <f>Raw_Orders!A614</f>
        <v>613</v>
      </c>
      <c r="B614" s="7" t="str">
        <f>Raw_Orders!B614</f>
        <v>C063</v>
      </c>
      <c r="C614" s="7" t="str">
        <f>INDEX(Raw_Customers!$B$2:$B$101,MATCH($B614,Raw_Customers!$A$2:$A$101,0))</f>
        <v>Arhaan Ahluwalia</v>
      </c>
      <c r="D614" s="7" t="str">
        <f>TRIM(INDEX(Raw_Customers!$C$2:$C$101,MATCH($B614,Raw_Customers!$A$2:$A$101,0)))</f>
        <v>Jamnagar</v>
      </c>
      <c r="E614" s="7" t="str">
        <f>"+91-"&amp;RIGHT("0000000000"&amp;INDEX(Raw_Customers!$D$2:$D$101,MATCH($B614,Raw_Customers!$A$2:$A$101,0)),10)</f>
        <v>+91-5287021467</v>
      </c>
      <c r="F614" s="7" t="str">
        <f>Raw_Orders!C614</f>
        <v>4</v>
      </c>
      <c r="G614" s="7" t="str">
        <f>INDEX(Raw_Products!$B$2:$B$71,MATCH($F614,Raw_Products!$A$2:$A$71,0))</f>
        <v>Accusantium Set</v>
      </c>
      <c r="H614" s="7" t="str">
        <f>INDEX(Raw_Products!$C$2:$C$71,MATCH($F614,Raw_Products!$A$2:$A$71,0))</f>
        <v>Sweets</v>
      </c>
      <c r="I614" s="7">
        <f>VALUE(Raw_Orders!D614)</f>
        <v>5</v>
      </c>
      <c r="J614" s="11" t="str">
        <f>INDEX(Raw_Products!$D$2:$D$71,MATCH($F614,Raw_Products!$A$2:$A$71,0))</f>
        <v>1199</v>
      </c>
      <c r="K614" s="11">
        <f t="shared" si="18"/>
        <v>5995</v>
      </c>
      <c r="L614" s="12">
        <f>DATE(VALUE(RIGHT(Raw_Orders!E614,4)),VALUE(MID(Raw_Orders!E614,4,2)),VALUE(LEFT(Raw_Orders!E614,2)))</f>
        <v>45240</v>
      </c>
      <c r="M614" s="12">
        <f>DATE(VALUE(RIGHT(Raw_Orders!G614,4)),VALUE(MID(Raw_Orders!G614,4,2)),VALUE(LEFT(Raw_Orders!G614,2)))</f>
        <v>45244</v>
      </c>
      <c r="N614" s="7">
        <f t="shared" si="19"/>
        <v>4</v>
      </c>
      <c r="O614" s="7" t="str">
        <f>Raw_Orders!J614</f>
        <v>Diwali</v>
      </c>
      <c r="P614" s="7" t="str">
        <f>Raw_Orders!I614</f>
        <v>Gwalior</v>
      </c>
    </row>
    <row r="615" spans="1:16">
      <c r="A615" s="7" t="str">
        <f>Raw_Orders!A615</f>
        <v>614</v>
      </c>
      <c r="B615" s="7" t="str">
        <f>Raw_Orders!B615</f>
        <v>C089</v>
      </c>
      <c r="C615" s="7" t="str">
        <f>INDEX(Raw_Customers!$B$2:$B$101,MATCH($B615,Raw_Customers!$A$2:$A$101,0))</f>
        <v>Oorja Dey</v>
      </c>
      <c r="D615" s="7" t="str">
        <f>TRIM(INDEX(Raw_Customers!$C$2:$C$101,MATCH($B615,Raw_Customers!$A$2:$A$101,0)))</f>
        <v>Nellore</v>
      </c>
      <c r="E615" s="7" t="str">
        <f>"+91-"&amp;RIGHT("0000000000"&amp;INDEX(Raw_Customers!$D$2:$D$101,MATCH($B615,Raw_Customers!$A$2:$A$101,0)),10)</f>
        <v>+91-7264144428</v>
      </c>
      <c r="F615" s="7" t="str">
        <f>Raw_Orders!C615</f>
        <v>26</v>
      </c>
      <c r="G615" s="7" t="str">
        <f>INDEX(Raw_Products!$B$2:$B$71,MATCH($F615,Raw_Products!$A$2:$A$71,0))</f>
        <v>Aliquam Box</v>
      </c>
      <c r="H615" s="7" t="str">
        <f>INDEX(Raw_Products!$C$2:$C$71,MATCH($F615,Raw_Products!$A$2:$A$71,0))</f>
        <v>Colors</v>
      </c>
      <c r="I615" s="7">
        <f>VALUE(Raw_Orders!D615)</f>
        <v>1</v>
      </c>
      <c r="J615" s="11" t="str">
        <f>INDEX(Raw_Products!$D$2:$D$71,MATCH($F615,Raw_Products!$A$2:$A$71,0))</f>
        <v>289</v>
      </c>
      <c r="K615" s="11">
        <f t="shared" si="18"/>
        <v>289</v>
      </c>
      <c r="L615" s="12">
        <f>DATE(VALUE(RIGHT(Raw_Orders!E615,4)),VALUE(MID(Raw_Orders!E615,4,2)),VALUE(LEFT(Raw_Orders!E615,2)))</f>
        <v>44988</v>
      </c>
      <c r="M615" s="12">
        <f>DATE(VALUE(RIGHT(Raw_Orders!G615,4)),VALUE(MID(Raw_Orders!G615,4,2)),VALUE(LEFT(Raw_Orders!G615,2)))</f>
        <v>44992</v>
      </c>
      <c r="N615" s="7">
        <f t="shared" si="19"/>
        <v>4</v>
      </c>
      <c r="O615" s="7" t="str">
        <f>Raw_Orders!J615</f>
        <v>Holi</v>
      </c>
      <c r="P615" s="7" t="str">
        <f>Raw_Orders!I615</f>
        <v>Aizawl</v>
      </c>
    </row>
    <row r="616" spans="1:16">
      <c r="A616" s="7" t="str">
        <f>Raw_Orders!A616</f>
        <v>615</v>
      </c>
      <c r="B616" s="7" t="str">
        <f>Raw_Orders!B616</f>
        <v>C020</v>
      </c>
      <c r="C616" s="7" t="str">
        <f>INDEX(Raw_Customers!$B$2:$B$101,MATCH($B616,Raw_Customers!$A$2:$A$101,0))</f>
        <v>Samaira Ganesh</v>
      </c>
      <c r="D616" s="7" t="str">
        <f>TRIM(INDEX(Raw_Customers!$C$2:$C$101,MATCH($B616,Raw_Customers!$A$2:$A$101,0)))</f>
        <v>Machilipatnam</v>
      </c>
      <c r="E616" s="7" t="str">
        <f>"+91-"&amp;RIGHT("0000000000"&amp;INDEX(Raw_Customers!$D$2:$D$101,MATCH($B616,Raw_Customers!$A$2:$A$101,0)),10)</f>
        <v>+91-1731643700</v>
      </c>
      <c r="F616" s="7" t="str">
        <f>Raw_Orders!C616</f>
        <v>28</v>
      </c>
      <c r="G616" s="7" t="str">
        <f>INDEX(Raw_Products!$B$2:$B$71,MATCH($F616,Raw_Products!$A$2:$A$71,0))</f>
        <v>Velit Set</v>
      </c>
      <c r="H616" s="7" t="str">
        <f>INDEX(Raw_Products!$C$2:$C$71,MATCH($F616,Raw_Products!$A$2:$A$71,0))</f>
        <v>Sweets</v>
      </c>
      <c r="I616" s="7">
        <f>VALUE(Raw_Orders!D616)</f>
        <v>3</v>
      </c>
      <c r="J616" s="11" t="str">
        <f>INDEX(Raw_Products!$D$2:$D$71,MATCH($F616,Raw_Products!$A$2:$A$71,0))</f>
        <v>1778</v>
      </c>
      <c r="K616" s="11">
        <f t="shared" si="18"/>
        <v>5334</v>
      </c>
      <c r="L616" s="12">
        <f>DATE(VALUE(RIGHT(Raw_Orders!E616,4)),VALUE(MID(Raw_Orders!E616,4,2)),VALUE(LEFT(Raw_Orders!E616,2)))</f>
        <v>45163</v>
      </c>
      <c r="M616" s="12">
        <f>DATE(VALUE(RIGHT(Raw_Orders!G616,4)),VALUE(MID(Raw_Orders!G616,4,2)),VALUE(LEFT(Raw_Orders!G616,2)))</f>
        <v>45170</v>
      </c>
      <c r="N616" s="7">
        <f t="shared" si="19"/>
        <v>7</v>
      </c>
      <c r="O616" s="7" t="str">
        <f>Raw_Orders!J616</f>
        <v>Raksha Bandhan</v>
      </c>
      <c r="P616" s="7" t="str">
        <f>Raw_Orders!I616</f>
        <v>Allahabad</v>
      </c>
    </row>
    <row r="617" spans="1:16">
      <c r="A617" s="7" t="str">
        <f>Raw_Orders!A617</f>
        <v>616</v>
      </c>
      <c r="B617" s="7" t="str">
        <f>Raw_Orders!B617</f>
        <v>C006</v>
      </c>
      <c r="C617" s="7" t="str">
        <f>INDEX(Raw_Customers!$B$2:$B$101,MATCH($B617,Raw_Customers!$A$2:$A$101,0))</f>
        <v>Rania Mann</v>
      </c>
      <c r="D617" s="7" t="str">
        <f>TRIM(INDEX(Raw_Customers!$C$2:$C$101,MATCH($B617,Raw_Customers!$A$2:$A$101,0)))</f>
        <v>Karimnagar</v>
      </c>
      <c r="E617" s="7" t="str">
        <f>"+91-"&amp;RIGHT("0000000000"&amp;INDEX(Raw_Customers!$D$2:$D$101,MATCH($B617,Raw_Customers!$A$2:$A$101,0)),10)</f>
        <v>+91-9363577179</v>
      </c>
      <c r="F617" s="7" t="str">
        <f>Raw_Orders!C617</f>
        <v>44</v>
      </c>
      <c r="G617" s="7" t="str">
        <f>INDEX(Raw_Products!$B$2:$B$71,MATCH($F617,Raw_Products!$A$2:$A$71,0))</f>
        <v>Dolorum Set</v>
      </c>
      <c r="H617" s="7" t="str">
        <f>INDEX(Raw_Products!$C$2:$C$71,MATCH($F617,Raw_Products!$A$2:$A$71,0))</f>
        <v>Plants</v>
      </c>
      <c r="I617" s="7">
        <f>VALUE(Raw_Orders!D617)</f>
        <v>5</v>
      </c>
      <c r="J617" s="11" t="str">
        <f>INDEX(Raw_Products!$D$2:$D$71,MATCH($F617,Raw_Products!$A$2:$A$71,0))</f>
        <v>794</v>
      </c>
      <c r="K617" s="11">
        <f t="shared" si="18"/>
        <v>3970</v>
      </c>
      <c r="L617" s="12">
        <f>DATE(VALUE(RIGHT(Raw_Orders!E617,4)),VALUE(MID(Raw_Orders!E617,4,2)),VALUE(LEFT(Raw_Orders!E617,2)))</f>
        <v>45238</v>
      </c>
      <c r="M617" s="12">
        <f>DATE(VALUE(RIGHT(Raw_Orders!G617,4)),VALUE(MID(Raw_Orders!G617,4,2)),VALUE(LEFT(Raw_Orders!G617,2)))</f>
        <v>45242</v>
      </c>
      <c r="N617" s="7">
        <f t="shared" si="19"/>
        <v>4</v>
      </c>
      <c r="O617" s="7" t="str">
        <f>Raw_Orders!J617</f>
        <v>Diwali</v>
      </c>
      <c r="P617" s="7" t="str">
        <f>Raw_Orders!I617</f>
        <v>Phagwara</v>
      </c>
    </row>
    <row r="618" spans="1:16">
      <c r="A618" s="7" t="str">
        <f>Raw_Orders!A618</f>
        <v>617</v>
      </c>
      <c r="B618" s="7" t="str">
        <f>Raw_Orders!B618</f>
        <v>C083</v>
      </c>
      <c r="C618" s="7" t="str">
        <f>INDEX(Raw_Customers!$B$2:$B$101,MATCH($B618,Raw_Customers!$A$2:$A$101,0))</f>
        <v>Aaryahi Sodhi</v>
      </c>
      <c r="D618" s="7" t="str">
        <f>TRIM(INDEX(Raw_Customers!$C$2:$C$101,MATCH($B618,Raw_Customers!$A$2:$A$101,0)))</f>
        <v>Raurkela Industrial Township</v>
      </c>
      <c r="E618" s="7" t="str">
        <f>"+91-"&amp;RIGHT("0000000000"&amp;INDEX(Raw_Customers!$D$2:$D$101,MATCH($B618,Raw_Customers!$A$2:$A$101,0)),10)</f>
        <v>+91-2690208110</v>
      </c>
      <c r="F618" s="7" t="str">
        <f>Raw_Orders!C618</f>
        <v>22</v>
      </c>
      <c r="G618" s="7" t="str">
        <f>INDEX(Raw_Products!$B$2:$B$71,MATCH($F618,Raw_Products!$A$2:$A$71,0))</f>
        <v>Exercitationem Pack</v>
      </c>
      <c r="H618" s="7" t="str">
        <f>INDEX(Raw_Products!$C$2:$C$71,MATCH($F618,Raw_Products!$A$2:$A$71,0))</f>
        <v>Soft Toys</v>
      </c>
      <c r="I618" s="7">
        <f>VALUE(Raw_Orders!D618)</f>
        <v>1</v>
      </c>
      <c r="J618" s="11" t="str">
        <f>INDEX(Raw_Products!$D$2:$D$71,MATCH($F618,Raw_Products!$A$2:$A$71,0))</f>
        <v>1639</v>
      </c>
      <c r="K618" s="11">
        <f t="shared" si="18"/>
        <v>1639</v>
      </c>
      <c r="L618" s="12">
        <f>DATE(VALUE(RIGHT(Raw_Orders!E618,4)),VALUE(MID(Raw_Orders!E618,4,2)),VALUE(LEFT(Raw_Orders!E618,2)))</f>
        <v>44976</v>
      </c>
      <c r="M618" s="12">
        <f>DATE(VALUE(RIGHT(Raw_Orders!G618,4)),VALUE(MID(Raw_Orders!G618,4,2)),VALUE(LEFT(Raw_Orders!G618,2)))</f>
        <v>44985</v>
      </c>
      <c r="N618" s="7">
        <f t="shared" si="19"/>
        <v>9</v>
      </c>
      <c r="O618" s="7" t="str">
        <f>Raw_Orders!J618</f>
        <v>All Occasions</v>
      </c>
      <c r="P618" s="7" t="str">
        <f>Raw_Orders!I618</f>
        <v>Uluberia</v>
      </c>
    </row>
    <row r="619" spans="1:16">
      <c r="A619" s="7" t="str">
        <f>Raw_Orders!A619</f>
        <v>618</v>
      </c>
      <c r="B619" s="7" t="str">
        <f>Raw_Orders!B619</f>
        <v>C073</v>
      </c>
      <c r="C619" s="7" t="str">
        <f>INDEX(Raw_Customers!$B$2:$B$101,MATCH($B619,Raw_Customers!$A$2:$A$101,0))</f>
        <v>Zeeshan Tailor</v>
      </c>
      <c r="D619" s="7" t="str">
        <f>TRIM(INDEX(Raw_Customers!$C$2:$C$101,MATCH($B619,Raw_Customers!$A$2:$A$101,0)))</f>
        <v>Parbhani</v>
      </c>
      <c r="E619" s="7" t="str">
        <f>"+91-"&amp;RIGHT("0000000000"&amp;INDEX(Raw_Customers!$D$2:$D$101,MATCH($B619,Raw_Customers!$A$2:$A$101,0)),10)</f>
        <v>+91-8037721297</v>
      </c>
      <c r="F619" s="7" t="str">
        <f>Raw_Orders!C619</f>
        <v>60</v>
      </c>
      <c r="G619" s="7" t="str">
        <f>INDEX(Raw_Products!$B$2:$B$71,MATCH($F619,Raw_Products!$A$2:$A$71,0))</f>
        <v>Ea Set</v>
      </c>
      <c r="H619" s="7" t="str">
        <f>INDEX(Raw_Products!$C$2:$C$71,MATCH($F619,Raw_Products!$A$2:$A$71,0))</f>
        <v>Sweets</v>
      </c>
      <c r="I619" s="7">
        <f>VALUE(Raw_Orders!D619)</f>
        <v>4</v>
      </c>
      <c r="J619" s="11" t="str">
        <f>INDEX(Raw_Products!$D$2:$D$71,MATCH($F619,Raw_Products!$A$2:$A$71,0))</f>
        <v>827</v>
      </c>
      <c r="K619" s="11">
        <f t="shared" si="18"/>
        <v>3308</v>
      </c>
      <c r="L619" s="12">
        <f>DATE(VALUE(RIGHT(Raw_Orders!E619,4)),VALUE(MID(Raw_Orders!E619,4,2)),VALUE(LEFT(Raw_Orders!E619,2)))</f>
        <v>45235</v>
      </c>
      <c r="M619" s="12">
        <f>DATE(VALUE(RIGHT(Raw_Orders!G619,4)),VALUE(MID(Raw_Orders!G619,4,2)),VALUE(LEFT(Raw_Orders!G619,2)))</f>
        <v>45245</v>
      </c>
      <c r="N619" s="7">
        <f t="shared" si="19"/>
        <v>10</v>
      </c>
      <c r="O619" s="7" t="str">
        <f>Raw_Orders!J619</f>
        <v>Diwali</v>
      </c>
      <c r="P619" s="7" t="str">
        <f>Raw_Orders!I619</f>
        <v>Lucknow</v>
      </c>
    </row>
    <row r="620" spans="1:16">
      <c r="A620" s="7" t="str">
        <f>Raw_Orders!A620</f>
        <v>619</v>
      </c>
      <c r="B620" s="7" t="str">
        <f>Raw_Orders!B620</f>
        <v>C091</v>
      </c>
      <c r="C620" s="7" t="str">
        <f>INDEX(Raw_Customers!$B$2:$B$101,MATCH($B620,Raw_Customers!$A$2:$A$101,0))</f>
        <v>Adira Rajan</v>
      </c>
      <c r="D620" s="7" t="str">
        <f>TRIM(INDEX(Raw_Customers!$C$2:$C$101,MATCH($B620,Raw_Customers!$A$2:$A$101,0)))</f>
        <v>New Delhi</v>
      </c>
      <c r="E620" s="7" t="str">
        <f>"+91-"&amp;RIGHT("0000000000"&amp;INDEX(Raw_Customers!$D$2:$D$101,MATCH($B620,Raw_Customers!$A$2:$A$101,0)),10)</f>
        <v>+91-5525478357</v>
      </c>
      <c r="F620" s="7" t="str">
        <f>Raw_Orders!C620</f>
        <v>35</v>
      </c>
      <c r="G620" s="7" t="str">
        <f>INDEX(Raw_Products!$B$2:$B$71,MATCH($F620,Raw_Products!$A$2:$A$71,0))</f>
        <v>Nam Gift</v>
      </c>
      <c r="H620" s="7" t="str">
        <f>INDEX(Raw_Products!$C$2:$C$71,MATCH($F620,Raw_Products!$A$2:$A$71,0))</f>
        <v>Colors</v>
      </c>
      <c r="I620" s="7">
        <f>VALUE(Raw_Orders!D620)</f>
        <v>1</v>
      </c>
      <c r="J620" s="11" t="str">
        <f>INDEX(Raw_Products!$D$2:$D$71,MATCH($F620,Raw_Products!$A$2:$A$71,0))</f>
        <v>1865</v>
      </c>
      <c r="K620" s="11">
        <f t="shared" si="18"/>
        <v>1865</v>
      </c>
      <c r="L620" s="12">
        <f>DATE(VALUE(RIGHT(Raw_Orders!E620,4)),VALUE(MID(Raw_Orders!E620,4,2)),VALUE(LEFT(Raw_Orders!E620,2)))</f>
        <v>44991</v>
      </c>
      <c r="M620" s="12">
        <f>DATE(VALUE(RIGHT(Raw_Orders!G620,4)),VALUE(MID(Raw_Orders!G620,4,2)),VALUE(LEFT(Raw_Orders!G620,2)))</f>
        <v>45001</v>
      </c>
      <c r="N620" s="7">
        <f t="shared" si="19"/>
        <v>10</v>
      </c>
      <c r="O620" s="7" t="str">
        <f>Raw_Orders!J620</f>
        <v>Holi</v>
      </c>
      <c r="P620" s="7" t="str">
        <f>Raw_Orders!I620</f>
        <v>Patiala</v>
      </c>
    </row>
    <row r="621" spans="1:16">
      <c r="A621" s="7" t="str">
        <f>Raw_Orders!A621</f>
        <v>620</v>
      </c>
      <c r="B621" s="7" t="str">
        <f>Raw_Orders!B621</f>
        <v>C074</v>
      </c>
      <c r="C621" s="7" t="str">
        <f>INDEX(Raw_Customers!$B$2:$B$101,MATCH($B621,Raw_Customers!$A$2:$A$101,0))</f>
        <v>Vanya Apte</v>
      </c>
      <c r="D621" s="7" t="str">
        <f>TRIM(INDEX(Raw_Customers!$C$2:$C$101,MATCH($B621,Raw_Customers!$A$2:$A$101,0)))</f>
        <v>Sultan Pur Majra</v>
      </c>
      <c r="E621" s="7" t="str">
        <f>"+91-"&amp;RIGHT("0000000000"&amp;INDEX(Raw_Customers!$D$2:$D$101,MATCH($B621,Raw_Customers!$A$2:$A$101,0)),10)</f>
        <v>+91-9182523205</v>
      </c>
      <c r="F621" s="7" t="str">
        <f>Raw_Orders!C621</f>
        <v>67</v>
      </c>
      <c r="G621" s="7" t="str">
        <f>INDEX(Raw_Products!$B$2:$B$71,MATCH($F621,Raw_Products!$A$2:$A$71,0))</f>
        <v>Maiores Box</v>
      </c>
      <c r="H621" s="7" t="str">
        <f>INDEX(Raw_Products!$C$2:$C$71,MATCH($F621,Raw_Products!$A$2:$A$71,0))</f>
        <v>Raksha Bandhan</v>
      </c>
      <c r="I621" s="7">
        <f>VALUE(Raw_Orders!D621)</f>
        <v>3</v>
      </c>
      <c r="J621" s="11" t="str">
        <f>INDEX(Raw_Products!$D$2:$D$71,MATCH($F621,Raw_Products!$A$2:$A$71,0))</f>
        <v>1374</v>
      </c>
      <c r="K621" s="11">
        <f t="shared" si="18"/>
        <v>4122</v>
      </c>
      <c r="L621" s="12">
        <f>DATE(VALUE(RIGHT(Raw_Orders!E621,4)),VALUE(MID(Raw_Orders!E621,4,2)),VALUE(LEFT(Raw_Orders!E621,2)))</f>
        <v>45118</v>
      </c>
      <c r="M621" s="12">
        <f>DATE(VALUE(RIGHT(Raw_Orders!G621,4)),VALUE(MID(Raw_Orders!G621,4,2)),VALUE(LEFT(Raw_Orders!G621,2)))</f>
        <v>45125</v>
      </c>
      <c r="N621" s="7">
        <f t="shared" si="19"/>
        <v>7</v>
      </c>
      <c r="O621" s="7" t="str">
        <f>Raw_Orders!J621</f>
        <v>Anniversary</v>
      </c>
      <c r="P621" s="7" t="str">
        <f>Raw_Orders!I621</f>
        <v>Chapra</v>
      </c>
    </row>
    <row r="622" spans="1:16">
      <c r="A622" s="7" t="str">
        <f>Raw_Orders!A622</f>
        <v>621</v>
      </c>
      <c r="B622" s="7" t="str">
        <f>Raw_Orders!B622</f>
        <v>C070</v>
      </c>
      <c r="C622" s="7" t="str">
        <f>INDEX(Raw_Customers!$B$2:$B$101,MATCH($B622,Raw_Customers!$A$2:$A$101,0))</f>
        <v>Emir Gokhale</v>
      </c>
      <c r="D622" s="7" t="str">
        <f>TRIM(INDEX(Raw_Customers!$C$2:$C$101,MATCH($B622,Raw_Customers!$A$2:$A$101,0)))</f>
        <v>Bhatpara</v>
      </c>
      <c r="E622" s="7" t="str">
        <f>"+91-"&amp;RIGHT("0000000000"&amp;INDEX(Raw_Customers!$D$2:$D$101,MATCH($B622,Raw_Customers!$A$2:$A$101,0)),10)</f>
        <v>+91-3859920805</v>
      </c>
      <c r="F622" s="7" t="str">
        <f>Raw_Orders!C622</f>
        <v>64</v>
      </c>
      <c r="G622" s="7" t="str">
        <f>INDEX(Raw_Products!$B$2:$B$71,MATCH($F622,Raw_Products!$A$2:$A$71,0))</f>
        <v>Nostrum Box</v>
      </c>
      <c r="H622" s="7" t="str">
        <f>INDEX(Raw_Products!$C$2:$C$71,MATCH($F622,Raw_Products!$A$2:$A$71,0))</f>
        <v>Soft Toys</v>
      </c>
      <c r="I622" s="7">
        <f>VALUE(Raw_Orders!D622)</f>
        <v>3</v>
      </c>
      <c r="J622" s="11" t="str">
        <f>INDEX(Raw_Products!$D$2:$D$71,MATCH($F622,Raw_Products!$A$2:$A$71,0))</f>
        <v>1878</v>
      </c>
      <c r="K622" s="11">
        <f t="shared" si="18"/>
        <v>5634</v>
      </c>
      <c r="L622" s="12">
        <f>DATE(VALUE(RIGHT(Raw_Orders!E622,4)),VALUE(MID(Raw_Orders!E622,4,2)),VALUE(LEFT(Raw_Orders!E622,2)))</f>
        <v>45158</v>
      </c>
      <c r="M622" s="12">
        <f>DATE(VALUE(RIGHT(Raw_Orders!G622,4)),VALUE(MID(Raw_Orders!G622,4,2)),VALUE(LEFT(Raw_Orders!G622,2)))</f>
        <v>45166</v>
      </c>
      <c r="N622" s="7">
        <f t="shared" si="19"/>
        <v>8</v>
      </c>
      <c r="O622" s="7" t="str">
        <f>Raw_Orders!J622</f>
        <v>Raksha Bandhan</v>
      </c>
      <c r="P622" s="7" t="str">
        <f>Raw_Orders!I622</f>
        <v>Ahmedabad</v>
      </c>
    </row>
    <row r="623" spans="1:16">
      <c r="A623" s="7" t="str">
        <f>Raw_Orders!A623</f>
        <v>622</v>
      </c>
      <c r="B623" s="7" t="str">
        <f>Raw_Orders!B623</f>
        <v>C084</v>
      </c>
      <c r="C623" s="7" t="str">
        <f>INDEX(Raw_Customers!$B$2:$B$101,MATCH($B623,Raw_Customers!$A$2:$A$101,0))</f>
        <v>Anahita Shankar</v>
      </c>
      <c r="D623" s="7" t="str">
        <f>TRIM(INDEX(Raw_Customers!$C$2:$C$101,MATCH($B623,Raw_Customers!$A$2:$A$101,0)))</f>
        <v>Tiruchirappalli</v>
      </c>
      <c r="E623" s="7" t="str">
        <f>"+91-"&amp;RIGHT("0000000000"&amp;INDEX(Raw_Customers!$D$2:$D$101,MATCH($B623,Raw_Customers!$A$2:$A$101,0)),10)</f>
        <v>+91-2205603376</v>
      </c>
      <c r="F623" s="7" t="str">
        <f>Raw_Orders!C623</f>
        <v>4</v>
      </c>
      <c r="G623" s="7" t="str">
        <f>INDEX(Raw_Products!$B$2:$B$71,MATCH($F623,Raw_Products!$A$2:$A$71,0))</f>
        <v>Accusantium Set</v>
      </c>
      <c r="H623" s="7" t="str">
        <f>INDEX(Raw_Products!$C$2:$C$71,MATCH($F623,Raw_Products!$A$2:$A$71,0))</f>
        <v>Sweets</v>
      </c>
      <c r="I623" s="7">
        <f>VALUE(Raw_Orders!D623)</f>
        <v>4</v>
      </c>
      <c r="J623" s="11" t="str">
        <f>INDEX(Raw_Products!$D$2:$D$71,MATCH($F623,Raw_Products!$A$2:$A$71,0))</f>
        <v>1199</v>
      </c>
      <c r="K623" s="11">
        <f t="shared" si="18"/>
        <v>4796</v>
      </c>
      <c r="L623" s="12">
        <f>DATE(VALUE(RIGHT(Raw_Orders!E623,4)),VALUE(MID(Raw_Orders!E623,4,2)),VALUE(LEFT(Raw_Orders!E623,2)))</f>
        <v>45238</v>
      </c>
      <c r="M623" s="12">
        <f>DATE(VALUE(RIGHT(Raw_Orders!G623,4)),VALUE(MID(Raw_Orders!G623,4,2)),VALUE(LEFT(Raw_Orders!G623,2)))</f>
        <v>45239</v>
      </c>
      <c r="N623" s="7">
        <f t="shared" si="19"/>
        <v>1</v>
      </c>
      <c r="O623" s="7" t="str">
        <f>Raw_Orders!J623</f>
        <v>Diwali</v>
      </c>
      <c r="P623" s="7" t="str">
        <f>Raw_Orders!I623</f>
        <v>Bhiwandi</v>
      </c>
    </row>
    <row r="624" spans="1:16">
      <c r="A624" s="7" t="str">
        <f>Raw_Orders!A624</f>
        <v>623</v>
      </c>
      <c r="B624" s="7" t="str">
        <f>Raw_Orders!B624</f>
        <v>C045</v>
      </c>
      <c r="C624" s="7" t="str">
        <f>INDEX(Raw_Customers!$B$2:$B$101,MATCH($B624,Raw_Customers!$A$2:$A$101,0))</f>
        <v>Divit Mahajan</v>
      </c>
      <c r="D624" s="7" t="str">
        <f>TRIM(INDEX(Raw_Customers!$C$2:$C$101,MATCH($B624,Raw_Customers!$A$2:$A$101,0)))</f>
        <v>Maheshtala</v>
      </c>
      <c r="E624" s="7" t="str">
        <f>"+91-"&amp;RIGHT("0000000000"&amp;INDEX(Raw_Customers!$D$2:$D$101,MATCH($B624,Raw_Customers!$A$2:$A$101,0)),10)</f>
        <v>+91-6789522856</v>
      </c>
      <c r="F624" s="7" t="str">
        <f>Raw_Orders!C624</f>
        <v>37</v>
      </c>
      <c r="G624" s="7" t="str">
        <f>INDEX(Raw_Products!$B$2:$B$71,MATCH($F624,Raw_Products!$A$2:$A$71,0))</f>
        <v>Officiis Pack</v>
      </c>
      <c r="H624" s="7" t="str">
        <f>INDEX(Raw_Products!$C$2:$C$71,MATCH($F624,Raw_Products!$A$2:$A$71,0))</f>
        <v>Colors</v>
      </c>
      <c r="I624" s="7">
        <f>VALUE(Raw_Orders!D624)</f>
        <v>2</v>
      </c>
      <c r="J624" s="11" t="str">
        <f>INDEX(Raw_Products!$D$2:$D$71,MATCH($F624,Raw_Products!$A$2:$A$71,0))</f>
        <v>1428</v>
      </c>
      <c r="K624" s="11">
        <f t="shared" si="18"/>
        <v>2856</v>
      </c>
      <c r="L624" s="12">
        <f>DATE(VALUE(RIGHT(Raw_Orders!E624,4)),VALUE(MID(Raw_Orders!E624,4,2)),VALUE(LEFT(Raw_Orders!E624,2)))</f>
        <v>45238</v>
      </c>
      <c r="M624" s="12">
        <f>DATE(VALUE(RIGHT(Raw_Orders!G624,4)),VALUE(MID(Raw_Orders!G624,4,2)),VALUE(LEFT(Raw_Orders!G624,2)))</f>
        <v>45248</v>
      </c>
      <c r="N624" s="7">
        <f t="shared" si="19"/>
        <v>10</v>
      </c>
      <c r="O624" s="7" t="str">
        <f>Raw_Orders!J624</f>
        <v>Diwali</v>
      </c>
      <c r="P624" s="7" t="str">
        <f>Raw_Orders!I624</f>
        <v>Lucknow</v>
      </c>
    </row>
    <row r="625" spans="1:16">
      <c r="A625" s="7" t="str">
        <f>Raw_Orders!A625</f>
        <v>624</v>
      </c>
      <c r="B625" s="7" t="str">
        <f>Raw_Orders!B625</f>
        <v>C024</v>
      </c>
      <c r="C625" s="7" t="str">
        <f>INDEX(Raw_Customers!$B$2:$B$101,MATCH($B625,Raw_Customers!$A$2:$A$101,0))</f>
        <v>Jhanvi Chowdhury</v>
      </c>
      <c r="D625" s="7" t="str">
        <f>TRIM(INDEX(Raw_Customers!$C$2:$C$101,MATCH($B625,Raw_Customers!$A$2:$A$101,0)))</f>
        <v>Kavali</v>
      </c>
      <c r="E625" s="7" t="str">
        <f>"+91-"&amp;RIGHT("0000000000"&amp;INDEX(Raw_Customers!$D$2:$D$101,MATCH($B625,Raw_Customers!$A$2:$A$101,0)),10)</f>
        <v>+91-0316756360</v>
      </c>
      <c r="F625" s="7" t="str">
        <f>Raw_Orders!C625</f>
        <v>53</v>
      </c>
      <c r="G625" s="7" t="str">
        <f>INDEX(Raw_Products!$B$2:$B$71,MATCH($F625,Raw_Products!$A$2:$A$71,0))</f>
        <v>Ipsam Set</v>
      </c>
      <c r="H625" s="7" t="str">
        <f>INDEX(Raw_Products!$C$2:$C$71,MATCH($F625,Raw_Products!$A$2:$A$71,0))</f>
        <v>Sweets</v>
      </c>
      <c r="I625" s="7">
        <f>VALUE(Raw_Orders!D625)</f>
        <v>5</v>
      </c>
      <c r="J625" s="11" t="str">
        <f>INDEX(Raw_Products!$D$2:$D$71,MATCH($F625,Raw_Products!$A$2:$A$71,0))</f>
        <v>1672</v>
      </c>
      <c r="K625" s="11">
        <f t="shared" si="18"/>
        <v>8360</v>
      </c>
      <c r="L625" s="12">
        <f>DATE(VALUE(RIGHT(Raw_Orders!E625,4)),VALUE(MID(Raw_Orders!E625,4,2)),VALUE(LEFT(Raw_Orders!E625,2)))</f>
        <v>45167</v>
      </c>
      <c r="M625" s="12">
        <f>DATE(VALUE(RIGHT(Raw_Orders!G625,4)),VALUE(MID(Raw_Orders!G625,4,2)),VALUE(LEFT(Raw_Orders!G625,2)))</f>
        <v>45170</v>
      </c>
      <c r="N625" s="7">
        <f t="shared" si="19"/>
        <v>3</v>
      </c>
      <c r="O625" s="7" t="str">
        <f>Raw_Orders!J625</f>
        <v>Raksha Bandhan</v>
      </c>
      <c r="P625" s="7" t="str">
        <f>Raw_Orders!I625</f>
        <v>Ambala</v>
      </c>
    </row>
    <row r="626" spans="1:16">
      <c r="A626" s="7" t="str">
        <f>Raw_Orders!A626</f>
        <v>625</v>
      </c>
      <c r="B626" s="7" t="str">
        <f>Raw_Orders!B626</f>
        <v>C089</v>
      </c>
      <c r="C626" s="7" t="str">
        <f>INDEX(Raw_Customers!$B$2:$B$101,MATCH($B626,Raw_Customers!$A$2:$A$101,0))</f>
        <v>Oorja Dey</v>
      </c>
      <c r="D626" s="7" t="str">
        <f>TRIM(INDEX(Raw_Customers!$C$2:$C$101,MATCH($B626,Raw_Customers!$A$2:$A$101,0)))</f>
        <v>Nellore</v>
      </c>
      <c r="E626" s="7" t="str">
        <f>"+91-"&amp;RIGHT("0000000000"&amp;INDEX(Raw_Customers!$D$2:$D$101,MATCH($B626,Raw_Customers!$A$2:$A$101,0)),10)</f>
        <v>+91-7264144428</v>
      </c>
      <c r="F626" s="7" t="str">
        <f>Raw_Orders!C626</f>
        <v>63</v>
      </c>
      <c r="G626" s="7" t="str">
        <f>INDEX(Raw_Products!$B$2:$B$71,MATCH($F626,Raw_Products!$A$2:$A$71,0))</f>
        <v>Adipisci Set</v>
      </c>
      <c r="H626" s="7" t="str">
        <f>INDEX(Raw_Products!$C$2:$C$71,MATCH($F626,Raw_Products!$A$2:$A$71,0))</f>
        <v>Sweets</v>
      </c>
      <c r="I626" s="7">
        <f>VALUE(Raw_Orders!D626)</f>
        <v>5</v>
      </c>
      <c r="J626" s="11" t="str">
        <f>INDEX(Raw_Products!$D$2:$D$71,MATCH($F626,Raw_Products!$A$2:$A$71,0))</f>
        <v>1348</v>
      </c>
      <c r="K626" s="11">
        <f t="shared" si="18"/>
        <v>6740</v>
      </c>
      <c r="L626" s="12">
        <f>DATE(VALUE(RIGHT(Raw_Orders!E626,4)),VALUE(MID(Raw_Orders!E626,4,2)),VALUE(LEFT(Raw_Orders!E626,2)))</f>
        <v>44980</v>
      </c>
      <c r="M626" s="12">
        <f>DATE(VALUE(RIGHT(Raw_Orders!G626,4)),VALUE(MID(Raw_Orders!G626,4,2)),VALUE(LEFT(Raw_Orders!G626,2)))</f>
        <v>44989</v>
      </c>
      <c r="N626" s="7">
        <f t="shared" si="19"/>
        <v>9</v>
      </c>
      <c r="O626" s="7" t="str">
        <f>Raw_Orders!J626</f>
        <v>All Occasions</v>
      </c>
      <c r="P626" s="7" t="str">
        <f>Raw_Orders!I626</f>
        <v>Belgaum</v>
      </c>
    </row>
    <row r="627" spans="1:16">
      <c r="A627" s="7" t="str">
        <f>Raw_Orders!A627</f>
        <v>626</v>
      </c>
      <c r="B627" s="7" t="str">
        <f>Raw_Orders!B627</f>
        <v>C024</v>
      </c>
      <c r="C627" s="7" t="str">
        <f>INDEX(Raw_Customers!$B$2:$B$101,MATCH($B627,Raw_Customers!$A$2:$A$101,0))</f>
        <v>Jhanvi Chowdhury</v>
      </c>
      <c r="D627" s="7" t="str">
        <f>TRIM(INDEX(Raw_Customers!$C$2:$C$101,MATCH($B627,Raw_Customers!$A$2:$A$101,0)))</f>
        <v>Kavali</v>
      </c>
      <c r="E627" s="7" t="str">
        <f>"+91-"&amp;RIGHT("0000000000"&amp;INDEX(Raw_Customers!$D$2:$D$101,MATCH($B627,Raw_Customers!$A$2:$A$101,0)),10)</f>
        <v>+91-0316756360</v>
      </c>
      <c r="F627" s="7" t="str">
        <f>Raw_Orders!C627</f>
        <v>40</v>
      </c>
      <c r="G627" s="7" t="str">
        <f>INDEX(Raw_Products!$B$2:$B$71,MATCH($F627,Raw_Products!$A$2:$A$71,0))</f>
        <v>Provident Pack</v>
      </c>
      <c r="H627" s="7" t="str">
        <f>INDEX(Raw_Products!$C$2:$C$71,MATCH($F627,Raw_Products!$A$2:$A$71,0))</f>
        <v>Sweets</v>
      </c>
      <c r="I627" s="7">
        <f>VALUE(Raw_Orders!D627)</f>
        <v>5</v>
      </c>
      <c r="J627" s="11" t="str">
        <f>INDEX(Raw_Products!$D$2:$D$71,MATCH($F627,Raw_Products!$A$2:$A$71,0))</f>
        <v>1923</v>
      </c>
      <c r="K627" s="11">
        <f t="shared" si="18"/>
        <v>9615</v>
      </c>
      <c r="L627" s="12">
        <f>DATE(VALUE(RIGHT(Raw_Orders!E627,4)),VALUE(MID(Raw_Orders!E627,4,2)),VALUE(LEFT(Raw_Orders!E627,2)))</f>
        <v>45192</v>
      </c>
      <c r="M627" s="12">
        <f>DATE(VALUE(RIGHT(Raw_Orders!G627,4)),VALUE(MID(Raw_Orders!G627,4,2)),VALUE(LEFT(Raw_Orders!G627,2)))</f>
        <v>45196</v>
      </c>
      <c r="N627" s="7">
        <f t="shared" si="19"/>
        <v>4</v>
      </c>
      <c r="O627" s="7" t="str">
        <f>Raw_Orders!J627</f>
        <v>Anniversary</v>
      </c>
      <c r="P627" s="7" t="str">
        <f>Raw_Orders!I627</f>
        <v>Bellary</v>
      </c>
    </row>
    <row r="628" spans="1:16">
      <c r="A628" s="7" t="str">
        <f>Raw_Orders!A628</f>
        <v>627</v>
      </c>
      <c r="B628" s="7" t="str">
        <f>Raw_Orders!B628</f>
        <v>C024</v>
      </c>
      <c r="C628" s="7" t="str">
        <f>INDEX(Raw_Customers!$B$2:$B$101,MATCH($B628,Raw_Customers!$A$2:$A$101,0))</f>
        <v>Jhanvi Chowdhury</v>
      </c>
      <c r="D628" s="7" t="str">
        <f>TRIM(INDEX(Raw_Customers!$C$2:$C$101,MATCH($B628,Raw_Customers!$A$2:$A$101,0)))</f>
        <v>Kavali</v>
      </c>
      <c r="E628" s="7" t="str">
        <f>"+91-"&amp;RIGHT("0000000000"&amp;INDEX(Raw_Customers!$D$2:$D$101,MATCH($B628,Raw_Customers!$A$2:$A$101,0)),10)</f>
        <v>+91-0316756360</v>
      </c>
      <c r="F628" s="7" t="str">
        <f>Raw_Orders!C628</f>
        <v>51</v>
      </c>
      <c r="G628" s="7" t="str">
        <f>INDEX(Raw_Products!$B$2:$B$71,MATCH($F628,Raw_Products!$A$2:$A$71,0))</f>
        <v>Fugit Set</v>
      </c>
      <c r="H628" s="7" t="str">
        <f>INDEX(Raw_Products!$C$2:$C$71,MATCH($F628,Raw_Products!$A$2:$A$71,0))</f>
        <v>Soft Toys</v>
      </c>
      <c r="I628" s="7">
        <f>VALUE(Raw_Orders!D628)</f>
        <v>4</v>
      </c>
      <c r="J628" s="11" t="str">
        <f>INDEX(Raw_Products!$D$2:$D$71,MATCH($F628,Raw_Products!$A$2:$A$71,0))</f>
        <v>1084</v>
      </c>
      <c r="K628" s="11">
        <f t="shared" si="18"/>
        <v>4336</v>
      </c>
      <c r="L628" s="12">
        <f>DATE(VALUE(RIGHT(Raw_Orders!E628,4)),VALUE(MID(Raw_Orders!E628,4,2)),VALUE(LEFT(Raw_Orders!E628,2)))</f>
        <v>44962</v>
      </c>
      <c r="M628" s="12">
        <f>DATE(VALUE(RIGHT(Raw_Orders!G628,4)),VALUE(MID(Raw_Orders!G628,4,2)),VALUE(LEFT(Raw_Orders!G628,2)))</f>
        <v>44965</v>
      </c>
      <c r="N628" s="7">
        <f t="shared" si="19"/>
        <v>3</v>
      </c>
      <c r="O628" s="7" t="str">
        <f>Raw_Orders!J628</f>
        <v>All Occasions</v>
      </c>
      <c r="P628" s="7" t="str">
        <f>Raw_Orders!I628</f>
        <v>Sirsa</v>
      </c>
    </row>
    <row r="629" spans="1:16">
      <c r="A629" s="7" t="str">
        <f>Raw_Orders!A629</f>
        <v>628</v>
      </c>
      <c r="B629" s="7" t="str">
        <f>Raw_Orders!B629</f>
        <v>C061</v>
      </c>
      <c r="C629" s="7" t="str">
        <f>INDEX(Raw_Customers!$B$2:$B$101,MATCH($B629,Raw_Customers!$A$2:$A$101,0))</f>
        <v>Akarsh Ramesh</v>
      </c>
      <c r="D629" s="7" t="str">
        <f>TRIM(INDEX(Raw_Customers!$C$2:$C$101,MATCH($B629,Raw_Customers!$A$2:$A$101,0)))</f>
        <v>Kavali</v>
      </c>
      <c r="E629" s="7" t="str">
        <f>"+91-"&amp;RIGHT("0000000000"&amp;INDEX(Raw_Customers!$D$2:$D$101,MATCH($B629,Raw_Customers!$A$2:$A$101,0)),10)</f>
        <v>+91-4318554567</v>
      </c>
      <c r="F629" s="7" t="str">
        <f>Raw_Orders!C629</f>
        <v>11</v>
      </c>
      <c r="G629" s="7" t="str">
        <f>INDEX(Raw_Products!$B$2:$B$71,MATCH($F629,Raw_Products!$A$2:$A$71,0))</f>
        <v>Maxime Set</v>
      </c>
      <c r="H629" s="7" t="str">
        <f>INDEX(Raw_Products!$C$2:$C$71,MATCH($F629,Raw_Products!$A$2:$A$71,0))</f>
        <v>Mugs</v>
      </c>
      <c r="I629" s="7">
        <f>VALUE(Raw_Orders!D629)</f>
        <v>5</v>
      </c>
      <c r="J629" s="11" t="str">
        <f>INDEX(Raw_Products!$D$2:$D$71,MATCH($F629,Raw_Products!$A$2:$A$71,0))</f>
        <v>1096</v>
      </c>
      <c r="K629" s="11">
        <f t="shared" si="18"/>
        <v>5480</v>
      </c>
      <c r="L629" s="12">
        <f>DATE(VALUE(RIGHT(Raw_Orders!E629,4)),VALUE(MID(Raw_Orders!E629,4,2)),VALUE(LEFT(Raw_Orders!E629,2)))</f>
        <v>44967</v>
      </c>
      <c r="M629" s="12">
        <f>DATE(VALUE(RIGHT(Raw_Orders!G629,4)),VALUE(MID(Raw_Orders!G629,4,2)),VALUE(LEFT(Raw_Orders!G629,2)))</f>
        <v>44970</v>
      </c>
      <c r="N629" s="7">
        <f t="shared" si="19"/>
        <v>3</v>
      </c>
      <c r="O629" s="7" t="str">
        <f>Raw_Orders!J629</f>
        <v>Valentine's Day</v>
      </c>
      <c r="P629" s="7" t="str">
        <f>Raw_Orders!I629</f>
        <v>Ongole</v>
      </c>
    </row>
    <row r="630" spans="1:16">
      <c r="A630" s="7" t="str">
        <f>Raw_Orders!A630</f>
        <v>629</v>
      </c>
      <c r="B630" s="7" t="str">
        <f>Raw_Orders!B630</f>
        <v>C032</v>
      </c>
      <c r="C630" s="7" t="str">
        <f>INDEX(Raw_Customers!$B$2:$B$101,MATCH($B630,Raw_Customers!$A$2:$A$101,0))</f>
        <v>Mannat Anand</v>
      </c>
      <c r="D630" s="7" t="str">
        <f>TRIM(INDEX(Raw_Customers!$C$2:$C$101,MATCH($B630,Raw_Customers!$A$2:$A$101,0)))</f>
        <v>Surat</v>
      </c>
      <c r="E630" s="7" t="str">
        <f>"+91-"&amp;RIGHT("0000000000"&amp;INDEX(Raw_Customers!$D$2:$D$101,MATCH($B630,Raw_Customers!$A$2:$A$101,0)),10)</f>
        <v>+91-1611365500</v>
      </c>
      <c r="F630" s="7" t="str">
        <f>Raw_Orders!C630</f>
        <v>28</v>
      </c>
      <c r="G630" s="7" t="str">
        <f>INDEX(Raw_Products!$B$2:$B$71,MATCH($F630,Raw_Products!$A$2:$A$71,0))</f>
        <v>Velit Set</v>
      </c>
      <c r="H630" s="7" t="str">
        <f>INDEX(Raw_Products!$C$2:$C$71,MATCH($F630,Raw_Products!$A$2:$A$71,0))</f>
        <v>Sweets</v>
      </c>
      <c r="I630" s="7">
        <f>VALUE(Raw_Orders!D630)</f>
        <v>5</v>
      </c>
      <c r="J630" s="11" t="str">
        <f>INDEX(Raw_Products!$D$2:$D$71,MATCH($F630,Raw_Products!$A$2:$A$71,0))</f>
        <v>1778</v>
      </c>
      <c r="K630" s="11">
        <f t="shared" si="18"/>
        <v>8890</v>
      </c>
      <c r="L630" s="12">
        <f>DATE(VALUE(RIGHT(Raw_Orders!E630,4)),VALUE(MID(Raw_Orders!E630,4,2)),VALUE(LEFT(Raw_Orders!E630,2)))</f>
        <v>45165</v>
      </c>
      <c r="M630" s="12">
        <f>DATE(VALUE(RIGHT(Raw_Orders!G630,4)),VALUE(MID(Raw_Orders!G630,4,2)),VALUE(LEFT(Raw_Orders!G630,2)))</f>
        <v>45173</v>
      </c>
      <c r="N630" s="7">
        <f t="shared" si="19"/>
        <v>8</v>
      </c>
      <c r="O630" s="7" t="str">
        <f>Raw_Orders!J630</f>
        <v>Raksha Bandhan</v>
      </c>
      <c r="P630" s="7" t="str">
        <f>Raw_Orders!I630</f>
        <v>Sangli-Miraj &amp; Kupwad</v>
      </c>
    </row>
    <row r="631" spans="1:16">
      <c r="A631" s="7" t="str">
        <f>Raw_Orders!A631</f>
        <v>630</v>
      </c>
      <c r="B631" s="7" t="str">
        <f>Raw_Orders!B631</f>
        <v>C071</v>
      </c>
      <c r="C631" s="7" t="str">
        <f>INDEX(Raw_Customers!$B$2:$B$101,MATCH($B631,Raw_Customers!$A$2:$A$101,0))</f>
        <v>Purab Sheth</v>
      </c>
      <c r="D631" s="7" t="str">
        <f>TRIM(INDEX(Raw_Customers!$C$2:$C$101,MATCH($B631,Raw_Customers!$A$2:$A$101,0)))</f>
        <v>Tiruppur</v>
      </c>
      <c r="E631" s="7" t="str">
        <f>"+91-"&amp;RIGHT("0000000000"&amp;INDEX(Raw_Customers!$D$2:$D$101,MATCH($B631,Raw_Customers!$A$2:$A$101,0)),10)</f>
        <v>+91-8410472405</v>
      </c>
      <c r="F631" s="7" t="str">
        <f>Raw_Orders!C631</f>
        <v>67</v>
      </c>
      <c r="G631" s="7" t="str">
        <f>INDEX(Raw_Products!$B$2:$B$71,MATCH($F631,Raw_Products!$A$2:$A$71,0))</f>
        <v>Maiores Box</v>
      </c>
      <c r="H631" s="7" t="str">
        <f>INDEX(Raw_Products!$C$2:$C$71,MATCH($F631,Raw_Products!$A$2:$A$71,0))</f>
        <v>Raksha Bandhan</v>
      </c>
      <c r="I631" s="7">
        <f>VALUE(Raw_Orders!D631)</f>
        <v>3</v>
      </c>
      <c r="J631" s="11" t="str">
        <f>INDEX(Raw_Products!$D$2:$D$71,MATCH($F631,Raw_Products!$A$2:$A$71,0))</f>
        <v>1374</v>
      </c>
      <c r="K631" s="11">
        <f t="shared" si="18"/>
        <v>4122</v>
      </c>
      <c r="L631" s="12">
        <f>DATE(VALUE(RIGHT(Raw_Orders!E631,4)),VALUE(MID(Raw_Orders!E631,4,2)),VALUE(LEFT(Raw_Orders!E631,2)))</f>
        <v>44978</v>
      </c>
      <c r="M631" s="12">
        <f>DATE(VALUE(RIGHT(Raw_Orders!G631,4)),VALUE(MID(Raw_Orders!G631,4,2)),VALUE(LEFT(Raw_Orders!G631,2)))</f>
        <v>44986</v>
      </c>
      <c r="N631" s="7">
        <f t="shared" si="19"/>
        <v>8</v>
      </c>
      <c r="O631" s="7" t="str">
        <f>Raw_Orders!J631</f>
        <v>Anniversary</v>
      </c>
      <c r="P631" s="7" t="str">
        <f>Raw_Orders!I631</f>
        <v>Karimnagar</v>
      </c>
    </row>
    <row r="632" spans="1:16">
      <c r="A632" s="7" t="str">
        <f>Raw_Orders!A632</f>
        <v>631</v>
      </c>
      <c r="B632" s="7" t="str">
        <f>Raw_Orders!B632</f>
        <v>C044</v>
      </c>
      <c r="C632" s="7" t="str">
        <f>INDEX(Raw_Customers!$B$2:$B$101,MATCH($B632,Raw_Customers!$A$2:$A$101,0))</f>
        <v>Seher Mann</v>
      </c>
      <c r="D632" s="7" t="str">
        <f>TRIM(INDEX(Raw_Customers!$C$2:$C$101,MATCH($B632,Raw_Customers!$A$2:$A$101,0)))</f>
        <v>Agra</v>
      </c>
      <c r="E632" s="7" t="str">
        <f>"+91-"&amp;RIGHT("0000000000"&amp;INDEX(Raw_Customers!$D$2:$D$101,MATCH($B632,Raw_Customers!$A$2:$A$101,0)),10)</f>
        <v>+91-9843970658</v>
      </c>
      <c r="F632" s="7" t="str">
        <f>Raw_Orders!C632</f>
        <v>32</v>
      </c>
      <c r="G632" s="7" t="str">
        <f>INDEX(Raw_Products!$B$2:$B$71,MATCH($F632,Raw_Products!$A$2:$A$71,0))</f>
        <v>Fuga Set</v>
      </c>
      <c r="H632" s="7" t="str">
        <f>INDEX(Raw_Products!$C$2:$C$71,MATCH($F632,Raw_Products!$A$2:$A$71,0))</f>
        <v>Soft Toys</v>
      </c>
      <c r="I632" s="7">
        <f>VALUE(Raw_Orders!D632)</f>
        <v>4</v>
      </c>
      <c r="J632" s="11" t="str">
        <f>INDEX(Raw_Products!$D$2:$D$71,MATCH($F632,Raw_Products!$A$2:$A$71,0))</f>
        <v>1792</v>
      </c>
      <c r="K632" s="11">
        <f t="shared" si="18"/>
        <v>7168</v>
      </c>
      <c r="L632" s="12">
        <f>DATE(VALUE(RIGHT(Raw_Orders!E632,4)),VALUE(MID(Raw_Orders!E632,4,2)),VALUE(LEFT(Raw_Orders!E632,2)))</f>
        <v>45029</v>
      </c>
      <c r="M632" s="12">
        <f>DATE(VALUE(RIGHT(Raw_Orders!G632,4)),VALUE(MID(Raw_Orders!G632,4,2)),VALUE(LEFT(Raw_Orders!G632,2)))</f>
        <v>45033</v>
      </c>
      <c r="N632" s="7">
        <f t="shared" si="19"/>
        <v>4</v>
      </c>
      <c r="O632" s="7" t="str">
        <f>Raw_Orders!J632</f>
        <v>Birthday</v>
      </c>
      <c r="P632" s="7" t="str">
        <f>Raw_Orders!I632</f>
        <v>Gopalpur</v>
      </c>
    </row>
    <row r="633" spans="1:16">
      <c r="A633" s="7" t="str">
        <f>Raw_Orders!A633</f>
        <v>632</v>
      </c>
      <c r="B633" s="7" t="str">
        <f>Raw_Orders!B633</f>
        <v>C075</v>
      </c>
      <c r="C633" s="7" t="str">
        <f>INDEX(Raw_Customers!$B$2:$B$101,MATCH($B633,Raw_Customers!$A$2:$A$101,0))</f>
        <v>Yashvi Bansal</v>
      </c>
      <c r="D633" s="7" t="str">
        <f>TRIM(INDEX(Raw_Customers!$C$2:$C$101,MATCH($B633,Raw_Customers!$A$2:$A$101,0)))</f>
        <v>Aligarh</v>
      </c>
      <c r="E633" s="7" t="str">
        <f>"+91-"&amp;RIGHT("0000000000"&amp;INDEX(Raw_Customers!$D$2:$D$101,MATCH($B633,Raw_Customers!$A$2:$A$101,0)),10)</f>
        <v>+91-4513765238</v>
      </c>
      <c r="F633" s="7" t="str">
        <f>Raw_Orders!C633</f>
        <v>51</v>
      </c>
      <c r="G633" s="7" t="str">
        <f>INDEX(Raw_Products!$B$2:$B$71,MATCH($F633,Raw_Products!$A$2:$A$71,0))</f>
        <v>Fugit Set</v>
      </c>
      <c r="H633" s="7" t="str">
        <f>INDEX(Raw_Products!$C$2:$C$71,MATCH($F633,Raw_Products!$A$2:$A$71,0))</f>
        <v>Soft Toys</v>
      </c>
      <c r="I633" s="7">
        <f>VALUE(Raw_Orders!D633)</f>
        <v>1</v>
      </c>
      <c r="J633" s="11" t="str">
        <f>INDEX(Raw_Products!$D$2:$D$71,MATCH($F633,Raw_Products!$A$2:$A$71,0))</f>
        <v>1084</v>
      </c>
      <c r="K633" s="11">
        <f t="shared" si="18"/>
        <v>1084</v>
      </c>
      <c r="L633" s="12">
        <f>DATE(VALUE(RIGHT(Raw_Orders!E633,4)),VALUE(MID(Raw_Orders!E633,4,2)),VALUE(LEFT(Raw_Orders!E633,2)))</f>
        <v>45118</v>
      </c>
      <c r="M633" s="12">
        <f>DATE(VALUE(RIGHT(Raw_Orders!G633,4)),VALUE(MID(Raw_Orders!G633,4,2)),VALUE(LEFT(Raw_Orders!G633,2)))</f>
        <v>45119</v>
      </c>
      <c r="N633" s="7">
        <f t="shared" si="19"/>
        <v>1</v>
      </c>
      <c r="O633" s="7" t="str">
        <f>Raw_Orders!J633</f>
        <v>All Occasions</v>
      </c>
      <c r="P633" s="7" t="str">
        <f>Raw_Orders!I633</f>
        <v>Adoni</v>
      </c>
    </row>
    <row r="634" spans="1:16">
      <c r="A634" s="7" t="str">
        <f>Raw_Orders!A634</f>
        <v>633</v>
      </c>
      <c r="B634" s="7" t="str">
        <f>Raw_Orders!B634</f>
        <v>C031</v>
      </c>
      <c r="C634" s="7" t="str">
        <f>INDEX(Raw_Customers!$B$2:$B$101,MATCH($B634,Raw_Customers!$A$2:$A$101,0))</f>
        <v>Madhup Wable</v>
      </c>
      <c r="D634" s="7" t="str">
        <f>TRIM(INDEX(Raw_Customers!$C$2:$C$101,MATCH($B634,Raw_Customers!$A$2:$A$101,0)))</f>
        <v>Sasaram</v>
      </c>
      <c r="E634" s="7" t="str">
        <f>"+91-"&amp;RIGHT("0000000000"&amp;INDEX(Raw_Customers!$D$2:$D$101,MATCH($B634,Raw_Customers!$A$2:$A$101,0)),10)</f>
        <v>+91-0135745753</v>
      </c>
      <c r="F634" s="7" t="str">
        <f>Raw_Orders!C634</f>
        <v>52</v>
      </c>
      <c r="G634" s="7" t="str">
        <f>INDEX(Raw_Products!$B$2:$B$71,MATCH($F634,Raw_Products!$A$2:$A$71,0))</f>
        <v>Dolorum Box</v>
      </c>
      <c r="H634" s="7" t="str">
        <f>INDEX(Raw_Products!$C$2:$C$71,MATCH($F634,Raw_Products!$A$2:$A$71,0))</f>
        <v>Raksha Bandhan</v>
      </c>
      <c r="I634" s="7">
        <f>VALUE(Raw_Orders!D634)</f>
        <v>5</v>
      </c>
      <c r="J634" s="11" t="str">
        <f>INDEX(Raw_Products!$D$2:$D$71,MATCH($F634,Raw_Products!$A$2:$A$71,0))</f>
        <v>236</v>
      </c>
      <c r="K634" s="11">
        <f t="shared" si="18"/>
        <v>1180</v>
      </c>
      <c r="L634" s="12">
        <f>DATE(VALUE(RIGHT(Raw_Orders!E634,4)),VALUE(MID(Raw_Orders!E634,4,2)),VALUE(LEFT(Raw_Orders!E634,2)))</f>
        <v>44967</v>
      </c>
      <c r="M634" s="12">
        <f>DATE(VALUE(RIGHT(Raw_Orders!G634,4)),VALUE(MID(Raw_Orders!G634,4,2)),VALUE(LEFT(Raw_Orders!G634,2)))</f>
        <v>44972</v>
      </c>
      <c r="N634" s="7">
        <f t="shared" si="19"/>
        <v>5</v>
      </c>
      <c r="O634" s="7" t="str">
        <f>Raw_Orders!J634</f>
        <v>Valentine's Day</v>
      </c>
      <c r="P634" s="7" t="str">
        <f>Raw_Orders!I634</f>
        <v>Surat</v>
      </c>
    </row>
    <row r="635" spans="1:16">
      <c r="A635" s="7" t="str">
        <f>Raw_Orders!A635</f>
        <v>634</v>
      </c>
      <c r="B635" s="7" t="str">
        <f>Raw_Orders!B635</f>
        <v>C038</v>
      </c>
      <c r="C635" s="7" t="str">
        <f>INDEX(Raw_Customers!$B$2:$B$101,MATCH($B635,Raw_Customers!$A$2:$A$101,0))</f>
        <v>Yakshit Shah</v>
      </c>
      <c r="D635" s="7" t="str">
        <f>TRIM(INDEX(Raw_Customers!$C$2:$C$101,MATCH($B635,Raw_Customers!$A$2:$A$101,0)))</f>
        <v>Aizawl</v>
      </c>
      <c r="E635" s="7" t="str">
        <f>"+91-"&amp;RIGHT("0000000000"&amp;INDEX(Raw_Customers!$D$2:$D$101,MATCH($B635,Raw_Customers!$A$2:$A$101,0)),10)</f>
        <v>+91-2847411902</v>
      </c>
      <c r="F635" s="7" t="str">
        <f>Raw_Orders!C635</f>
        <v>57</v>
      </c>
      <c r="G635" s="7" t="str">
        <f>INDEX(Raw_Products!$B$2:$B$71,MATCH($F635,Raw_Products!$A$2:$A$71,0))</f>
        <v>Voluptatem Box</v>
      </c>
      <c r="H635" s="7" t="str">
        <f>INDEX(Raw_Products!$C$2:$C$71,MATCH($F635,Raw_Products!$A$2:$A$71,0))</f>
        <v>Colors</v>
      </c>
      <c r="I635" s="7">
        <f>VALUE(Raw_Orders!D635)</f>
        <v>3</v>
      </c>
      <c r="J635" s="11" t="str">
        <f>INDEX(Raw_Products!$D$2:$D$71,MATCH($F635,Raw_Products!$A$2:$A$71,0))</f>
        <v>1582</v>
      </c>
      <c r="K635" s="11">
        <f t="shared" si="18"/>
        <v>4746</v>
      </c>
      <c r="L635" s="12">
        <f>DATE(VALUE(RIGHT(Raw_Orders!E635,4)),VALUE(MID(Raw_Orders!E635,4,2)),VALUE(LEFT(Raw_Orders!E635,2)))</f>
        <v>45053</v>
      </c>
      <c r="M635" s="12">
        <f>DATE(VALUE(RIGHT(Raw_Orders!G635,4)),VALUE(MID(Raw_Orders!G635,4,2)),VALUE(LEFT(Raw_Orders!G635,2)))</f>
        <v>45057</v>
      </c>
      <c r="N635" s="7">
        <f t="shared" si="19"/>
        <v>4</v>
      </c>
      <c r="O635" s="7" t="str">
        <f>Raw_Orders!J635</f>
        <v>Birthday</v>
      </c>
      <c r="P635" s="7" t="str">
        <f>Raw_Orders!I635</f>
        <v>Fatehpur</v>
      </c>
    </row>
    <row r="636" spans="1:16">
      <c r="A636" s="7" t="str">
        <f>Raw_Orders!A636</f>
        <v>635</v>
      </c>
      <c r="B636" s="7" t="str">
        <f>Raw_Orders!B636</f>
        <v>C095</v>
      </c>
      <c r="C636" s="7" t="str">
        <f>INDEX(Raw_Customers!$B$2:$B$101,MATCH($B636,Raw_Customers!$A$2:$A$101,0))</f>
        <v>Mahika Cherian</v>
      </c>
      <c r="D636" s="7" t="str">
        <f>TRIM(INDEX(Raw_Customers!$C$2:$C$101,MATCH($B636,Raw_Customers!$A$2:$A$101,0)))</f>
        <v>Warangal</v>
      </c>
      <c r="E636" s="7" t="str">
        <f>"+91-"&amp;RIGHT("0000000000"&amp;INDEX(Raw_Customers!$D$2:$D$101,MATCH($B636,Raw_Customers!$A$2:$A$101,0)),10)</f>
        <v>+91-2769457161</v>
      </c>
      <c r="F636" s="7" t="str">
        <f>Raw_Orders!C636</f>
        <v>67</v>
      </c>
      <c r="G636" s="7" t="str">
        <f>INDEX(Raw_Products!$B$2:$B$71,MATCH($F636,Raw_Products!$A$2:$A$71,0))</f>
        <v>Maiores Box</v>
      </c>
      <c r="H636" s="7" t="str">
        <f>INDEX(Raw_Products!$C$2:$C$71,MATCH($F636,Raw_Products!$A$2:$A$71,0))</f>
        <v>Raksha Bandhan</v>
      </c>
      <c r="I636" s="7">
        <f>VALUE(Raw_Orders!D636)</f>
        <v>1</v>
      </c>
      <c r="J636" s="11" t="str">
        <f>INDEX(Raw_Products!$D$2:$D$71,MATCH($F636,Raw_Products!$A$2:$A$71,0))</f>
        <v>1374</v>
      </c>
      <c r="K636" s="11">
        <f t="shared" si="18"/>
        <v>1374</v>
      </c>
      <c r="L636" s="12">
        <f>DATE(VALUE(RIGHT(Raw_Orders!E636,4)),VALUE(MID(Raw_Orders!E636,4,2)),VALUE(LEFT(Raw_Orders!E636,2)))</f>
        <v>45242</v>
      </c>
      <c r="M636" s="12">
        <f>DATE(VALUE(RIGHT(Raw_Orders!G636,4)),VALUE(MID(Raw_Orders!G636,4,2)),VALUE(LEFT(Raw_Orders!G636,2)))</f>
        <v>45252</v>
      </c>
      <c r="N636" s="7">
        <f t="shared" si="19"/>
        <v>10</v>
      </c>
      <c r="O636" s="7" t="str">
        <f>Raw_Orders!J636</f>
        <v>Anniversary</v>
      </c>
      <c r="P636" s="7" t="str">
        <f>Raw_Orders!I636</f>
        <v>Navi Mumbai</v>
      </c>
    </row>
    <row r="637" spans="1:16">
      <c r="A637" s="7" t="str">
        <f>Raw_Orders!A637</f>
        <v>636</v>
      </c>
      <c r="B637" s="7" t="str">
        <f>Raw_Orders!B637</f>
        <v>C067</v>
      </c>
      <c r="C637" s="7" t="str">
        <f>INDEX(Raw_Customers!$B$2:$B$101,MATCH($B637,Raw_Customers!$A$2:$A$101,0))</f>
        <v>Eva Sankaran</v>
      </c>
      <c r="D637" s="7" t="str">
        <f>TRIM(INDEX(Raw_Customers!$C$2:$C$101,MATCH($B637,Raw_Customers!$A$2:$A$101,0)))</f>
        <v>Anand</v>
      </c>
      <c r="E637" s="7" t="str">
        <f>"+91-"&amp;RIGHT("0000000000"&amp;INDEX(Raw_Customers!$D$2:$D$101,MATCH($B637,Raw_Customers!$A$2:$A$101,0)),10)</f>
        <v>+91-0407409251</v>
      </c>
      <c r="F637" s="7" t="str">
        <f>Raw_Orders!C637</f>
        <v>53</v>
      </c>
      <c r="G637" s="7" t="str">
        <f>INDEX(Raw_Products!$B$2:$B$71,MATCH($F637,Raw_Products!$A$2:$A$71,0))</f>
        <v>Ipsam Set</v>
      </c>
      <c r="H637" s="7" t="str">
        <f>INDEX(Raw_Products!$C$2:$C$71,MATCH($F637,Raw_Products!$A$2:$A$71,0))</f>
        <v>Sweets</v>
      </c>
      <c r="I637" s="7">
        <f>VALUE(Raw_Orders!D637)</f>
        <v>2</v>
      </c>
      <c r="J637" s="11" t="str">
        <f>INDEX(Raw_Products!$D$2:$D$71,MATCH($F637,Raw_Products!$A$2:$A$71,0))</f>
        <v>1672</v>
      </c>
      <c r="K637" s="11">
        <f t="shared" si="18"/>
        <v>3344</v>
      </c>
      <c r="L637" s="12">
        <f>DATE(VALUE(RIGHT(Raw_Orders!E637,4)),VALUE(MID(Raw_Orders!E637,4,2)),VALUE(LEFT(Raw_Orders!E637,2)))</f>
        <v>45163</v>
      </c>
      <c r="M637" s="12">
        <f>DATE(VALUE(RIGHT(Raw_Orders!G637,4)),VALUE(MID(Raw_Orders!G637,4,2)),VALUE(LEFT(Raw_Orders!G637,2)))</f>
        <v>45171</v>
      </c>
      <c r="N637" s="7">
        <f t="shared" si="19"/>
        <v>8</v>
      </c>
      <c r="O637" s="7" t="str">
        <f>Raw_Orders!J637</f>
        <v>Raksha Bandhan</v>
      </c>
      <c r="P637" s="7" t="str">
        <f>Raw_Orders!I637</f>
        <v>Panipat</v>
      </c>
    </row>
    <row r="638" spans="1:16">
      <c r="A638" s="7" t="str">
        <f>Raw_Orders!A638</f>
        <v>637</v>
      </c>
      <c r="B638" s="7" t="str">
        <f>Raw_Orders!B638</f>
        <v>C056</v>
      </c>
      <c r="C638" s="7" t="str">
        <f>INDEX(Raw_Customers!$B$2:$B$101,MATCH($B638,Raw_Customers!$A$2:$A$101,0))</f>
        <v>Pihu Choudhury</v>
      </c>
      <c r="D638" s="7" t="str">
        <f>TRIM(INDEX(Raw_Customers!$C$2:$C$101,MATCH($B638,Raw_Customers!$A$2:$A$101,0)))</f>
        <v>Haridwar</v>
      </c>
      <c r="E638" s="7" t="str">
        <f>"+91-"&amp;RIGHT("0000000000"&amp;INDEX(Raw_Customers!$D$2:$D$101,MATCH($B638,Raw_Customers!$A$2:$A$101,0)),10)</f>
        <v>+91-9732644810</v>
      </c>
      <c r="F638" s="7" t="str">
        <f>Raw_Orders!C638</f>
        <v>51</v>
      </c>
      <c r="G638" s="7" t="str">
        <f>INDEX(Raw_Products!$B$2:$B$71,MATCH($F638,Raw_Products!$A$2:$A$71,0))</f>
        <v>Fugit Set</v>
      </c>
      <c r="H638" s="7" t="str">
        <f>INDEX(Raw_Products!$C$2:$C$71,MATCH($F638,Raw_Products!$A$2:$A$71,0))</f>
        <v>Soft Toys</v>
      </c>
      <c r="I638" s="7">
        <f>VALUE(Raw_Orders!D638)</f>
        <v>3</v>
      </c>
      <c r="J638" s="11" t="str">
        <f>INDEX(Raw_Products!$D$2:$D$71,MATCH($F638,Raw_Products!$A$2:$A$71,0))</f>
        <v>1084</v>
      </c>
      <c r="K638" s="11">
        <f t="shared" si="18"/>
        <v>3252</v>
      </c>
      <c r="L638" s="12">
        <f>DATE(VALUE(RIGHT(Raw_Orders!E638,4)),VALUE(MID(Raw_Orders!E638,4,2)),VALUE(LEFT(Raw_Orders!E638,2)))</f>
        <v>44997</v>
      </c>
      <c r="M638" s="12">
        <f>DATE(VALUE(RIGHT(Raw_Orders!G638,4)),VALUE(MID(Raw_Orders!G638,4,2)),VALUE(LEFT(Raw_Orders!G638,2)))</f>
        <v>45005</v>
      </c>
      <c r="N638" s="7">
        <f t="shared" si="19"/>
        <v>8</v>
      </c>
      <c r="O638" s="7" t="str">
        <f>Raw_Orders!J638</f>
        <v>All Occasions</v>
      </c>
      <c r="P638" s="7" t="str">
        <f>Raw_Orders!I638</f>
        <v>Darbhanga</v>
      </c>
    </row>
    <row r="639" spans="1:16">
      <c r="A639" s="7" t="str">
        <f>Raw_Orders!A639</f>
        <v>638</v>
      </c>
      <c r="B639" s="7" t="str">
        <f>Raw_Orders!B639</f>
        <v>C060</v>
      </c>
      <c r="C639" s="7" t="str">
        <f>INDEX(Raw_Customers!$B$2:$B$101,MATCH($B639,Raw_Customers!$A$2:$A$101,0))</f>
        <v>Riya Wagle</v>
      </c>
      <c r="D639" s="7" t="str">
        <f>TRIM(INDEX(Raw_Customers!$C$2:$C$101,MATCH($B639,Raw_Customers!$A$2:$A$101,0)))</f>
        <v>Satara</v>
      </c>
      <c r="E639" s="7" t="str">
        <f>"+91-"&amp;RIGHT("0000000000"&amp;INDEX(Raw_Customers!$D$2:$D$101,MATCH($B639,Raw_Customers!$A$2:$A$101,0)),10)</f>
        <v>+91-0214103009</v>
      </c>
      <c r="F639" s="7" t="str">
        <f>Raw_Orders!C639</f>
        <v>39</v>
      </c>
      <c r="G639" s="7" t="str">
        <f>INDEX(Raw_Products!$B$2:$B$71,MATCH($F639,Raw_Products!$A$2:$A$71,0))</f>
        <v>Voluptate Set</v>
      </c>
      <c r="H639" s="7" t="str">
        <f>INDEX(Raw_Products!$C$2:$C$71,MATCH($F639,Raw_Products!$A$2:$A$71,0))</f>
        <v>Mugs</v>
      </c>
      <c r="I639" s="7">
        <f>VALUE(Raw_Orders!D639)</f>
        <v>1</v>
      </c>
      <c r="J639" s="11" t="str">
        <f>INDEX(Raw_Products!$D$2:$D$71,MATCH($F639,Raw_Products!$A$2:$A$71,0))</f>
        <v>387</v>
      </c>
      <c r="K639" s="11">
        <f t="shared" si="18"/>
        <v>387</v>
      </c>
      <c r="L639" s="12">
        <f>DATE(VALUE(RIGHT(Raw_Orders!E639,4)),VALUE(MID(Raw_Orders!E639,4,2)),VALUE(LEFT(Raw_Orders!E639,2)))</f>
        <v>45039</v>
      </c>
      <c r="M639" s="12">
        <f>DATE(VALUE(RIGHT(Raw_Orders!G639,4)),VALUE(MID(Raw_Orders!G639,4,2)),VALUE(LEFT(Raw_Orders!G639,2)))</f>
        <v>45043</v>
      </c>
      <c r="N639" s="7">
        <f t="shared" si="19"/>
        <v>4</v>
      </c>
      <c r="O639" s="7" t="str">
        <f>Raw_Orders!J639</f>
        <v>All Occasions</v>
      </c>
      <c r="P639" s="7" t="str">
        <f>Raw_Orders!I639</f>
        <v>Mira-Bhayandar</v>
      </c>
    </row>
    <row r="640" spans="1:16">
      <c r="A640" s="7" t="str">
        <f>Raw_Orders!A640</f>
        <v>639</v>
      </c>
      <c r="B640" s="7" t="str">
        <f>Raw_Orders!B640</f>
        <v>C098</v>
      </c>
      <c r="C640" s="7" t="str">
        <f>INDEX(Raw_Customers!$B$2:$B$101,MATCH($B640,Raw_Customers!$A$2:$A$101,0))</f>
        <v>Navya Golla</v>
      </c>
      <c r="D640" s="7" t="str">
        <f>TRIM(INDEX(Raw_Customers!$C$2:$C$101,MATCH($B640,Raw_Customers!$A$2:$A$101,0)))</f>
        <v>Cuttack</v>
      </c>
      <c r="E640" s="7" t="str">
        <f>"+91-"&amp;RIGHT("0000000000"&amp;INDEX(Raw_Customers!$D$2:$D$101,MATCH($B640,Raw_Customers!$A$2:$A$101,0)),10)</f>
        <v>+91-4461213936</v>
      </c>
      <c r="F640" s="7" t="str">
        <f>Raw_Orders!C640</f>
        <v>24</v>
      </c>
      <c r="G640" s="7" t="str">
        <f>INDEX(Raw_Products!$B$2:$B$71,MATCH($F640,Raw_Products!$A$2:$A$71,0))</f>
        <v>Ad Box</v>
      </c>
      <c r="H640" s="7" t="str">
        <f>INDEX(Raw_Products!$C$2:$C$71,MATCH($F640,Raw_Products!$A$2:$A$71,0))</f>
        <v>Mugs</v>
      </c>
      <c r="I640" s="7">
        <f>VALUE(Raw_Orders!D640)</f>
        <v>1</v>
      </c>
      <c r="J640" s="11" t="str">
        <f>INDEX(Raw_Products!$D$2:$D$71,MATCH($F640,Raw_Products!$A$2:$A$71,0))</f>
        <v>535</v>
      </c>
      <c r="K640" s="11">
        <f t="shared" si="18"/>
        <v>535</v>
      </c>
      <c r="L640" s="12">
        <f>DATE(VALUE(RIGHT(Raw_Orders!E640,4)),VALUE(MID(Raw_Orders!E640,4,2)),VALUE(LEFT(Raw_Orders!E640,2)))</f>
        <v>45072</v>
      </c>
      <c r="M640" s="12">
        <f>DATE(VALUE(RIGHT(Raw_Orders!G640,4)),VALUE(MID(Raw_Orders!G640,4,2)),VALUE(LEFT(Raw_Orders!G640,2)))</f>
        <v>45077</v>
      </c>
      <c r="N640" s="7">
        <f t="shared" si="19"/>
        <v>5</v>
      </c>
      <c r="O640" s="7" t="str">
        <f>Raw_Orders!J640</f>
        <v>Birthday</v>
      </c>
      <c r="P640" s="7" t="str">
        <f>Raw_Orders!I640</f>
        <v>Amaravati</v>
      </c>
    </row>
    <row r="641" spans="1:16">
      <c r="A641" s="7" t="str">
        <f>Raw_Orders!A641</f>
        <v>640</v>
      </c>
      <c r="B641" s="7" t="str">
        <f>Raw_Orders!B641</f>
        <v>C089</v>
      </c>
      <c r="C641" s="7" t="str">
        <f>INDEX(Raw_Customers!$B$2:$B$101,MATCH($B641,Raw_Customers!$A$2:$A$101,0))</f>
        <v>Oorja Dey</v>
      </c>
      <c r="D641" s="7" t="str">
        <f>TRIM(INDEX(Raw_Customers!$C$2:$C$101,MATCH($B641,Raw_Customers!$A$2:$A$101,0)))</f>
        <v>Nellore</v>
      </c>
      <c r="E641" s="7" t="str">
        <f>"+91-"&amp;RIGHT("0000000000"&amp;INDEX(Raw_Customers!$D$2:$D$101,MATCH($B641,Raw_Customers!$A$2:$A$101,0)),10)</f>
        <v>+91-7264144428</v>
      </c>
      <c r="F641" s="7" t="str">
        <f>Raw_Orders!C641</f>
        <v>59</v>
      </c>
      <c r="G641" s="7" t="str">
        <f>INDEX(Raw_Products!$B$2:$B$71,MATCH($F641,Raw_Products!$A$2:$A$71,0))</f>
        <v>Pariatur Box</v>
      </c>
      <c r="H641" s="7" t="str">
        <f>INDEX(Raw_Products!$C$2:$C$71,MATCH($F641,Raw_Products!$A$2:$A$71,0))</f>
        <v>Cake</v>
      </c>
      <c r="I641" s="7">
        <f>VALUE(Raw_Orders!D641)</f>
        <v>3</v>
      </c>
      <c r="J641" s="11" t="str">
        <f>INDEX(Raw_Products!$D$2:$D$71,MATCH($F641,Raw_Products!$A$2:$A$71,0))</f>
        <v>811</v>
      </c>
      <c r="K641" s="11">
        <f t="shared" si="18"/>
        <v>2433</v>
      </c>
      <c r="L641" s="12">
        <f>DATE(VALUE(RIGHT(Raw_Orders!E641,4)),VALUE(MID(Raw_Orders!E641,4,2)),VALUE(LEFT(Raw_Orders!E641,2)))</f>
        <v>45161</v>
      </c>
      <c r="M641" s="12">
        <f>DATE(VALUE(RIGHT(Raw_Orders!G641,4)),VALUE(MID(Raw_Orders!G641,4,2)),VALUE(LEFT(Raw_Orders!G641,2)))</f>
        <v>45169</v>
      </c>
      <c r="N641" s="7">
        <f t="shared" si="19"/>
        <v>8</v>
      </c>
      <c r="O641" s="7" t="str">
        <f>Raw_Orders!J641</f>
        <v>Raksha Bandhan</v>
      </c>
      <c r="P641" s="7" t="str">
        <f>Raw_Orders!I641</f>
        <v>Bathinda</v>
      </c>
    </row>
    <row r="642" spans="1:16">
      <c r="A642" s="7" t="str">
        <f>Raw_Orders!A642</f>
        <v>641</v>
      </c>
      <c r="B642" s="7" t="str">
        <f>Raw_Orders!B642</f>
        <v>C063</v>
      </c>
      <c r="C642" s="7" t="str">
        <f>INDEX(Raw_Customers!$B$2:$B$101,MATCH($B642,Raw_Customers!$A$2:$A$101,0))</f>
        <v>Arhaan Ahluwalia</v>
      </c>
      <c r="D642" s="7" t="str">
        <f>TRIM(INDEX(Raw_Customers!$C$2:$C$101,MATCH($B642,Raw_Customers!$A$2:$A$101,0)))</f>
        <v>Jamnagar</v>
      </c>
      <c r="E642" s="7" t="str">
        <f>"+91-"&amp;RIGHT("0000000000"&amp;INDEX(Raw_Customers!$D$2:$D$101,MATCH($B642,Raw_Customers!$A$2:$A$101,0)),10)</f>
        <v>+91-5287021467</v>
      </c>
      <c r="F642" s="7" t="str">
        <f>Raw_Orders!C642</f>
        <v>15</v>
      </c>
      <c r="G642" s="7" t="str">
        <f>INDEX(Raw_Products!$B$2:$B$71,MATCH($F642,Raw_Products!$A$2:$A$71,0))</f>
        <v>Repudiandae Box</v>
      </c>
      <c r="H642" s="7" t="str">
        <f>INDEX(Raw_Products!$C$2:$C$71,MATCH($F642,Raw_Products!$A$2:$A$71,0))</f>
        <v>Raksha Bandhan</v>
      </c>
      <c r="I642" s="7">
        <f>VALUE(Raw_Orders!D642)</f>
        <v>4</v>
      </c>
      <c r="J642" s="11" t="str">
        <f>INDEX(Raw_Products!$D$2:$D$71,MATCH($F642,Raw_Products!$A$2:$A$71,0))</f>
        <v>1488</v>
      </c>
      <c r="K642" s="11">
        <f t="shared" ref="K642:K705" si="20">I642*J642</f>
        <v>5952</v>
      </c>
      <c r="L642" s="12">
        <f>DATE(VALUE(RIGHT(Raw_Orders!E642,4)),VALUE(MID(Raw_Orders!E642,4,2)),VALUE(LEFT(Raw_Orders!E642,2)))</f>
        <v>45064</v>
      </c>
      <c r="M642" s="12">
        <f>DATE(VALUE(RIGHT(Raw_Orders!G642,4)),VALUE(MID(Raw_Orders!G642,4,2)),VALUE(LEFT(Raw_Orders!G642,2)))</f>
        <v>45072</v>
      </c>
      <c r="N642" s="7">
        <f t="shared" ref="N642:N705" si="21">M642-L642</f>
        <v>8</v>
      </c>
      <c r="O642" s="7" t="str">
        <f>Raw_Orders!J642</f>
        <v>Anniversary</v>
      </c>
      <c r="P642" s="7" t="str">
        <f>Raw_Orders!I642</f>
        <v>South Dumdum</v>
      </c>
    </row>
    <row r="643" spans="1:16">
      <c r="A643" s="7" t="str">
        <f>Raw_Orders!A643</f>
        <v>642</v>
      </c>
      <c r="B643" s="7" t="str">
        <f>Raw_Orders!B643</f>
        <v>C021</v>
      </c>
      <c r="C643" s="7" t="str">
        <f>INDEX(Raw_Customers!$B$2:$B$101,MATCH($B643,Raw_Customers!$A$2:$A$101,0))</f>
        <v>Siya Talwar</v>
      </c>
      <c r="D643" s="7" t="str">
        <f>TRIM(INDEX(Raw_Customers!$C$2:$C$101,MATCH($B643,Raw_Customers!$A$2:$A$101,0)))</f>
        <v>Mehsana</v>
      </c>
      <c r="E643" s="7" t="str">
        <f>"+91-"&amp;RIGHT("0000000000"&amp;INDEX(Raw_Customers!$D$2:$D$101,MATCH($B643,Raw_Customers!$A$2:$A$101,0)),10)</f>
        <v>+91-5555408563</v>
      </c>
      <c r="F643" s="7" t="str">
        <f>Raw_Orders!C643</f>
        <v>44</v>
      </c>
      <c r="G643" s="7" t="str">
        <f>INDEX(Raw_Products!$B$2:$B$71,MATCH($F643,Raw_Products!$A$2:$A$71,0))</f>
        <v>Dolorum Set</v>
      </c>
      <c r="H643" s="7" t="str">
        <f>INDEX(Raw_Products!$C$2:$C$71,MATCH($F643,Raw_Products!$A$2:$A$71,0))</f>
        <v>Plants</v>
      </c>
      <c r="I643" s="7">
        <f>VALUE(Raw_Orders!D643)</f>
        <v>5</v>
      </c>
      <c r="J643" s="11" t="str">
        <f>INDEX(Raw_Products!$D$2:$D$71,MATCH($F643,Raw_Products!$A$2:$A$71,0))</f>
        <v>794</v>
      </c>
      <c r="K643" s="11">
        <f t="shared" si="20"/>
        <v>3970</v>
      </c>
      <c r="L643" s="12">
        <f>DATE(VALUE(RIGHT(Raw_Orders!E643,4)),VALUE(MID(Raw_Orders!E643,4,2)),VALUE(LEFT(Raw_Orders!E643,2)))</f>
        <v>45232</v>
      </c>
      <c r="M643" s="12">
        <f>DATE(VALUE(RIGHT(Raw_Orders!G643,4)),VALUE(MID(Raw_Orders!G643,4,2)),VALUE(LEFT(Raw_Orders!G643,2)))</f>
        <v>45237</v>
      </c>
      <c r="N643" s="7">
        <f t="shared" si="21"/>
        <v>5</v>
      </c>
      <c r="O643" s="7" t="str">
        <f>Raw_Orders!J643</f>
        <v>Diwali</v>
      </c>
      <c r="P643" s="7" t="str">
        <f>Raw_Orders!I643</f>
        <v>Kozhikode</v>
      </c>
    </row>
    <row r="644" spans="1:16">
      <c r="A644" s="7" t="str">
        <f>Raw_Orders!A644</f>
        <v>643</v>
      </c>
      <c r="B644" s="7" t="str">
        <f>Raw_Orders!B644</f>
        <v>C063</v>
      </c>
      <c r="C644" s="7" t="str">
        <f>INDEX(Raw_Customers!$B$2:$B$101,MATCH($B644,Raw_Customers!$A$2:$A$101,0))</f>
        <v>Arhaan Ahluwalia</v>
      </c>
      <c r="D644" s="7" t="str">
        <f>TRIM(INDEX(Raw_Customers!$C$2:$C$101,MATCH($B644,Raw_Customers!$A$2:$A$101,0)))</f>
        <v>Jamnagar</v>
      </c>
      <c r="E644" s="7" t="str">
        <f>"+91-"&amp;RIGHT("0000000000"&amp;INDEX(Raw_Customers!$D$2:$D$101,MATCH($B644,Raw_Customers!$A$2:$A$101,0)),10)</f>
        <v>+91-5287021467</v>
      </c>
      <c r="F644" s="7" t="str">
        <f>Raw_Orders!C644</f>
        <v>35</v>
      </c>
      <c r="G644" s="7" t="str">
        <f>INDEX(Raw_Products!$B$2:$B$71,MATCH($F644,Raw_Products!$A$2:$A$71,0))</f>
        <v>Nam Gift</v>
      </c>
      <c r="H644" s="7" t="str">
        <f>INDEX(Raw_Products!$C$2:$C$71,MATCH($F644,Raw_Products!$A$2:$A$71,0))</f>
        <v>Colors</v>
      </c>
      <c r="I644" s="7">
        <f>VALUE(Raw_Orders!D644)</f>
        <v>2</v>
      </c>
      <c r="J644" s="11" t="str">
        <f>INDEX(Raw_Products!$D$2:$D$71,MATCH($F644,Raw_Products!$A$2:$A$71,0))</f>
        <v>1865</v>
      </c>
      <c r="K644" s="11">
        <f t="shared" si="20"/>
        <v>3730</v>
      </c>
      <c r="L644" s="12">
        <f>DATE(VALUE(RIGHT(Raw_Orders!E644,4)),VALUE(MID(Raw_Orders!E644,4,2)),VALUE(LEFT(Raw_Orders!E644,2)))</f>
        <v>44983</v>
      </c>
      <c r="M644" s="12">
        <f>DATE(VALUE(RIGHT(Raw_Orders!G644,4)),VALUE(MID(Raw_Orders!G644,4,2)),VALUE(LEFT(Raw_Orders!G644,2)))</f>
        <v>44991</v>
      </c>
      <c r="N644" s="7">
        <f t="shared" si="21"/>
        <v>8</v>
      </c>
      <c r="O644" s="7" t="str">
        <f>Raw_Orders!J644</f>
        <v>Holi</v>
      </c>
      <c r="P644" s="7" t="str">
        <f>Raw_Orders!I644</f>
        <v>Malda</v>
      </c>
    </row>
    <row r="645" spans="1:16">
      <c r="A645" s="7" t="str">
        <f>Raw_Orders!A645</f>
        <v>644</v>
      </c>
      <c r="B645" s="7" t="str">
        <f>Raw_Orders!B645</f>
        <v>C050</v>
      </c>
      <c r="C645" s="7" t="str">
        <f>INDEX(Raw_Customers!$B$2:$B$101,MATCH($B645,Raw_Customers!$A$2:$A$101,0))</f>
        <v>Chirag Srinivas</v>
      </c>
      <c r="D645" s="7" t="str">
        <f>TRIM(INDEX(Raw_Customers!$C$2:$C$101,MATCH($B645,Raw_Customers!$A$2:$A$101,0)))</f>
        <v>Imphal</v>
      </c>
      <c r="E645" s="7" t="str">
        <f>"+91-"&amp;RIGHT("0000000000"&amp;INDEX(Raw_Customers!$D$2:$D$101,MATCH($B645,Raw_Customers!$A$2:$A$101,0)),10)</f>
        <v>+91-1157961919</v>
      </c>
      <c r="F645" s="7" t="str">
        <f>Raw_Orders!C645</f>
        <v>67</v>
      </c>
      <c r="G645" s="7" t="str">
        <f>INDEX(Raw_Products!$B$2:$B$71,MATCH($F645,Raw_Products!$A$2:$A$71,0))</f>
        <v>Maiores Box</v>
      </c>
      <c r="H645" s="7" t="str">
        <f>INDEX(Raw_Products!$C$2:$C$71,MATCH($F645,Raw_Products!$A$2:$A$71,0))</f>
        <v>Raksha Bandhan</v>
      </c>
      <c r="I645" s="7">
        <f>VALUE(Raw_Orders!D645)</f>
        <v>1</v>
      </c>
      <c r="J645" s="11" t="str">
        <f>INDEX(Raw_Products!$D$2:$D$71,MATCH($F645,Raw_Products!$A$2:$A$71,0))</f>
        <v>1374</v>
      </c>
      <c r="K645" s="11">
        <f t="shared" si="20"/>
        <v>1374</v>
      </c>
      <c r="L645" s="12">
        <f>DATE(VALUE(RIGHT(Raw_Orders!E645,4)),VALUE(MID(Raw_Orders!E645,4,2)),VALUE(LEFT(Raw_Orders!E645,2)))</f>
        <v>45170</v>
      </c>
      <c r="M645" s="12">
        <f>DATE(VALUE(RIGHT(Raw_Orders!G645,4)),VALUE(MID(Raw_Orders!G645,4,2)),VALUE(LEFT(Raw_Orders!G645,2)))</f>
        <v>45180</v>
      </c>
      <c r="N645" s="7">
        <f t="shared" si="21"/>
        <v>10</v>
      </c>
      <c r="O645" s="7" t="str">
        <f>Raw_Orders!J645</f>
        <v>Anniversary</v>
      </c>
      <c r="P645" s="7" t="str">
        <f>Raw_Orders!I645</f>
        <v>Parbhani</v>
      </c>
    </row>
    <row r="646" spans="1:16">
      <c r="A646" s="7" t="str">
        <f>Raw_Orders!A646</f>
        <v>645</v>
      </c>
      <c r="B646" s="7" t="str">
        <f>Raw_Orders!B646</f>
        <v>C033</v>
      </c>
      <c r="C646" s="7" t="str">
        <f>INDEX(Raw_Customers!$B$2:$B$101,MATCH($B646,Raw_Customers!$A$2:$A$101,0))</f>
        <v>Suhana Kurian</v>
      </c>
      <c r="D646" s="7" t="str">
        <f>TRIM(INDEX(Raw_Customers!$C$2:$C$101,MATCH($B646,Raw_Customers!$A$2:$A$101,0)))</f>
        <v>Indore</v>
      </c>
      <c r="E646" s="7" t="str">
        <f>"+91-"&amp;RIGHT("0000000000"&amp;INDEX(Raw_Customers!$D$2:$D$101,MATCH($B646,Raw_Customers!$A$2:$A$101,0)),10)</f>
        <v>+91-5713958095</v>
      </c>
      <c r="F646" s="7" t="str">
        <f>Raw_Orders!C646</f>
        <v>50</v>
      </c>
      <c r="G646" s="7" t="str">
        <f>INDEX(Raw_Products!$B$2:$B$71,MATCH($F646,Raw_Products!$A$2:$A$71,0))</f>
        <v>Eligendi Set</v>
      </c>
      <c r="H646" s="7" t="str">
        <f>INDEX(Raw_Products!$C$2:$C$71,MATCH($F646,Raw_Products!$A$2:$A$71,0))</f>
        <v>Plants</v>
      </c>
      <c r="I646" s="7">
        <f>VALUE(Raw_Orders!D646)</f>
        <v>3</v>
      </c>
      <c r="J646" s="11" t="str">
        <f>INDEX(Raw_Products!$D$2:$D$71,MATCH($F646,Raw_Products!$A$2:$A$71,0))</f>
        <v>422</v>
      </c>
      <c r="K646" s="11">
        <f t="shared" si="20"/>
        <v>1266</v>
      </c>
      <c r="L646" s="12">
        <f>DATE(VALUE(RIGHT(Raw_Orders!E646,4)),VALUE(MID(Raw_Orders!E646,4,2)),VALUE(LEFT(Raw_Orders!E646,2)))</f>
        <v>44984</v>
      </c>
      <c r="M646" s="12">
        <f>DATE(VALUE(RIGHT(Raw_Orders!G646,4)),VALUE(MID(Raw_Orders!G646,4,2)),VALUE(LEFT(Raw_Orders!G646,2)))</f>
        <v>44985</v>
      </c>
      <c r="N646" s="7">
        <f t="shared" si="21"/>
        <v>1</v>
      </c>
      <c r="O646" s="7" t="str">
        <f>Raw_Orders!J646</f>
        <v>Holi</v>
      </c>
      <c r="P646" s="7" t="str">
        <f>Raw_Orders!I646</f>
        <v>Danapur</v>
      </c>
    </row>
    <row r="647" spans="1:16">
      <c r="A647" s="7" t="str">
        <f>Raw_Orders!A647</f>
        <v>646</v>
      </c>
      <c r="B647" s="7" t="str">
        <f>Raw_Orders!B647</f>
        <v>C015</v>
      </c>
      <c r="C647" s="7" t="str">
        <f>INDEX(Raw_Customers!$B$2:$B$101,MATCH($B647,Raw_Customers!$A$2:$A$101,0))</f>
        <v>Romil Bajwa</v>
      </c>
      <c r="D647" s="7" t="str">
        <f>TRIM(INDEX(Raw_Customers!$C$2:$C$101,MATCH($B647,Raw_Customers!$A$2:$A$101,0)))</f>
        <v>Kolkata</v>
      </c>
      <c r="E647" s="7" t="str">
        <f>"+91-"&amp;RIGHT("0000000000"&amp;INDEX(Raw_Customers!$D$2:$D$101,MATCH($B647,Raw_Customers!$A$2:$A$101,0)),10)</f>
        <v>+91-8664164910</v>
      </c>
      <c r="F647" s="7" t="str">
        <f>Raw_Orders!C647</f>
        <v>38</v>
      </c>
      <c r="G647" s="7" t="str">
        <f>INDEX(Raw_Products!$B$2:$B$71,MATCH($F647,Raw_Products!$A$2:$A$71,0))</f>
        <v>Mollitia Set</v>
      </c>
      <c r="H647" s="7" t="str">
        <f>INDEX(Raw_Products!$C$2:$C$71,MATCH($F647,Raw_Products!$A$2:$A$71,0))</f>
        <v>Cake</v>
      </c>
      <c r="I647" s="7">
        <f>VALUE(Raw_Orders!D647)</f>
        <v>5</v>
      </c>
      <c r="J647" s="11" t="str">
        <f>INDEX(Raw_Products!$D$2:$D$71,MATCH($F647,Raw_Products!$A$2:$A$71,0))</f>
        <v>562</v>
      </c>
      <c r="K647" s="11">
        <f t="shared" si="20"/>
        <v>2810</v>
      </c>
      <c r="L647" s="12">
        <f>DATE(VALUE(RIGHT(Raw_Orders!E647,4)),VALUE(MID(Raw_Orders!E647,4,2)),VALUE(LEFT(Raw_Orders!E647,2)))</f>
        <v>45059</v>
      </c>
      <c r="M647" s="12">
        <f>DATE(VALUE(RIGHT(Raw_Orders!G647,4)),VALUE(MID(Raw_Orders!G647,4,2)),VALUE(LEFT(Raw_Orders!G647,2)))</f>
        <v>45069</v>
      </c>
      <c r="N647" s="7">
        <f t="shared" si="21"/>
        <v>10</v>
      </c>
      <c r="O647" s="7" t="str">
        <f>Raw_Orders!J647</f>
        <v>Birthday</v>
      </c>
      <c r="P647" s="7" t="str">
        <f>Raw_Orders!I647</f>
        <v>Morbi</v>
      </c>
    </row>
    <row r="648" spans="1:16">
      <c r="A648" s="7" t="str">
        <f>Raw_Orders!A648</f>
        <v>647</v>
      </c>
      <c r="B648" s="7" t="str">
        <f>Raw_Orders!B648</f>
        <v>C069</v>
      </c>
      <c r="C648" s="7" t="str">
        <f>INDEX(Raw_Customers!$B$2:$B$101,MATCH($B648,Raw_Customers!$A$2:$A$101,0))</f>
        <v>Hunar Tripathi</v>
      </c>
      <c r="D648" s="7" t="str">
        <f>TRIM(INDEX(Raw_Customers!$C$2:$C$101,MATCH($B648,Raw_Customers!$A$2:$A$101,0)))</f>
        <v>Madhyamgram</v>
      </c>
      <c r="E648" s="7" t="str">
        <f>"+91-"&amp;RIGHT("0000000000"&amp;INDEX(Raw_Customers!$D$2:$D$101,MATCH($B648,Raw_Customers!$A$2:$A$101,0)),10)</f>
        <v>+91-1440411271</v>
      </c>
      <c r="F648" s="7" t="str">
        <f>Raw_Orders!C648</f>
        <v>21</v>
      </c>
      <c r="G648" s="7" t="str">
        <f>INDEX(Raw_Products!$B$2:$B$71,MATCH($F648,Raw_Products!$A$2:$A$71,0))</f>
        <v>Quia Gift</v>
      </c>
      <c r="H648" s="7" t="str">
        <f>INDEX(Raw_Products!$C$2:$C$71,MATCH($F648,Raw_Products!$A$2:$A$71,0))</f>
        <v>Colors</v>
      </c>
      <c r="I648" s="7">
        <f>VALUE(Raw_Orders!D648)</f>
        <v>5</v>
      </c>
      <c r="J648" s="11" t="str">
        <f>INDEX(Raw_Products!$D$2:$D$71,MATCH($F648,Raw_Products!$A$2:$A$71,0))</f>
        <v>1561</v>
      </c>
      <c r="K648" s="11">
        <f t="shared" si="20"/>
        <v>7805</v>
      </c>
      <c r="L648" s="12">
        <f>DATE(VALUE(RIGHT(Raw_Orders!E648,4)),VALUE(MID(Raw_Orders!E648,4,2)),VALUE(LEFT(Raw_Orders!E648,2)))</f>
        <v>45163</v>
      </c>
      <c r="M648" s="12">
        <f>DATE(VALUE(RIGHT(Raw_Orders!G648,4)),VALUE(MID(Raw_Orders!G648,4,2)),VALUE(LEFT(Raw_Orders!G648,2)))</f>
        <v>45164</v>
      </c>
      <c r="N648" s="7">
        <f t="shared" si="21"/>
        <v>1</v>
      </c>
      <c r="O648" s="7" t="str">
        <f>Raw_Orders!J648</f>
        <v>Raksha Bandhan</v>
      </c>
      <c r="P648" s="7" t="str">
        <f>Raw_Orders!I648</f>
        <v>Anantapuram</v>
      </c>
    </row>
    <row r="649" spans="1:16">
      <c r="A649" s="7" t="str">
        <f>Raw_Orders!A649</f>
        <v>648</v>
      </c>
      <c r="B649" s="7" t="str">
        <f>Raw_Orders!B649</f>
        <v>C040</v>
      </c>
      <c r="C649" s="7" t="str">
        <f>INDEX(Raw_Customers!$B$2:$B$101,MATCH($B649,Raw_Customers!$A$2:$A$101,0))</f>
        <v>Hazel Mangat</v>
      </c>
      <c r="D649" s="7" t="str">
        <f>TRIM(INDEX(Raw_Customers!$C$2:$C$101,MATCH($B649,Raw_Customers!$A$2:$A$101,0)))</f>
        <v>Pallavaram</v>
      </c>
      <c r="E649" s="7" t="str">
        <f>"+91-"&amp;RIGHT("0000000000"&amp;INDEX(Raw_Customers!$D$2:$D$101,MATCH($B649,Raw_Customers!$A$2:$A$101,0)),10)</f>
        <v>+91-8810621361</v>
      </c>
      <c r="F649" s="7" t="str">
        <f>Raw_Orders!C649</f>
        <v>41</v>
      </c>
      <c r="G649" s="7" t="str">
        <f>INDEX(Raw_Products!$B$2:$B$71,MATCH($F649,Raw_Products!$A$2:$A$71,0))</f>
        <v>Aut Box</v>
      </c>
      <c r="H649" s="7" t="str">
        <f>INDEX(Raw_Products!$C$2:$C$71,MATCH($F649,Raw_Products!$A$2:$A$71,0))</f>
        <v>Sweets</v>
      </c>
      <c r="I649" s="7">
        <f>VALUE(Raw_Orders!D649)</f>
        <v>3</v>
      </c>
      <c r="J649" s="11" t="str">
        <f>INDEX(Raw_Products!$D$2:$D$71,MATCH($F649,Raw_Products!$A$2:$A$71,0))</f>
        <v>1977</v>
      </c>
      <c r="K649" s="11">
        <f t="shared" si="20"/>
        <v>5931</v>
      </c>
      <c r="L649" s="12">
        <f>DATE(VALUE(RIGHT(Raw_Orders!E649,4)),VALUE(MID(Raw_Orders!E649,4,2)),VALUE(LEFT(Raw_Orders!E649,2)))</f>
        <v>45235</v>
      </c>
      <c r="M649" s="12">
        <f>DATE(VALUE(RIGHT(Raw_Orders!G649,4)),VALUE(MID(Raw_Orders!G649,4,2)),VALUE(LEFT(Raw_Orders!G649,2)))</f>
        <v>45239</v>
      </c>
      <c r="N649" s="7">
        <f t="shared" si="21"/>
        <v>4</v>
      </c>
      <c r="O649" s="7" t="str">
        <f>Raw_Orders!J649</f>
        <v>Diwali</v>
      </c>
      <c r="P649" s="7" t="str">
        <f>Raw_Orders!I649</f>
        <v>Chittoor</v>
      </c>
    </row>
    <row r="650" spans="1:16">
      <c r="A650" s="7" t="str">
        <f>Raw_Orders!A650</f>
        <v>649</v>
      </c>
      <c r="B650" s="7" t="str">
        <f>Raw_Orders!B650</f>
        <v>C053</v>
      </c>
      <c r="C650" s="7" t="str">
        <f>INDEX(Raw_Customers!$B$2:$B$101,MATCH($B650,Raw_Customers!$A$2:$A$101,0))</f>
        <v>Kismat Kapadia</v>
      </c>
      <c r="D650" s="7" t="str">
        <f>TRIM(INDEX(Raw_Customers!$C$2:$C$101,MATCH($B650,Raw_Customers!$A$2:$A$101,0)))</f>
        <v>Bharatpur</v>
      </c>
      <c r="E650" s="7" t="str">
        <f>"+91-"&amp;RIGHT("0000000000"&amp;INDEX(Raw_Customers!$D$2:$D$101,MATCH($B650,Raw_Customers!$A$2:$A$101,0)),10)</f>
        <v>+91-8068004996</v>
      </c>
      <c r="F650" s="7" t="str">
        <f>Raw_Orders!C650</f>
        <v>43</v>
      </c>
      <c r="G650" s="7" t="str">
        <f>INDEX(Raw_Products!$B$2:$B$71,MATCH($F650,Raw_Products!$A$2:$A$71,0))</f>
        <v>Quisquam Pack</v>
      </c>
      <c r="H650" s="7" t="str">
        <f>INDEX(Raw_Products!$C$2:$C$71,MATCH($F650,Raw_Products!$A$2:$A$71,0))</f>
        <v>Raksha Bandhan</v>
      </c>
      <c r="I650" s="7">
        <f>VALUE(Raw_Orders!D650)</f>
        <v>3</v>
      </c>
      <c r="J650" s="11" t="str">
        <f>INDEX(Raw_Products!$D$2:$D$71,MATCH($F650,Raw_Products!$A$2:$A$71,0))</f>
        <v>750</v>
      </c>
      <c r="K650" s="11">
        <f t="shared" si="20"/>
        <v>2250</v>
      </c>
      <c r="L650" s="12">
        <f>DATE(VALUE(RIGHT(Raw_Orders!E650,4)),VALUE(MID(Raw_Orders!E650,4,2)),VALUE(LEFT(Raw_Orders!E650,2)))</f>
        <v>45232</v>
      </c>
      <c r="M650" s="12">
        <f>DATE(VALUE(RIGHT(Raw_Orders!G650,4)),VALUE(MID(Raw_Orders!G650,4,2)),VALUE(LEFT(Raw_Orders!G650,2)))</f>
        <v>45241</v>
      </c>
      <c r="N650" s="7">
        <f t="shared" si="21"/>
        <v>9</v>
      </c>
      <c r="O650" s="7" t="str">
        <f>Raw_Orders!J650</f>
        <v>Diwali</v>
      </c>
      <c r="P650" s="7" t="str">
        <f>Raw_Orders!I650</f>
        <v>Naihati</v>
      </c>
    </row>
    <row r="651" spans="1:16">
      <c r="A651" s="7" t="str">
        <f>Raw_Orders!A651</f>
        <v>650</v>
      </c>
      <c r="B651" s="7" t="str">
        <f>Raw_Orders!B651</f>
        <v>C077</v>
      </c>
      <c r="C651" s="7" t="str">
        <f>INDEX(Raw_Customers!$B$2:$B$101,MATCH($B651,Raw_Customers!$A$2:$A$101,0))</f>
        <v>Gokul Ahluwalia</v>
      </c>
      <c r="D651" s="7" t="str">
        <f>TRIM(INDEX(Raw_Customers!$C$2:$C$101,MATCH($B651,Raw_Customers!$A$2:$A$101,0)))</f>
        <v>Panchkula</v>
      </c>
      <c r="E651" s="7" t="str">
        <f>"+91-"&amp;RIGHT("0000000000"&amp;INDEX(Raw_Customers!$D$2:$D$101,MATCH($B651,Raw_Customers!$A$2:$A$101,0)),10)</f>
        <v>+91-0413737551</v>
      </c>
      <c r="F651" s="7" t="str">
        <f>Raw_Orders!C651</f>
        <v>32</v>
      </c>
      <c r="G651" s="7" t="str">
        <f>INDEX(Raw_Products!$B$2:$B$71,MATCH($F651,Raw_Products!$A$2:$A$71,0))</f>
        <v>Fuga Set</v>
      </c>
      <c r="H651" s="7" t="str">
        <f>INDEX(Raw_Products!$C$2:$C$71,MATCH($F651,Raw_Products!$A$2:$A$71,0))</f>
        <v>Soft Toys</v>
      </c>
      <c r="I651" s="7">
        <f>VALUE(Raw_Orders!D651)</f>
        <v>3</v>
      </c>
      <c r="J651" s="11" t="str">
        <f>INDEX(Raw_Products!$D$2:$D$71,MATCH($F651,Raw_Products!$A$2:$A$71,0))</f>
        <v>1792</v>
      </c>
      <c r="K651" s="11">
        <f t="shared" si="20"/>
        <v>5376</v>
      </c>
      <c r="L651" s="12">
        <f>DATE(VALUE(RIGHT(Raw_Orders!E651,4)),VALUE(MID(Raw_Orders!E651,4,2)),VALUE(LEFT(Raw_Orders!E651,2)))</f>
        <v>44980</v>
      </c>
      <c r="M651" s="12">
        <f>DATE(VALUE(RIGHT(Raw_Orders!G651,4)),VALUE(MID(Raw_Orders!G651,4,2)),VALUE(LEFT(Raw_Orders!G651,2)))</f>
        <v>44987</v>
      </c>
      <c r="N651" s="7">
        <f t="shared" si="21"/>
        <v>7</v>
      </c>
      <c r="O651" s="7" t="str">
        <f>Raw_Orders!J651</f>
        <v>Birthday</v>
      </c>
      <c r="P651" s="7" t="str">
        <f>Raw_Orders!I651</f>
        <v>Guwahati</v>
      </c>
    </row>
    <row r="652" spans="1:16">
      <c r="A652" s="7" t="str">
        <f>Raw_Orders!A652</f>
        <v>651</v>
      </c>
      <c r="B652" s="7" t="str">
        <f>Raw_Orders!B652</f>
        <v>C017</v>
      </c>
      <c r="C652" s="7" t="str">
        <f>INDEX(Raw_Customers!$B$2:$B$101,MATCH($B652,Raw_Customers!$A$2:$A$101,0))</f>
        <v>Advika Dhar</v>
      </c>
      <c r="D652" s="7" t="str">
        <f>TRIM(INDEX(Raw_Customers!$C$2:$C$101,MATCH($B652,Raw_Customers!$A$2:$A$101,0)))</f>
        <v>Gangtok</v>
      </c>
      <c r="E652" s="7" t="str">
        <f>"+91-"&amp;RIGHT("0000000000"&amp;INDEX(Raw_Customers!$D$2:$D$101,MATCH($B652,Raw_Customers!$A$2:$A$101,0)),10)</f>
        <v>+91-2738556486</v>
      </c>
      <c r="F652" s="7" t="str">
        <f>Raw_Orders!C652</f>
        <v>11</v>
      </c>
      <c r="G652" s="7" t="str">
        <f>INDEX(Raw_Products!$B$2:$B$71,MATCH($F652,Raw_Products!$A$2:$A$71,0))</f>
        <v>Maxime Set</v>
      </c>
      <c r="H652" s="7" t="str">
        <f>INDEX(Raw_Products!$C$2:$C$71,MATCH($F652,Raw_Products!$A$2:$A$71,0))</f>
        <v>Mugs</v>
      </c>
      <c r="I652" s="7">
        <f>VALUE(Raw_Orders!D652)</f>
        <v>4</v>
      </c>
      <c r="J652" s="11" t="str">
        <f>INDEX(Raw_Products!$D$2:$D$71,MATCH($F652,Raw_Products!$A$2:$A$71,0))</f>
        <v>1096</v>
      </c>
      <c r="K652" s="11">
        <f t="shared" si="20"/>
        <v>4384</v>
      </c>
      <c r="L652" s="12">
        <f>DATE(VALUE(RIGHT(Raw_Orders!E652,4)),VALUE(MID(Raw_Orders!E652,4,2)),VALUE(LEFT(Raw_Orders!E652,2)))</f>
        <v>44970</v>
      </c>
      <c r="M652" s="12">
        <f>DATE(VALUE(RIGHT(Raw_Orders!G652,4)),VALUE(MID(Raw_Orders!G652,4,2)),VALUE(LEFT(Raw_Orders!G652,2)))</f>
        <v>44976</v>
      </c>
      <c r="N652" s="7">
        <f t="shared" si="21"/>
        <v>6</v>
      </c>
      <c r="O652" s="7" t="str">
        <f>Raw_Orders!J652</f>
        <v>Valentine's Day</v>
      </c>
      <c r="P652" s="7" t="str">
        <f>Raw_Orders!I652</f>
        <v>Panihati</v>
      </c>
    </row>
    <row r="653" spans="1:16">
      <c r="A653" s="7" t="str">
        <f>Raw_Orders!A653</f>
        <v>652</v>
      </c>
      <c r="B653" s="7" t="str">
        <f>Raw_Orders!B653</f>
        <v>C032</v>
      </c>
      <c r="C653" s="7" t="str">
        <f>INDEX(Raw_Customers!$B$2:$B$101,MATCH($B653,Raw_Customers!$A$2:$A$101,0))</f>
        <v>Mannat Anand</v>
      </c>
      <c r="D653" s="7" t="str">
        <f>TRIM(INDEX(Raw_Customers!$C$2:$C$101,MATCH($B653,Raw_Customers!$A$2:$A$101,0)))</f>
        <v>Surat</v>
      </c>
      <c r="E653" s="7" t="str">
        <f>"+91-"&amp;RIGHT("0000000000"&amp;INDEX(Raw_Customers!$D$2:$D$101,MATCH($B653,Raw_Customers!$A$2:$A$101,0)),10)</f>
        <v>+91-1611365500</v>
      </c>
      <c r="F653" s="7" t="str">
        <f>Raw_Orders!C653</f>
        <v>21</v>
      </c>
      <c r="G653" s="7" t="str">
        <f>INDEX(Raw_Products!$B$2:$B$71,MATCH($F653,Raw_Products!$A$2:$A$71,0))</f>
        <v>Quia Gift</v>
      </c>
      <c r="H653" s="7" t="str">
        <f>INDEX(Raw_Products!$C$2:$C$71,MATCH($F653,Raw_Products!$A$2:$A$71,0))</f>
        <v>Colors</v>
      </c>
      <c r="I653" s="7">
        <f>VALUE(Raw_Orders!D653)</f>
        <v>2</v>
      </c>
      <c r="J653" s="11" t="str">
        <f>INDEX(Raw_Products!$D$2:$D$71,MATCH($F653,Raw_Products!$A$2:$A$71,0))</f>
        <v>1561</v>
      </c>
      <c r="K653" s="11">
        <f t="shared" si="20"/>
        <v>3122</v>
      </c>
      <c r="L653" s="12">
        <f>DATE(VALUE(RIGHT(Raw_Orders!E653,4)),VALUE(MID(Raw_Orders!E653,4,2)),VALUE(LEFT(Raw_Orders!E653,2)))</f>
        <v>45166</v>
      </c>
      <c r="M653" s="12">
        <f>DATE(VALUE(RIGHT(Raw_Orders!G653,4)),VALUE(MID(Raw_Orders!G653,4,2)),VALUE(LEFT(Raw_Orders!G653,2)))</f>
        <v>45172</v>
      </c>
      <c r="N653" s="7">
        <f t="shared" si="21"/>
        <v>6</v>
      </c>
      <c r="O653" s="7" t="str">
        <f>Raw_Orders!J653</f>
        <v>Raksha Bandhan</v>
      </c>
      <c r="P653" s="7" t="str">
        <f>Raw_Orders!I653</f>
        <v>Phagwara</v>
      </c>
    </row>
    <row r="654" spans="1:16">
      <c r="A654" s="7" t="str">
        <f>Raw_Orders!A654</f>
        <v>653</v>
      </c>
      <c r="B654" s="7" t="str">
        <f>Raw_Orders!B654</f>
        <v>C076</v>
      </c>
      <c r="C654" s="7" t="str">
        <f>INDEX(Raw_Customers!$B$2:$B$101,MATCH($B654,Raw_Customers!$A$2:$A$101,0))</f>
        <v>Oorja Dayal</v>
      </c>
      <c r="D654" s="7" t="str">
        <f>TRIM(INDEX(Raw_Customers!$C$2:$C$101,MATCH($B654,Raw_Customers!$A$2:$A$101,0)))</f>
        <v>Gaya</v>
      </c>
      <c r="E654" s="7" t="str">
        <f>"+91-"&amp;RIGHT("0000000000"&amp;INDEX(Raw_Customers!$D$2:$D$101,MATCH($B654,Raw_Customers!$A$2:$A$101,0)),10)</f>
        <v>+91-6936516442</v>
      </c>
      <c r="F654" s="7" t="str">
        <f>Raw_Orders!C654</f>
        <v>17</v>
      </c>
      <c r="G654" s="7" t="str">
        <f>INDEX(Raw_Products!$B$2:$B$71,MATCH($F654,Raw_Products!$A$2:$A$71,0))</f>
        <v>Delectus Gift</v>
      </c>
      <c r="H654" s="7" t="str">
        <f>INDEX(Raw_Products!$C$2:$C$71,MATCH($F654,Raw_Products!$A$2:$A$71,0))</f>
        <v>Soft Toys</v>
      </c>
      <c r="I654" s="7">
        <f>VALUE(Raw_Orders!D654)</f>
        <v>4</v>
      </c>
      <c r="J654" s="11" t="str">
        <f>INDEX(Raw_Products!$D$2:$D$71,MATCH($F654,Raw_Products!$A$2:$A$71,0))</f>
        <v>1899</v>
      </c>
      <c r="K654" s="11">
        <f t="shared" si="20"/>
        <v>7596</v>
      </c>
      <c r="L654" s="12">
        <f>DATE(VALUE(RIGHT(Raw_Orders!E654,4)),VALUE(MID(Raw_Orders!E654,4,2)),VALUE(LEFT(Raw_Orders!E654,2)))</f>
        <v>45259</v>
      </c>
      <c r="M654" s="12">
        <f>DATE(VALUE(RIGHT(Raw_Orders!G654,4)),VALUE(MID(Raw_Orders!G654,4,2)),VALUE(LEFT(Raw_Orders!G654,2)))</f>
        <v>45261</v>
      </c>
      <c r="N654" s="7">
        <f t="shared" si="21"/>
        <v>2</v>
      </c>
      <c r="O654" s="7" t="str">
        <f>Raw_Orders!J654</f>
        <v>Anniversary</v>
      </c>
      <c r="P654" s="7" t="str">
        <f>Raw_Orders!I654</f>
        <v>Bhilwara</v>
      </c>
    </row>
    <row r="655" spans="1:16">
      <c r="A655" s="7" t="str">
        <f>Raw_Orders!A655</f>
        <v>654</v>
      </c>
      <c r="B655" s="7" t="str">
        <f>Raw_Orders!B655</f>
        <v>C019</v>
      </c>
      <c r="C655" s="7" t="str">
        <f>INDEX(Raw_Customers!$B$2:$B$101,MATCH($B655,Raw_Customers!$A$2:$A$101,0))</f>
        <v>Amira Sengupta</v>
      </c>
      <c r="D655" s="7" t="str">
        <f>TRIM(INDEX(Raw_Customers!$C$2:$C$101,MATCH($B655,Raw_Customers!$A$2:$A$101,0)))</f>
        <v>Danapur</v>
      </c>
      <c r="E655" s="7" t="str">
        <f>"+91-"&amp;RIGHT("0000000000"&amp;INDEX(Raw_Customers!$D$2:$D$101,MATCH($B655,Raw_Customers!$A$2:$A$101,0)),10)</f>
        <v>+91-4513393592</v>
      </c>
      <c r="F655" s="7" t="str">
        <f>Raw_Orders!C655</f>
        <v>64</v>
      </c>
      <c r="G655" s="7" t="str">
        <f>INDEX(Raw_Products!$B$2:$B$71,MATCH($F655,Raw_Products!$A$2:$A$71,0))</f>
        <v>Nostrum Box</v>
      </c>
      <c r="H655" s="7" t="str">
        <f>INDEX(Raw_Products!$C$2:$C$71,MATCH($F655,Raw_Products!$A$2:$A$71,0))</f>
        <v>Soft Toys</v>
      </c>
      <c r="I655" s="7">
        <f>VALUE(Raw_Orders!D655)</f>
        <v>2</v>
      </c>
      <c r="J655" s="11" t="str">
        <f>INDEX(Raw_Products!$D$2:$D$71,MATCH($F655,Raw_Products!$A$2:$A$71,0))</f>
        <v>1878</v>
      </c>
      <c r="K655" s="11">
        <f t="shared" si="20"/>
        <v>3756</v>
      </c>
      <c r="L655" s="12">
        <f>DATE(VALUE(RIGHT(Raw_Orders!E655,4)),VALUE(MID(Raw_Orders!E655,4,2)),VALUE(LEFT(Raw_Orders!E655,2)))</f>
        <v>45167</v>
      </c>
      <c r="M655" s="12">
        <f>DATE(VALUE(RIGHT(Raw_Orders!G655,4)),VALUE(MID(Raw_Orders!G655,4,2)),VALUE(LEFT(Raw_Orders!G655,2)))</f>
        <v>45171</v>
      </c>
      <c r="N655" s="7">
        <f t="shared" si="21"/>
        <v>4</v>
      </c>
      <c r="O655" s="7" t="str">
        <f>Raw_Orders!J655</f>
        <v>Raksha Bandhan</v>
      </c>
      <c r="P655" s="7" t="str">
        <f>Raw_Orders!I655</f>
        <v>Jhansi</v>
      </c>
    </row>
    <row r="656" spans="1:16">
      <c r="A656" s="7" t="str">
        <f>Raw_Orders!A656</f>
        <v>655</v>
      </c>
      <c r="B656" s="7" t="str">
        <f>Raw_Orders!B656</f>
        <v>C015</v>
      </c>
      <c r="C656" s="7" t="str">
        <f>INDEX(Raw_Customers!$B$2:$B$101,MATCH($B656,Raw_Customers!$A$2:$A$101,0))</f>
        <v>Romil Bajwa</v>
      </c>
      <c r="D656" s="7" t="str">
        <f>TRIM(INDEX(Raw_Customers!$C$2:$C$101,MATCH($B656,Raw_Customers!$A$2:$A$101,0)))</f>
        <v>Kolkata</v>
      </c>
      <c r="E656" s="7" t="str">
        <f>"+91-"&amp;RIGHT("0000000000"&amp;INDEX(Raw_Customers!$D$2:$D$101,MATCH($B656,Raw_Customers!$A$2:$A$101,0)),10)</f>
        <v>+91-8664164910</v>
      </c>
      <c r="F656" s="7" t="str">
        <f>Raw_Orders!C656</f>
        <v>17</v>
      </c>
      <c r="G656" s="7" t="str">
        <f>INDEX(Raw_Products!$B$2:$B$71,MATCH($F656,Raw_Products!$A$2:$A$71,0))</f>
        <v>Delectus Gift</v>
      </c>
      <c r="H656" s="7" t="str">
        <f>INDEX(Raw_Products!$C$2:$C$71,MATCH($F656,Raw_Products!$A$2:$A$71,0))</f>
        <v>Soft Toys</v>
      </c>
      <c r="I656" s="7">
        <f>VALUE(Raw_Orders!D656)</f>
        <v>1</v>
      </c>
      <c r="J656" s="11" t="str">
        <f>INDEX(Raw_Products!$D$2:$D$71,MATCH($F656,Raw_Products!$A$2:$A$71,0))</f>
        <v>1899</v>
      </c>
      <c r="K656" s="11">
        <f t="shared" si="20"/>
        <v>1899</v>
      </c>
      <c r="L656" s="12">
        <f>DATE(VALUE(RIGHT(Raw_Orders!E656,4)),VALUE(MID(Raw_Orders!E656,4,2)),VALUE(LEFT(Raw_Orders!E656,2)))</f>
        <v>45238</v>
      </c>
      <c r="M656" s="12">
        <f>DATE(VALUE(RIGHT(Raw_Orders!G656,4)),VALUE(MID(Raw_Orders!G656,4,2)),VALUE(LEFT(Raw_Orders!G656,2)))</f>
        <v>45247</v>
      </c>
      <c r="N656" s="7">
        <f t="shared" si="21"/>
        <v>9</v>
      </c>
      <c r="O656" s="7" t="str">
        <f>Raw_Orders!J656</f>
        <v>Anniversary</v>
      </c>
      <c r="P656" s="7" t="str">
        <f>Raw_Orders!I656</f>
        <v>Jalna</v>
      </c>
    </row>
    <row r="657" spans="1:16">
      <c r="A657" s="7" t="str">
        <f>Raw_Orders!A657</f>
        <v>656</v>
      </c>
      <c r="B657" s="7" t="str">
        <f>Raw_Orders!B657</f>
        <v>C032</v>
      </c>
      <c r="C657" s="7" t="str">
        <f>INDEX(Raw_Customers!$B$2:$B$101,MATCH($B657,Raw_Customers!$A$2:$A$101,0))</f>
        <v>Mannat Anand</v>
      </c>
      <c r="D657" s="7" t="str">
        <f>TRIM(INDEX(Raw_Customers!$C$2:$C$101,MATCH($B657,Raw_Customers!$A$2:$A$101,0)))</f>
        <v>Surat</v>
      </c>
      <c r="E657" s="7" t="str">
        <f>"+91-"&amp;RIGHT("0000000000"&amp;INDEX(Raw_Customers!$D$2:$D$101,MATCH($B657,Raw_Customers!$A$2:$A$101,0)),10)</f>
        <v>+91-1611365500</v>
      </c>
      <c r="F657" s="7" t="str">
        <f>Raw_Orders!C657</f>
        <v>68</v>
      </c>
      <c r="G657" s="7" t="str">
        <f>INDEX(Raw_Products!$B$2:$B$71,MATCH($F657,Raw_Products!$A$2:$A$71,0))</f>
        <v>Quas Gift</v>
      </c>
      <c r="H657" s="7" t="str">
        <f>INDEX(Raw_Products!$C$2:$C$71,MATCH($F657,Raw_Products!$A$2:$A$71,0))</f>
        <v>Soft Toys</v>
      </c>
      <c r="I657" s="7">
        <f>VALUE(Raw_Orders!D657)</f>
        <v>2</v>
      </c>
      <c r="J657" s="11" t="str">
        <f>INDEX(Raw_Products!$D$2:$D$71,MATCH($F657,Raw_Products!$A$2:$A$71,0))</f>
        <v>597</v>
      </c>
      <c r="K657" s="11">
        <f t="shared" si="20"/>
        <v>1194</v>
      </c>
      <c r="L657" s="12">
        <f>DATE(VALUE(RIGHT(Raw_Orders!E657,4)),VALUE(MID(Raw_Orders!E657,4,2)),VALUE(LEFT(Raw_Orders!E657,2)))</f>
        <v>44962</v>
      </c>
      <c r="M657" s="12">
        <f>DATE(VALUE(RIGHT(Raw_Orders!G657,4)),VALUE(MID(Raw_Orders!G657,4,2)),VALUE(LEFT(Raw_Orders!G657,2)))</f>
        <v>44963</v>
      </c>
      <c r="N657" s="7">
        <f t="shared" si="21"/>
        <v>1</v>
      </c>
      <c r="O657" s="7" t="str">
        <f>Raw_Orders!J657</f>
        <v>Valentine's Day</v>
      </c>
      <c r="P657" s="7" t="str">
        <f>Raw_Orders!I657</f>
        <v>Dehri</v>
      </c>
    </row>
    <row r="658" spans="1:16">
      <c r="A658" s="7" t="str">
        <f>Raw_Orders!A658</f>
        <v>657</v>
      </c>
      <c r="B658" s="7" t="str">
        <f>Raw_Orders!B658</f>
        <v>C055</v>
      </c>
      <c r="C658" s="7" t="str">
        <f>INDEX(Raw_Customers!$B$2:$B$101,MATCH($B658,Raw_Customers!$A$2:$A$101,0))</f>
        <v>Umang Luthra</v>
      </c>
      <c r="D658" s="7" t="str">
        <f>TRIM(INDEX(Raw_Customers!$C$2:$C$101,MATCH($B658,Raw_Customers!$A$2:$A$101,0)))</f>
        <v>Imphal</v>
      </c>
      <c r="E658" s="7" t="str">
        <f>"+91-"&amp;RIGHT("0000000000"&amp;INDEX(Raw_Customers!$D$2:$D$101,MATCH($B658,Raw_Customers!$A$2:$A$101,0)),10)</f>
        <v>+91-2007986762</v>
      </c>
      <c r="F658" s="7" t="str">
        <f>Raw_Orders!C658</f>
        <v>13</v>
      </c>
      <c r="G658" s="7" t="str">
        <f>INDEX(Raw_Products!$B$2:$B$71,MATCH($F658,Raw_Products!$A$2:$A$71,0))</f>
        <v>Et Set</v>
      </c>
      <c r="H658" s="7" t="str">
        <f>INDEX(Raw_Products!$C$2:$C$71,MATCH($F658,Raw_Products!$A$2:$A$71,0))</f>
        <v>Mugs</v>
      </c>
      <c r="I658" s="7">
        <f>VALUE(Raw_Orders!D658)</f>
        <v>3</v>
      </c>
      <c r="J658" s="11" t="str">
        <f>INDEX(Raw_Products!$D$2:$D$71,MATCH($F658,Raw_Products!$A$2:$A$71,0))</f>
        <v>1141</v>
      </c>
      <c r="K658" s="11">
        <f t="shared" si="20"/>
        <v>3423</v>
      </c>
      <c r="L658" s="12">
        <f>DATE(VALUE(RIGHT(Raw_Orders!E658,4)),VALUE(MID(Raw_Orders!E658,4,2)),VALUE(LEFT(Raw_Orders!E658,2)))</f>
        <v>44988</v>
      </c>
      <c r="M658" s="12">
        <f>DATE(VALUE(RIGHT(Raw_Orders!G658,4)),VALUE(MID(Raw_Orders!G658,4,2)),VALUE(LEFT(Raw_Orders!G658,2)))</f>
        <v>44993</v>
      </c>
      <c r="N658" s="7">
        <f t="shared" si="21"/>
        <v>5</v>
      </c>
      <c r="O658" s="7" t="str">
        <f>Raw_Orders!J658</f>
        <v>Holi</v>
      </c>
      <c r="P658" s="7" t="str">
        <f>Raw_Orders!I658</f>
        <v>Kochi</v>
      </c>
    </row>
    <row r="659" spans="1:16">
      <c r="A659" s="7" t="str">
        <f>Raw_Orders!A659</f>
        <v>658</v>
      </c>
      <c r="B659" s="7" t="str">
        <f>Raw_Orders!B659</f>
        <v>C061</v>
      </c>
      <c r="C659" s="7" t="str">
        <f>INDEX(Raw_Customers!$B$2:$B$101,MATCH($B659,Raw_Customers!$A$2:$A$101,0))</f>
        <v>Akarsh Ramesh</v>
      </c>
      <c r="D659" s="7" t="str">
        <f>TRIM(INDEX(Raw_Customers!$C$2:$C$101,MATCH($B659,Raw_Customers!$A$2:$A$101,0)))</f>
        <v>Kavali</v>
      </c>
      <c r="E659" s="7" t="str">
        <f>"+91-"&amp;RIGHT("0000000000"&amp;INDEX(Raw_Customers!$D$2:$D$101,MATCH($B659,Raw_Customers!$A$2:$A$101,0)),10)</f>
        <v>+91-4318554567</v>
      </c>
      <c r="F659" s="7" t="str">
        <f>Raw_Orders!C659</f>
        <v>21</v>
      </c>
      <c r="G659" s="7" t="str">
        <f>INDEX(Raw_Products!$B$2:$B$71,MATCH($F659,Raw_Products!$A$2:$A$71,0))</f>
        <v>Quia Gift</v>
      </c>
      <c r="H659" s="7" t="str">
        <f>INDEX(Raw_Products!$C$2:$C$71,MATCH($F659,Raw_Products!$A$2:$A$71,0))</f>
        <v>Colors</v>
      </c>
      <c r="I659" s="7">
        <f>VALUE(Raw_Orders!D659)</f>
        <v>3</v>
      </c>
      <c r="J659" s="11" t="str">
        <f>INDEX(Raw_Products!$D$2:$D$71,MATCH($F659,Raw_Products!$A$2:$A$71,0))</f>
        <v>1561</v>
      </c>
      <c r="K659" s="11">
        <f t="shared" si="20"/>
        <v>4683</v>
      </c>
      <c r="L659" s="12">
        <f>DATE(VALUE(RIGHT(Raw_Orders!E659,4)),VALUE(MID(Raw_Orders!E659,4,2)),VALUE(LEFT(Raw_Orders!E659,2)))</f>
        <v>45160</v>
      </c>
      <c r="M659" s="12">
        <f>DATE(VALUE(RIGHT(Raw_Orders!G659,4)),VALUE(MID(Raw_Orders!G659,4,2)),VALUE(LEFT(Raw_Orders!G659,2)))</f>
        <v>45169</v>
      </c>
      <c r="N659" s="7">
        <f t="shared" si="21"/>
        <v>9</v>
      </c>
      <c r="O659" s="7" t="str">
        <f>Raw_Orders!J659</f>
        <v>Raksha Bandhan</v>
      </c>
      <c r="P659" s="7" t="str">
        <f>Raw_Orders!I659</f>
        <v>Srikakulam</v>
      </c>
    </row>
    <row r="660" spans="1:16">
      <c r="A660" s="7" t="str">
        <f>Raw_Orders!A660</f>
        <v>659</v>
      </c>
      <c r="B660" s="7" t="str">
        <f>Raw_Orders!B660</f>
        <v>C048</v>
      </c>
      <c r="C660" s="7" t="str">
        <f>INDEX(Raw_Customers!$B$2:$B$101,MATCH($B660,Raw_Customers!$A$2:$A$101,0))</f>
        <v>Aradhya Kale</v>
      </c>
      <c r="D660" s="7" t="str">
        <f>TRIM(INDEX(Raw_Customers!$C$2:$C$101,MATCH($B660,Raw_Customers!$A$2:$A$101,0)))</f>
        <v>Guntakal</v>
      </c>
      <c r="E660" s="7" t="str">
        <f>"+91-"&amp;RIGHT("0000000000"&amp;INDEX(Raw_Customers!$D$2:$D$101,MATCH($B660,Raw_Customers!$A$2:$A$101,0)),10)</f>
        <v>+91-7979926231</v>
      </c>
      <c r="F660" s="7" t="str">
        <f>Raw_Orders!C660</f>
        <v>19</v>
      </c>
      <c r="G660" s="7" t="str">
        <f>INDEX(Raw_Products!$B$2:$B$71,MATCH($F660,Raw_Products!$A$2:$A$71,0))</f>
        <v>Iure Gift</v>
      </c>
      <c r="H660" s="7" t="str">
        <f>INDEX(Raw_Products!$C$2:$C$71,MATCH($F660,Raw_Products!$A$2:$A$71,0))</f>
        <v>Mugs</v>
      </c>
      <c r="I660" s="7">
        <f>VALUE(Raw_Orders!D660)</f>
        <v>5</v>
      </c>
      <c r="J660" s="11" t="str">
        <f>INDEX(Raw_Products!$D$2:$D$71,MATCH($F660,Raw_Products!$A$2:$A$71,0))</f>
        <v>1234</v>
      </c>
      <c r="K660" s="11">
        <f t="shared" si="20"/>
        <v>6170</v>
      </c>
      <c r="L660" s="12">
        <f>DATE(VALUE(RIGHT(Raw_Orders!E660,4)),VALUE(MID(Raw_Orders!E660,4,2)),VALUE(LEFT(Raw_Orders!E660,2)))</f>
        <v>44962</v>
      </c>
      <c r="M660" s="12">
        <f>DATE(VALUE(RIGHT(Raw_Orders!G660,4)),VALUE(MID(Raw_Orders!G660,4,2)),VALUE(LEFT(Raw_Orders!G660,2)))</f>
        <v>44969</v>
      </c>
      <c r="N660" s="7">
        <f t="shared" si="21"/>
        <v>7</v>
      </c>
      <c r="O660" s="7" t="str">
        <f>Raw_Orders!J660</f>
        <v>Valentine's Day</v>
      </c>
      <c r="P660" s="7" t="str">
        <f>Raw_Orders!I660</f>
        <v>Silchar</v>
      </c>
    </row>
    <row r="661" spans="1:16">
      <c r="A661" s="7" t="str">
        <f>Raw_Orders!A661</f>
        <v>660</v>
      </c>
      <c r="B661" s="7" t="str">
        <f>Raw_Orders!B661</f>
        <v>C053</v>
      </c>
      <c r="C661" s="7" t="str">
        <f>INDEX(Raw_Customers!$B$2:$B$101,MATCH($B661,Raw_Customers!$A$2:$A$101,0))</f>
        <v>Kismat Kapadia</v>
      </c>
      <c r="D661" s="7" t="str">
        <f>TRIM(INDEX(Raw_Customers!$C$2:$C$101,MATCH($B661,Raw_Customers!$A$2:$A$101,0)))</f>
        <v>Bharatpur</v>
      </c>
      <c r="E661" s="7" t="str">
        <f>"+91-"&amp;RIGHT("0000000000"&amp;INDEX(Raw_Customers!$D$2:$D$101,MATCH($B661,Raw_Customers!$A$2:$A$101,0)),10)</f>
        <v>+91-8068004996</v>
      </c>
      <c r="F661" s="7" t="str">
        <f>Raw_Orders!C661</f>
        <v>58</v>
      </c>
      <c r="G661" s="7" t="str">
        <f>INDEX(Raw_Products!$B$2:$B$71,MATCH($F661,Raw_Products!$A$2:$A$71,0))</f>
        <v>Sed Pack</v>
      </c>
      <c r="H661" s="7" t="str">
        <f>INDEX(Raw_Products!$C$2:$C$71,MATCH($F661,Raw_Products!$A$2:$A$71,0))</f>
        <v>Cake</v>
      </c>
      <c r="I661" s="7">
        <f>VALUE(Raw_Orders!D661)</f>
        <v>3</v>
      </c>
      <c r="J661" s="11" t="str">
        <f>INDEX(Raw_Products!$D$2:$D$71,MATCH($F661,Raw_Products!$A$2:$A$71,0))</f>
        <v>1492</v>
      </c>
      <c r="K661" s="11">
        <f t="shared" si="20"/>
        <v>4476</v>
      </c>
      <c r="L661" s="12">
        <f>DATE(VALUE(RIGHT(Raw_Orders!E661,4)),VALUE(MID(Raw_Orders!E661,4,2)),VALUE(LEFT(Raw_Orders!E661,2)))</f>
        <v>44968</v>
      </c>
      <c r="M661" s="12">
        <f>DATE(VALUE(RIGHT(Raw_Orders!G661,4)),VALUE(MID(Raw_Orders!G661,4,2)),VALUE(LEFT(Raw_Orders!G661,2)))</f>
        <v>44978</v>
      </c>
      <c r="N661" s="7">
        <f t="shared" si="21"/>
        <v>10</v>
      </c>
      <c r="O661" s="7" t="str">
        <f>Raw_Orders!J661</f>
        <v>Valentine's Day</v>
      </c>
      <c r="P661" s="7" t="str">
        <f>Raw_Orders!I661</f>
        <v>Amravati</v>
      </c>
    </row>
    <row r="662" spans="1:16">
      <c r="A662" s="7" t="str">
        <f>Raw_Orders!A662</f>
        <v>661</v>
      </c>
      <c r="B662" s="7" t="str">
        <f>Raw_Orders!B662</f>
        <v>C018</v>
      </c>
      <c r="C662" s="7" t="str">
        <f>INDEX(Raw_Customers!$B$2:$B$101,MATCH($B662,Raw_Customers!$A$2:$A$101,0))</f>
        <v>Eva Vaidya</v>
      </c>
      <c r="D662" s="7" t="str">
        <f>TRIM(INDEX(Raw_Customers!$C$2:$C$101,MATCH($B662,Raw_Customers!$A$2:$A$101,0)))</f>
        <v>Nizamabad</v>
      </c>
      <c r="E662" s="7" t="str">
        <f>"+91-"&amp;RIGHT("0000000000"&amp;INDEX(Raw_Customers!$D$2:$D$101,MATCH($B662,Raw_Customers!$A$2:$A$101,0)),10)</f>
        <v>+91-9080029661</v>
      </c>
      <c r="F662" s="7" t="str">
        <f>Raw_Orders!C662</f>
        <v>22</v>
      </c>
      <c r="G662" s="7" t="str">
        <f>INDEX(Raw_Products!$B$2:$B$71,MATCH($F662,Raw_Products!$A$2:$A$71,0))</f>
        <v>Exercitationem Pack</v>
      </c>
      <c r="H662" s="7" t="str">
        <f>INDEX(Raw_Products!$C$2:$C$71,MATCH($F662,Raw_Products!$A$2:$A$71,0))</f>
        <v>Soft Toys</v>
      </c>
      <c r="I662" s="7">
        <f>VALUE(Raw_Orders!D662)</f>
        <v>2</v>
      </c>
      <c r="J662" s="11" t="str">
        <f>INDEX(Raw_Products!$D$2:$D$71,MATCH($F662,Raw_Products!$A$2:$A$71,0))</f>
        <v>1639</v>
      </c>
      <c r="K662" s="11">
        <f t="shared" si="20"/>
        <v>3278</v>
      </c>
      <c r="L662" s="12">
        <f>DATE(VALUE(RIGHT(Raw_Orders!E662,4)),VALUE(MID(Raw_Orders!E662,4,2)),VALUE(LEFT(Raw_Orders!E662,2)))</f>
        <v>44940</v>
      </c>
      <c r="M662" s="12">
        <f>DATE(VALUE(RIGHT(Raw_Orders!G662,4)),VALUE(MID(Raw_Orders!G662,4,2)),VALUE(LEFT(Raw_Orders!G662,2)))</f>
        <v>44945</v>
      </c>
      <c r="N662" s="7">
        <f t="shared" si="21"/>
        <v>5</v>
      </c>
      <c r="O662" s="7" t="str">
        <f>Raw_Orders!J662</f>
        <v>All Occasions</v>
      </c>
      <c r="P662" s="7" t="str">
        <f>Raw_Orders!I662</f>
        <v>Guwahati</v>
      </c>
    </row>
    <row r="663" spans="1:16">
      <c r="A663" s="7" t="str">
        <f>Raw_Orders!A663</f>
        <v>662</v>
      </c>
      <c r="B663" s="7" t="str">
        <f>Raw_Orders!B663</f>
        <v>C068</v>
      </c>
      <c r="C663" s="7" t="str">
        <f>INDEX(Raw_Customers!$B$2:$B$101,MATCH($B663,Raw_Customers!$A$2:$A$101,0))</f>
        <v>Ritvik Garde</v>
      </c>
      <c r="D663" s="7" t="str">
        <f>TRIM(INDEX(Raw_Customers!$C$2:$C$101,MATCH($B663,Raw_Customers!$A$2:$A$101,0)))</f>
        <v>Kalyan-Dombivli</v>
      </c>
      <c r="E663" s="7" t="str">
        <f>"+91-"&amp;RIGHT("0000000000"&amp;INDEX(Raw_Customers!$D$2:$D$101,MATCH($B663,Raw_Customers!$A$2:$A$101,0)),10)</f>
        <v>+91-3719858588</v>
      </c>
      <c r="F663" s="7" t="str">
        <f>Raw_Orders!C663</f>
        <v>20</v>
      </c>
      <c r="G663" s="7" t="str">
        <f>INDEX(Raw_Products!$B$2:$B$71,MATCH($F663,Raw_Products!$A$2:$A$71,0))</f>
        <v>Reiciendis Box</v>
      </c>
      <c r="H663" s="7" t="str">
        <f>INDEX(Raw_Products!$C$2:$C$71,MATCH($F663,Raw_Products!$A$2:$A$71,0))</f>
        <v>Colors</v>
      </c>
      <c r="I663" s="7">
        <f>VALUE(Raw_Orders!D663)</f>
        <v>3</v>
      </c>
      <c r="J663" s="11" t="str">
        <f>INDEX(Raw_Products!$D$2:$D$71,MATCH($F663,Raw_Products!$A$2:$A$71,0))</f>
        <v>697</v>
      </c>
      <c r="K663" s="11">
        <f t="shared" si="20"/>
        <v>2091</v>
      </c>
      <c r="L663" s="12">
        <f>DATE(VALUE(RIGHT(Raw_Orders!E663,4)),VALUE(MID(Raw_Orders!E663,4,2)),VALUE(LEFT(Raw_Orders!E663,2)))</f>
        <v>44966</v>
      </c>
      <c r="M663" s="12">
        <f>DATE(VALUE(RIGHT(Raw_Orders!G663,4)),VALUE(MID(Raw_Orders!G663,4,2)),VALUE(LEFT(Raw_Orders!G663,2)))</f>
        <v>44975</v>
      </c>
      <c r="N663" s="7">
        <f t="shared" si="21"/>
        <v>9</v>
      </c>
      <c r="O663" s="7" t="str">
        <f>Raw_Orders!J663</f>
        <v>Anniversary</v>
      </c>
      <c r="P663" s="7" t="str">
        <f>Raw_Orders!I663</f>
        <v>Hazaribagh</v>
      </c>
    </row>
    <row r="664" spans="1:16">
      <c r="A664" s="7" t="str">
        <f>Raw_Orders!A664</f>
        <v>663</v>
      </c>
      <c r="B664" s="7" t="str">
        <f>Raw_Orders!B664</f>
        <v>C094</v>
      </c>
      <c r="C664" s="7" t="str">
        <f>INDEX(Raw_Customers!$B$2:$B$101,MATCH($B664,Raw_Customers!$A$2:$A$101,0))</f>
        <v>Raghav Babu</v>
      </c>
      <c r="D664" s="7" t="str">
        <f>TRIM(INDEX(Raw_Customers!$C$2:$C$101,MATCH($B664,Raw_Customers!$A$2:$A$101,0)))</f>
        <v>Deoghar</v>
      </c>
      <c r="E664" s="7" t="str">
        <f>"+91-"&amp;RIGHT("0000000000"&amp;INDEX(Raw_Customers!$D$2:$D$101,MATCH($B664,Raw_Customers!$A$2:$A$101,0)),10)</f>
        <v>+91-4638480067</v>
      </c>
      <c r="F664" s="7" t="str">
        <f>Raw_Orders!C664</f>
        <v>15</v>
      </c>
      <c r="G664" s="7" t="str">
        <f>INDEX(Raw_Products!$B$2:$B$71,MATCH($F664,Raw_Products!$A$2:$A$71,0))</f>
        <v>Repudiandae Box</v>
      </c>
      <c r="H664" s="7" t="str">
        <f>INDEX(Raw_Products!$C$2:$C$71,MATCH($F664,Raw_Products!$A$2:$A$71,0))</f>
        <v>Raksha Bandhan</v>
      </c>
      <c r="I664" s="7">
        <f>VALUE(Raw_Orders!D664)</f>
        <v>2</v>
      </c>
      <c r="J664" s="11" t="str">
        <f>INDEX(Raw_Products!$D$2:$D$71,MATCH($F664,Raw_Products!$A$2:$A$71,0))</f>
        <v>1488</v>
      </c>
      <c r="K664" s="11">
        <f t="shared" si="20"/>
        <v>2976</v>
      </c>
      <c r="L664" s="12">
        <f>DATE(VALUE(RIGHT(Raw_Orders!E664,4)),VALUE(MID(Raw_Orders!E664,4,2)),VALUE(LEFT(Raw_Orders!E664,2)))</f>
        <v>45210</v>
      </c>
      <c r="M664" s="12">
        <f>DATE(VALUE(RIGHT(Raw_Orders!G664,4)),VALUE(MID(Raw_Orders!G664,4,2)),VALUE(LEFT(Raw_Orders!G664,2)))</f>
        <v>45211</v>
      </c>
      <c r="N664" s="7">
        <f t="shared" si="21"/>
        <v>1</v>
      </c>
      <c r="O664" s="7" t="str">
        <f>Raw_Orders!J664</f>
        <v>Anniversary</v>
      </c>
      <c r="P664" s="7" t="str">
        <f>Raw_Orders!I664</f>
        <v>Hosur</v>
      </c>
    </row>
    <row r="665" spans="1:16">
      <c r="A665" s="7" t="str">
        <f>Raw_Orders!A665</f>
        <v>664</v>
      </c>
      <c r="B665" s="7" t="str">
        <f>Raw_Orders!B665</f>
        <v>C023</v>
      </c>
      <c r="C665" s="7" t="str">
        <f>INDEX(Raw_Customers!$B$2:$B$101,MATCH($B665,Raw_Customers!$A$2:$A$101,0))</f>
        <v>Abram Sandhu</v>
      </c>
      <c r="D665" s="7" t="str">
        <f>TRIM(INDEX(Raw_Customers!$C$2:$C$101,MATCH($B665,Raw_Customers!$A$2:$A$101,0)))</f>
        <v>Bidhannagar</v>
      </c>
      <c r="E665" s="7" t="str">
        <f>"+91-"&amp;RIGHT("0000000000"&amp;INDEX(Raw_Customers!$D$2:$D$101,MATCH($B665,Raw_Customers!$A$2:$A$101,0)),10)</f>
        <v>+91-7196287267</v>
      </c>
      <c r="F665" s="7" t="str">
        <f>Raw_Orders!C665</f>
        <v>24</v>
      </c>
      <c r="G665" s="7" t="str">
        <f>INDEX(Raw_Products!$B$2:$B$71,MATCH($F665,Raw_Products!$A$2:$A$71,0))</f>
        <v>Ad Box</v>
      </c>
      <c r="H665" s="7" t="str">
        <f>INDEX(Raw_Products!$C$2:$C$71,MATCH($F665,Raw_Products!$A$2:$A$71,0))</f>
        <v>Mugs</v>
      </c>
      <c r="I665" s="7">
        <f>VALUE(Raw_Orders!D665)</f>
        <v>2</v>
      </c>
      <c r="J665" s="11" t="str">
        <f>INDEX(Raw_Products!$D$2:$D$71,MATCH($F665,Raw_Products!$A$2:$A$71,0))</f>
        <v>535</v>
      </c>
      <c r="K665" s="11">
        <f t="shared" si="20"/>
        <v>1070</v>
      </c>
      <c r="L665" s="12">
        <f>DATE(VALUE(RIGHT(Raw_Orders!E665,4)),VALUE(MID(Raw_Orders!E665,4,2)),VALUE(LEFT(Raw_Orders!E665,2)))</f>
        <v>44944</v>
      </c>
      <c r="M665" s="12">
        <f>DATE(VALUE(RIGHT(Raw_Orders!G665,4)),VALUE(MID(Raw_Orders!G665,4,2)),VALUE(LEFT(Raw_Orders!G665,2)))</f>
        <v>44954</v>
      </c>
      <c r="N665" s="7">
        <f t="shared" si="21"/>
        <v>10</v>
      </c>
      <c r="O665" s="7" t="str">
        <f>Raw_Orders!J665</f>
        <v>Birthday</v>
      </c>
      <c r="P665" s="7" t="str">
        <f>Raw_Orders!I665</f>
        <v>Hajipur</v>
      </c>
    </row>
    <row r="666" spans="1:16">
      <c r="A666" s="7" t="str">
        <f>Raw_Orders!A666</f>
        <v>665</v>
      </c>
      <c r="B666" s="7" t="str">
        <f>Raw_Orders!B666</f>
        <v>C060</v>
      </c>
      <c r="C666" s="7" t="str">
        <f>INDEX(Raw_Customers!$B$2:$B$101,MATCH($B666,Raw_Customers!$A$2:$A$101,0))</f>
        <v>Riya Wagle</v>
      </c>
      <c r="D666" s="7" t="str">
        <f>TRIM(INDEX(Raw_Customers!$C$2:$C$101,MATCH($B666,Raw_Customers!$A$2:$A$101,0)))</f>
        <v>Satara</v>
      </c>
      <c r="E666" s="7" t="str">
        <f>"+91-"&amp;RIGHT("0000000000"&amp;INDEX(Raw_Customers!$D$2:$D$101,MATCH($B666,Raw_Customers!$A$2:$A$101,0)),10)</f>
        <v>+91-0214103009</v>
      </c>
      <c r="F666" s="7" t="str">
        <f>Raw_Orders!C666</f>
        <v>62</v>
      </c>
      <c r="G666" s="7" t="str">
        <f>INDEX(Raw_Products!$B$2:$B$71,MATCH($F666,Raw_Products!$A$2:$A$71,0))</f>
        <v>Sed Set</v>
      </c>
      <c r="H666" s="7" t="str">
        <f>INDEX(Raw_Products!$C$2:$C$71,MATCH($F666,Raw_Products!$A$2:$A$71,0))</f>
        <v>Colors</v>
      </c>
      <c r="I666" s="7">
        <f>VALUE(Raw_Orders!D666)</f>
        <v>5</v>
      </c>
      <c r="J666" s="11" t="str">
        <f>INDEX(Raw_Products!$D$2:$D$71,MATCH($F666,Raw_Products!$A$2:$A$71,0))</f>
        <v>1356</v>
      </c>
      <c r="K666" s="11">
        <f t="shared" si="20"/>
        <v>6780</v>
      </c>
      <c r="L666" s="12">
        <f>DATE(VALUE(RIGHT(Raw_Orders!E666,4)),VALUE(MID(Raw_Orders!E666,4,2)),VALUE(LEFT(Raw_Orders!E666,2)))</f>
        <v>44990</v>
      </c>
      <c r="M666" s="12">
        <f>DATE(VALUE(RIGHT(Raw_Orders!G666,4)),VALUE(MID(Raw_Orders!G666,4,2)),VALUE(LEFT(Raw_Orders!G666,2)))</f>
        <v>45000</v>
      </c>
      <c r="N666" s="7">
        <f t="shared" si="21"/>
        <v>10</v>
      </c>
      <c r="O666" s="7" t="str">
        <f>Raw_Orders!J666</f>
        <v>Holi</v>
      </c>
      <c r="P666" s="7" t="str">
        <f>Raw_Orders!I666</f>
        <v>Akola</v>
      </c>
    </row>
    <row r="667" spans="1:16">
      <c r="A667" s="7" t="str">
        <f>Raw_Orders!A667</f>
        <v>666</v>
      </c>
      <c r="B667" s="7" t="str">
        <f>Raw_Orders!B667</f>
        <v>C032</v>
      </c>
      <c r="C667" s="7" t="str">
        <f>INDEX(Raw_Customers!$B$2:$B$101,MATCH($B667,Raw_Customers!$A$2:$A$101,0))</f>
        <v>Mannat Anand</v>
      </c>
      <c r="D667" s="7" t="str">
        <f>TRIM(INDEX(Raw_Customers!$C$2:$C$101,MATCH($B667,Raw_Customers!$A$2:$A$101,0)))</f>
        <v>Surat</v>
      </c>
      <c r="E667" s="7" t="str">
        <f>"+91-"&amp;RIGHT("0000000000"&amp;INDEX(Raw_Customers!$D$2:$D$101,MATCH($B667,Raw_Customers!$A$2:$A$101,0)),10)</f>
        <v>+91-1611365500</v>
      </c>
      <c r="F667" s="7" t="str">
        <f>Raw_Orders!C667</f>
        <v>26</v>
      </c>
      <c r="G667" s="7" t="str">
        <f>INDEX(Raw_Products!$B$2:$B$71,MATCH($F667,Raw_Products!$A$2:$A$71,0))</f>
        <v>Aliquam Box</v>
      </c>
      <c r="H667" s="7" t="str">
        <f>INDEX(Raw_Products!$C$2:$C$71,MATCH($F667,Raw_Products!$A$2:$A$71,0))</f>
        <v>Colors</v>
      </c>
      <c r="I667" s="7">
        <f>VALUE(Raw_Orders!D667)</f>
        <v>5</v>
      </c>
      <c r="J667" s="11" t="str">
        <f>INDEX(Raw_Products!$D$2:$D$71,MATCH($F667,Raw_Products!$A$2:$A$71,0))</f>
        <v>289</v>
      </c>
      <c r="K667" s="11">
        <f t="shared" si="20"/>
        <v>1445</v>
      </c>
      <c r="L667" s="12">
        <f>DATE(VALUE(RIGHT(Raw_Orders!E667,4)),VALUE(MID(Raw_Orders!E667,4,2)),VALUE(LEFT(Raw_Orders!E667,2)))</f>
        <v>44987</v>
      </c>
      <c r="M667" s="12">
        <f>DATE(VALUE(RIGHT(Raw_Orders!G667,4)),VALUE(MID(Raw_Orders!G667,4,2)),VALUE(LEFT(Raw_Orders!G667,2)))</f>
        <v>44993</v>
      </c>
      <c r="N667" s="7">
        <f t="shared" si="21"/>
        <v>6</v>
      </c>
      <c r="O667" s="7" t="str">
        <f>Raw_Orders!J667</f>
        <v>Holi</v>
      </c>
      <c r="P667" s="7" t="str">
        <f>Raw_Orders!I667</f>
        <v>Jammu</v>
      </c>
    </row>
    <row r="668" spans="1:16">
      <c r="A668" s="7" t="str">
        <f>Raw_Orders!A668</f>
        <v>667</v>
      </c>
      <c r="B668" s="7" t="str">
        <f>Raw_Orders!B668</f>
        <v>C052</v>
      </c>
      <c r="C668" s="7" t="str">
        <f>INDEX(Raw_Customers!$B$2:$B$101,MATCH($B668,Raw_Customers!$A$2:$A$101,0))</f>
        <v>Vardaniya Apte</v>
      </c>
      <c r="D668" s="7" t="str">
        <f>TRIM(INDEX(Raw_Customers!$C$2:$C$101,MATCH($B668,Raw_Customers!$A$2:$A$101,0)))</f>
        <v>Dhanbad</v>
      </c>
      <c r="E668" s="7" t="str">
        <f>"+91-"&amp;RIGHT("0000000000"&amp;INDEX(Raw_Customers!$D$2:$D$101,MATCH($B668,Raw_Customers!$A$2:$A$101,0)),10)</f>
        <v>+91-5846932069</v>
      </c>
      <c r="F668" s="7" t="str">
        <f>Raw_Orders!C668</f>
        <v>44</v>
      </c>
      <c r="G668" s="7" t="str">
        <f>INDEX(Raw_Products!$B$2:$B$71,MATCH($F668,Raw_Products!$A$2:$A$71,0))</f>
        <v>Dolorum Set</v>
      </c>
      <c r="H668" s="7" t="str">
        <f>INDEX(Raw_Products!$C$2:$C$71,MATCH($F668,Raw_Products!$A$2:$A$71,0))</f>
        <v>Plants</v>
      </c>
      <c r="I668" s="7">
        <f>VALUE(Raw_Orders!D668)</f>
        <v>3</v>
      </c>
      <c r="J668" s="11" t="str">
        <f>INDEX(Raw_Products!$D$2:$D$71,MATCH($F668,Raw_Products!$A$2:$A$71,0))</f>
        <v>794</v>
      </c>
      <c r="K668" s="11">
        <f t="shared" si="20"/>
        <v>2382</v>
      </c>
      <c r="L668" s="12">
        <f>DATE(VALUE(RIGHT(Raw_Orders!E668,4)),VALUE(MID(Raw_Orders!E668,4,2)),VALUE(LEFT(Raw_Orders!E668,2)))</f>
        <v>45234</v>
      </c>
      <c r="M668" s="12">
        <f>DATE(VALUE(RIGHT(Raw_Orders!G668,4)),VALUE(MID(Raw_Orders!G668,4,2)),VALUE(LEFT(Raw_Orders!G668,2)))</f>
        <v>45237</v>
      </c>
      <c r="N668" s="7">
        <f t="shared" si="21"/>
        <v>3</v>
      </c>
      <c r="O668" s="7" t="str">
        <f>Raw_Orders!J668</f>
        <v>Diwali</v>
      </c>
      <c r="P668" s="7" t="str">
        <f>Raw_Orders!I668</f>
        <v>Alwar</v>
      </c>
    </row>
    <row r="669" spans="1:16">
      <c r="A669" s="7" t="str">
        <f>Raw_Orders!A669</f>
        <v>668</v>
      </c>
      <c r="B669" s="7" t="str">
        <f>Raw_Orders!B669</f>
        <v>C009</v>
      </c>
      <c r="C669" s="7" t="str">
        <f>INDEX(Raw_Customers!$B$2:$B$101,MATCH($B669,Raw_Customers!$A$2:$A$101,0))</f>
        <v>Ritvik Borah</v>
      </c>
      <c r="D669" s="7" t="str">
        <f>TRIM(INDEX(Raw_Customers!$C$2:$C$101,MATCH($B669,Raw_Customers!$A$2:$A$101,0)))</f>
        <v>Madurai</v>
      </c>
      <c r="E669" s="7" t="str">
        <f>"+91-"&amp;RIGHT("0000000000"&amp;INDEX(Raw_Customers!$D$2:$D$101,MATCH($B669,Raw_Customers!$A$2:$A$101,0)),10)</f>
        <v>+91-1336765676</v>
      </c>
      <c r="F669" s="7" t="str">
        <f>Raw_Orders!C669</f>
        <v>55</v>
      </c>
      <c r="G669" s="7" t="str">
        <f>INDEX(Raw_Products!$B$2:$B$71,MATCH($F669,Raw_Products!$A$2:$A$71,0))</f>
        <v>Dolores Gift</v>
      </c>
      <c r="H669" s="7" t="str">
        <f>INDEX(Raw_Products!$C$2:$C$71,MATCH($F669,Raw_Products!$A$2:$A$71,0))</f>
        <v>Soft Toys</v>
      </c>
      <c r="I669" s="7">
        <f>VALUE(Raw_Orders!D669)</f>
        <v>2</v>
      </c>
      <c r="J669" s="11" t="str">
        <f>INDEX(Raw_Products!$D$2:$D$71,MATCH($F669,Raw_Products!$A$2:$A$71,0))</f>
        <v>1904</v>
      </c>
      <c r="K669" s="11">
        <f t="shared" si="20"/>
        <v>3808</v>
      </c>
      <c r="L669" s="12">
        <f>DATE(VALUE(RIGHT(Raw_Orders!E669,4)),VALUE(MID(Raw_Orders!E669,4,2)),VALUE(LEFT(Raw_Orders!E669,2)))</f>
        <v>45159</v>
      </c>
      <c r="M669" s="12">
        <f>DATE(VALUE(RIGHT(Raw_Orders!G669,4)),VALUE(MID(Raw_Orders!G669,4,2)),VALUE(LEFT(Raw_Orders!G669,2)))</f>
        <v>45168</v>
      </c>
      <c r="N669" s="7">
        <f t="shared" si="21"/>
        <v>9</v>
      </c>
      <c r="O669" s="7" t="str">
        <f>Raw_Orders!J669</f>
        <v>Raksha Bandhan</v>
      </c>
      <c r="P669" s="7" t="str">
        <f>Raw_Orders!I669</f>
        <v>Ajmer</v>
      </c>
    </row>
    <row r="670" spans="1:16">
      <c r="A670" s="7" t="str">
        <f>Raw_Orders!A670</f>
        <v>669</v>
      </c>
      <c r="B670" s="7" t="str">
        <f>Raw_Orders!B670</f>
        <v>C035</v>
      </c>
      <c r="C670" s="7" t="str">
        <f>INDEX(Raw_Customers!$B$2:$B$101,MATCH($B670,Raw_Customers!$A$2:$A$101,0))</f>
        <v>Ira Sarna</v>
      </c>
      <c r="D670" s="7" t="str">
        <f>TRIM(INDEX(Raw_Customers!$C$2:$C$101,MATCH($B670,Raw_Customers!$A$2:$A$101,0)))</f>
        <v>Vellore</v>
      </c>
      <c r="E670" s="7" t="str">
        <f>"+91-"&amp;RIGHT("0000000000"&amp;INDEX(Raw_Customers!$D$2:$D$101,MATCH($B670,Raw_Customers!$A$2:$A$101,0)),10)</f>
        <v>+91-6899648374</v>
      </c>
      <c r="F670" s="7" t="str">
        <f>Raw_Orders!C670</f>
        <v>68</v>
      </c>
      <c r="G670" s="7" t="str">
        <f>INDEX(Raw_Products!$B$2:$B$71,MATCH($F670,Raw_Products!$A$2:$A$71,0))</f>
        <v>Quas Gift</v>
      </c>
      <c r="H670" s="7" t="str">
        <f>INDEX(Raw_Products!$C$2:$C$71,MATCH($F670,Raw_Products!$A$2:$A$71,0))</f>
        <v>Soft Toys</v>
      </c>
      <c r="I670" s="7">
        <f>VALUE(Raw_Orders!D670)</f>
        <v>5</v>
      </c>
      <c r="J670" s="11" t="str">
        <f>INDEX(Raw_Products!$D$2:$D$71,MATCH($F670,Raw_Products!$A$2:$A$71,0))</f>
        <v>597</v>
      </c>
      <c r="K670" s="11">
        <f t="shared" si="20"/>
        <v>2985</v>
      </c>
      <c r="L670" s="12">
        <f>DATE(VALUE(RIGHT(Raw_Orders!E670,4)),VALUE(MID(Raw_Orders!E670,4,2)),VALUE(LEFT(Raw_Orders!E670,2)))</f>
        <v>44967</v>
      </c>
      <c r="M670" s="12">
        <f>DATE(VALUE(RIGHT(Raw_Orders!G670,4)),VALUE(MID(Raw_Orders!G670,4,2)),VALUE(LEFT(Raw_Orders!G670,2)))</f>
        <v>44974</v>
      </c>
      <c r="N670" s="7">
        <f t="shared" si="21"/>
        <v>7</v>
      </c>
      <c r="O670" s="7" t="str">
        <f>Raw_Orders!J670</f>
        <v>Valentine's Day</v>
      </c>
      <c r="P670" s="7" t="str">
        <f>Raw_Orders!I670</f>
        <v>Ludhiana</v>
      </c>
    </row>
    <row r="671" spans="1:16">
      <c r="A671" s="7" t="str">
        <f>Raw_Orders!A671</f>
        <v>670</v>
      </c>
      <c r="B671" s="7" t="str">
        <f>Raw_Orders!B671</f>
        <v>C057</v>
      </c>
      <c r="C671" s="7" t="str">
        <f>INDEX(Raw_Customers!$B$2:$B$101,MATCH($B671,Raw_Customers!$A$2:$A$101,0))</f>
        <v>Zain Hegde</v>
      </c>
      <c r="D671" s="7" t="str">
        <f>TRIM(INDEX(Raw_Customers!$C$2:$C$101,MATCH($B671,Raw_Customers!$A$2:$A$101,0)))</f>
        <v>Delhi</v>
      </c>
      <c r="E671" s="7" t="str">
        <f>"+91-"&amp;RIGHT("0000000000"&amp;INDEX(Raw_Customers!$D$2:$D$101,MATCH($B671,Raw_Customers!$A$2:$A$101,0)),10)</f>
        <v>+91-8736997123</v>
      </c>
      <c r="F671" s="7" t="str">
        <f>Raw_Orders!C671</f>
        <v>23</v>
      </c>
      <c r="G671" s="7" t="str">
        <f>INDEX(Raw_Products!$B$2:$B$71,MATCH($F671,Raw_Products!$A$2:$A$71,0))</f>
        <v>Dignissimos Pack</v>
      </c>
      <c r="H671" s="7" t="str">
        <f>INDEX(Raw_Products!$C$2:$C$71,MATCH($F671,Raw_Products!$A$2:$A$71,0))</f>
        <v>Sweets</v>
      </c>
      <c r="I671" s="7">
        <f>VALUE(Raw_Orders!D671)</f>
        <v>5</v>
      </c>
      <c r="J671" s="11" t="str">
        <f>INDEX(Raw_Products!$D$2:$D$71,MATCH($F671,Raw_Products!$A$2:$A$71,0))</f>
        <v>1098</v>
      </c>
      <c r="K671" s="11">
        <f t="shared" si="20"/>
        <v>5490</v>
      </c>
      <c r="L671" s="12">
        <f>DATE(VALUE(RIGHT(Raw_Orders!E671,4)),VALUE(MID(Raw_Orders!E671,4,2)),VALUE(LEFT(Raw_Orders!E671,2)))</f>
        <v>45078</v>
      </c>
      <c r="M671" s="12">
        <f>DATE(VALUE(RIGHT(Raw_Orders!G671,4)),VALUE(MID(Raw_Orders!G671,4,2)),VALUE(LEFT(Raw_Orders!G671,2)))</f>
        <v>45087</v>
      </c>
      <c r="N671" s="7">
        <f t="shared" si="21"/>
        <v>9</v>
      </c>
      <c r="O671" s="7" t="str">
        <f>Raw_Orders!J671</f>
        <v>Anniversary</v>
      </c>
      <c r="P671" s="7" t="str">
        <f>Raw_Orders!I671</f>
        <v>Bhopal</v>
      </c>
    </row>
    <row r="672" spans="1:16">
      <c r="A672" s="7" t="str">
        <f>Raw_Orders!A672</f>
        <v>671</v>
      </c>
      <c r="B672" s="7" t="str">
        <f>Raw_Orders!B672</f>
        <v>C059</v>
      </c>
      <c r="C672" s="7" t="str">
        <f>INDEX(Raw_Customers!$B$2:$B$101,MATCH($B672,Raw_Customers!$A$2:$A$101,0))</f>
        <v>Nirvi Wagle</v>
      </c>
      <c r="D672" s="7" t="str">
        <f>TRIM(INDEX(Raw_Customers!$C$2:$C$101,MATCH($B672,Raw_Customers!$A$2:$A$101,0)))</f>
        <v>Kalyan-Dombivli</v>
      </c>
      <c r="E672" s="7" t="str">
        <f>"+91-"&amp;RIGHT("0000000000"&amp;INDEX(Raw_Customers!$D$2:$D$101,MATCH($B672,Raw_Customers!$A$2:$A$101,0)),10)</f>
        <v>+91-5869821393</v>
      </c>
      <c r="F672" s="7" t="str">
        <f>Raw_Orders!C672</f>
        <v>31</v>
      </c>
      <c r="G672" s="7" t="str">
        <f>INDEX(Raw_Products!$B$2:$B$71,MATCH($F672,Raw_Products!$A$2:$A$71,0))</f>
        <v>Nihil Box</v>
      </c>
      <c r="H672" s="7" t="str">
        <f>INDEX(Raw_Products!$C$2:$C$71,MATCH($F672,Raw_Products!$A$2:$A$71,0))</f>
        <v>Colors</v>
      </c>
      <c r="I672" s="7">
        <f>VALUE(Raw_Orders!D672)</f>
        <v>4</v>
      </c>
      <c r="J672" s="11" t="str">
        <f>INDEX(Raw_Products!$D$2:$D$71,MATCH($F672,Raw_Products!$A$2:$A$71,0))</f>
        <v>1804</v>
      </c>
      <c r="K672" s="11">
        <f t="shared" si="20"/>
        <v>7216</v>
      </c>
      <c r="L672" s="12">
        <f>DATE(VALUE(RIGHT(Raw_Orders!E672,4)),VALUE(MID(Raw_Orders!E672,4,2)),VALUE(LEFT(Raw_Orders!E672,2)))</f>
        <v>45263</v>
      </c>
      <c r="M672" s="12">
        <f>DATE(VALUE(RIGHT(Raw_Orders!G672,4)),VALUE(MID(Raw_Orders!G672,4,2)),VALUE(LEFT(Raw_Orders!G672,2)))</f>
        <v>45267</v>
      </c>
      <c r="N672" s="7">
        <f t="shared" si="21"/>
        <v>4</v>
      </c>
      <c r="O672" s="7" t="str">
        <f>Raw_Orders!J672</f>
        <v>All Occasions</v>
      </c>
      <c r="P672" s="7" t="str">
        <f>Raw_Orders!I672</f>
        <v>Karnal</v>
      </c>
    </row>
    <row r="673" spans="1:16">
      <c r="A673" s="7" t="str">
        <f>Raw_Orders!A673</f>
        <v>672</v>
      </c>
      <c r="B673" s="7" t="str">
        <f>Raw_Orders!B673</f>
        <v>C049</v>
      </c>
      <c r="C673" s="7" t="str">
        <f>INDEX(Raw_Customers!$B$2:$B$101,MATCH($B673,Raw_Customers!$A$2:$A$101,0))</f>
        <v>Aarush Balasubramanian</v>
      </c>
      <c r="D673" s="7" t="str">
        <f>TRIM(INDEX(Raw_Customers!$C$2:$C$101,MATCH($B673,Raw_Customers!$A$2:$A$101,0)))</f>
        <v>Imphal</v>
      </c>
      <c r="E673" s="7" t="str">
        <f>"+91-"&amp;RIGHT("0000000000"&amp;INDEX(Raw_Customers!$D$2:$D$101,MATCH($B673,Raw_Customers!$A$2:$A$101,0)),10)</f>
        <v>+91-1436426958</v>
      </c>
      <c r="F673" s="7" t="str">
        <f>Raw_Orders!C673</f>
        <v>44</v>
      </c>
      <c r="G673" s="7" t="str">
        <f>INDEX(Raw_Products!$B$2:$B$71,MATCH($F673,Raw_Products!$A$2:$A$71,0))</f>
        <v>Dolorum Set</v>
      </c>
      <c r="H673" s="7" t="str">
        <f>INDEX(Raw_Products!$C$2:$C$71,MATCH($F673,Raw_Products!$A$2:$A$71,0))</f>
        <v>Plants</v>
      </c>
      <c r="I673" s="7">
        <f>VALUE(Raw_Orders!D673)</f>
        <v>5</v>
      </c>
      <c r="J673" s="11" t="str">
        <f>INDEX(Raw_Products!$D$2:$D$71,MATCH($F673,Raw_Products!$A$2:$A$71,0))</f>
        <v>794</v>
      </c>
      <c r="K673" s="11">
        <f t="shared" si="20"/>
        <v>3970</v>
      </c>
      <c r="L673" s="12">
        <f>DATE(VALUE(RIGHT(Raw_Orders!E673,4)),VALUE(MID(Raw_Orders!E673,4,2)),VALUE(LEFT(Raw_Orders!E673,2)))</f>
        <v>45237</v>
      </c>
      <c r="M673" s="12">
        <f>DATE(VALUE(RIGHT(Raw_Orders!G673,4)),VALUE(MID(Raw_Orders!G673,4,2)),VALUE(LEFT(Raw_Orders!G673,2)))</f>
        <v>45239</v>
      </c>
      <c r="N673" s="7">
        <f t="shared" si="21"/>
        <v>2</v>
      </c>
      <c r="O673" s="7" t="str">
        <f>Raw_Orders!J673</f>
        <v>Diwali</v>
      </c>
      <c r="P673" s="7" t="str">
        <f>Raw_Orders!I673</f>
        <v>Saharanpur</v>
      </c>
    </row>
    <row r="674" spans="1:16">
      <c r="A674" s="7" t="str">
        <f>Raw_Orders!A674</f>
        <v>673</v>
      </c>
      <c r="B674" s="7" t="str">
        <f>Raw_Orders!B674</f>
        <v>C008</v>
      </c>
      <c r="C674" s="7" t="str">
        <f>INDEX(Raw_Customers!$B$2:$B$101,MATCH($B674,Raw_Customers!$A$2:$A$101,0))</f>
        <v>Veer Ray</v>
      </c>
      <c r="D674" s="7" t="str">
        <f>TRIM(INDEX(Raw_Customers!$C$2:$C$101,MATCH($B674,Raw_Customers!$A$2:$A$101,0)))</f>
        <v>Chinsurah</v>
      </c>
      <c r="E674" s="7" t="str">
        <f>"+91-"&amp;RIGHT("0000000000"&amp;INDEX(Raw_Customers!$D$2:$D$101,MATCH($B674,Raw_Customers!$A$2:$A$101,0)),10)</f>
        <v>+91-7138085704</v>
      </c>
      <c r="F674" s="7" t="str">
        <f>Raw_Orders!C674</f>
        <v>33</v>
      </c>
      <c r="G674" s="7" t="str">
        <f>INDEX(Raw_Products!$B$2:$B$71,MATCH($F674,Raw_Products!$A$2:$A$71,0))</f>
        <v>Earum Set</v>
      </c>
      <c r="H674" s="7" t="str">
        <f>INDEX(Raw_Products!$C$2:$C$71,MATCH($F674,Raw_Products!$A$2:$A$71,0))</f>
        <v>Colors</v>
      </c>
      <c r="I674" s="7">
        <f>VALUE(Raw_Orders!D674)</f>
        <v>3</v>
      </c>
      <c r="J674" s="11" t="str">
        <f>INDEX(Raw_Products!$D$2:$D$71,MATCH($F674,Raw_Products!$A$2:$A$71,0))</f>
        <v>314</v>
      </c>
      <c r="K674" s="11">
        <f t="shared" si="20"/>
        <v>942</v>
      </c>
      <c r="L674" s="12">
        <f>DATE(VALUE(RIGHT(Raw_Orders!E674,4)),VALUE(MID(Raw_Orders!E674,4,2)),VALUE(LEFT(Raw_Orders!E674,2)))</f>
        <v>44961</v>
      </c>
      <c r="M674" s="12">
        <f>DATE(VALUE(RIGHT(Raw_Orders!G674,4)),VALUE(MID(Raw_Orders!G674,4,2)),VALUE(LEFT(Raw_Orders!G674,2)))</f>
        <v>44964</v>
      </c>
      <c r="N674" s="7">
        <f t="shared" si="21"/>
        <v>3</v>
      </c>
      <c r="O674" s="7" t="str">
        <f>Raw_Orders!J674</f>
        <v>Valentine's Day</v>
      </c>
      <c r="P674" s="7" t="str">
        <f>Raw_Orders!I674</f>
        <v>Gaya</v>
      </c>
    </row>
    <row r="675" spans="1:16">
      <c r="A675" s="7" t="str">
        <f>Raw_Orders!A675</f>
        <v>674</v>
      </c>
      <c r="B675" s="7" t="str">
        <f>Raw_Orders!B675</f>
        <v>C065</v>
      </c>
      <c r="C675" s="7" t="str">
        <f>INDEX(Raw_Customers!$B$2:$B$101,MATCH($B675,Raw_Customers!$A$2:$A$101,0))</f>
        <v>Badal Vora</v>
      </c>
      <c r="D675" s="7" t="str">
        <f>TRIM(INDEX(Raw_Customers!$C$2:$C$101,MATCH($B675,Raw_Customers!$A$2:$A$101,0)))</f>
        <v>North Dumdum</v>
      </c>
      <c r="E675" s="7" t="str">
        <f>"+91-"&amp;RIGHT("0000000000"&amp;INDEX(Raw_Customers!$D$2:$D$101,MATCH($B675,Raw_Customers!$A$2:$A$101,0)),10)</f>
        <v>+91-9753056313</v>
      </c>
      <c r="F675" s="7" t="str">
        <f>Raw_Orders!C675</f>
        <v>68</v>
      </c>
      <c r="G675" s="7" t="str">
        <f>INDEX(Raw_Products!$B$2:$B$71,MATCH($F675,Raw_Products!$A$2:$A$71,0))</f>
        <v>Quas Gift</v>
      </c>
      <c r="H675" s="7" t="str">
        <f>INDEX(Raw_Products!$C$2:$C$71,MATCH($F675,Raw_Products!$A$2:$A$71,0))</f>
        <v>Soft Toys</v>
      </c>
      <c r="I675" s="7">
        <f>VALUE(Raw_Orders!D675)</f>
        <v>2</v>
      </c>
      <c r="J675" s="11" t="str">
        <f>INDEX(Raw_Products!$D$2:$D$71,MATCH($F675,Raw_Products!$A$2:$A$71,0))</f>
        <v>597</v>
      </c>
      <c r="K675" s="11">
        <f t="shared" si="20"/>
        <v>1194</v>
      </c>
      <c r="L675" s="12">
        <f>DATE(VALUE(RIGHT(Raw_Orders!E675,4)),VALUE(MID(Raw_Orders!E675,4,2)),VALUE(LEFT(Raw_Orders!E675,2)))</f>
        <v>44964</v>
      </c>
      <c r="M675" s="12">
        <f>DATE(VALUE(RIGHT(Raw_Orders!G675,4)),VALUE(MID(Raw_Orders!G675,4,2)),VALUE(LEFT(Raw_Orders!G675,2)))</f>
        <v>44973</v>
      </c>
      <c r="N675" s="7">
        <f t="shared" si="21"/>
        <v>9</v>
      </c>
      <c r="O675" s="7" t="str">
        <f>Raw_Orders!J675</f>
        <v>Valentine's Day</v>
      </c>
      <c r="P675" s="7" t="str">
        <f>Raw_Orders!I675</f>
        <v>Chennai</v>
      </c>
    </row>
    <row r="676" spans="1:16">
      <c r="A676" s="7" t="str">
        <f>Raw_Orders!A676</f>
        <v>675</v>
      </c>
      <c r="B676" s="7" t="str">
        <f>Raw_Orders!B676</f>
        <v>C052</v>
      </c>
      <c r="C676" s="7" t="str">
        <f>INDEX(Raw_Customers!$B$2:$B$101,MATCH($B676,Raw_Customers!$A$2:$A$101,0))</f>
        <v>Vardaniya Apte</v>
      </c>
      <c r="D676" s="7" t="str">
        <f>TRIM(INDEX(Raw_Customers!$C$2:$C$101,MATCH($B676,Raw_Customers!$A$2:$A$101,0)))</f>
        <v>Dhanbad</v>
      </c>
      <c r="E676" s="7" t="str">
        <f>"+91-"&amp;RIGHT("0000000000"&amp;INDEX(Raw_Customers!$D$2:$D$101,MATCH($B676,Raw_Customers!$A$2:$A$101,0)),10)</f>
        <v>+91-5846932069</v>
      </c>
      <c r="F676" s="7" t="str">
        <f>Raw_Orders!C676</f>
        <v>13</v>
      </c>
      <c r="G676" s="7" t="str">
        <f>INDEX(Raw_Products!$B$2:$B$71,MATCH($F676,Raw_Products!$A$2:$A$71,0))</f>
        <v>Et Set</v>
      </c>
      <c r="H676" s="7" t="str">
        <f>INDEX(Raw_Products!$C$2:$C$71,MATCH($F676,Raw_Products!$A$2:$A$71,0))</f>
        <v>Mugs</v>
      </c>
      <c r="I676" s="7">
        <f>VALUE(Raw_Orders!D676)</f>
        <v>4</v>
      </c>
      <c r="J676" s="11" t="str">
        <f>INDEX(Raw_Products!$D$2:$D$71,MATCH($F676,Raw_Products!$A$2:$A$71,0))</f>
        <v>1141</v>
      </c>
      <c r="K676" s="11">
        <f t="shared" si="20"/>
        <v>4564</v>
      </c>
      <c r="L676" s="12">
        <f>DATE(VALUE(RIGHT(Raw_Orders!E676,4)),VALUE(MID(Raw_Orders!E676,4,2)),VALUE(LEFT(Raw_Orders!E676,2)))</f>
        <v>44985</v>
      </c>
      <c r="M676" s="12">
        <f>DATE(VALUE(RIGHT(Raw_Orders!G676,4)),VALUE(MID(Raw_Orders!G676,4,2)),VALUE(LEFT(Raw_Orders!G676,2)))</f>
        <v>44994</v>
      </c>
      <c r="N676" s="7">
        <f t="shared" si="21"/>
        <v>9</v>
      </c>
      <c r="O676" s="7" t="str">
        <f>Raw_Orders!J676</f>
        <v>Holi</v>
      </c>
      <c r="P676" s="7" t="str">
        <f>Raw_Orders!I676</f>
        <v>Pali</v>
      </c>
    </row>
    <row r="677" spans="1:16">
      <c r="A677" s="7" t="str">
        <f>Raw_Orders!A677</f>
        <v>676</v>
      </c>
      <c r="B677" s="7" t="str">
        <f>Raw_Orders!B677</f>
        <v>C038</v>
      </c>
      <c r="C677" s="7" t="str">
        <f>INDEX(Raw_Customers!$B$2:$B$101,MATCH($B677,Raw_Customers!$A$2:$A$101,0))</f>
        <v>Yakshit Shah</v>
      </c>
      <c r="D677" s="7" t="str">
        <f>TRIM(INDEX(Raw_Customers!$C$2:$C$101,MATCH($B677,Raw_Customers!$A$2:$A$101,0)))</f>
        <v>Aizawl</v>
      </c>
      <c r="E677" s="7" t="str">
        <f>"+91-"&amp;RIGHT("0000000000"&amp;INDEX(Raw_Customers!$D$2:$D$101,MATCH($B677,Raw_Customers!$A$2:$A$101,0)),10)</f>
        <v>+91-2847411902</v>
      </c>
      <c r="F677" s="7" t="str">
        <f>Raw_Orders!C677</f>
        <v>46</v>
      </c>
      <c r="G677" s="7" t="str">
        <f>INDEX(Raw_Products!$B$2:$B$71,MATCH($F677,Raw_Products!$A$2:$A$71,0))</f>
        <v>Pariatur Set</v>
      </c>
      <c r="H677" s="7" t="str">
        <f>INDEX(Raw_Products!$C$2:$C$71,MATCH($F677,Raw_Products!$A$2:$A$71,0))</f>
        <v>Cake</v>
      </c>
      <c r="I677" s="7">
        <f>VALUE(Raw_Orders!D677)</f>
        <v>4</v>
      </c>
      <c r="J677" s="11" t="str">
        <f>INDEX(Raw_Products!$D$2:$D$71,MATCH($F677,Raw_Products!$A$2:$A$71,0))</f>
        <v>758</v>
      </c>
      <c r="K677" s="11">
        <f t="shared" si="20"/>
        <v>3032</v>
      </c>
      <c r="L677" s="12">
        <f>DATE(VALUE(RIGHT(Raw_Orders!E677,4)),VALUE(MID(Raw_Orders!E677,4,2)),VALUE(LEFT(Raw_Orders!E677,2)))</f>
        <v>44975</v>
      </c>
      <c r="M677" s="12">
        <f>DATE(VALUE(RIGHT(Raw_Orders!G677,4)),VALUE(MID(Raw_Orders!G677,4,2)),VALUE(LEFT(Raw_Orders!G677,2)))</f>
        <v>44977</v>
      </c>
      <c r="N677" s="7">
        <f t="shared" si="21"/>
        <v>2</v>
      </c>
      <c r="O677" s="7" t="str">
        <f>Raw_Orders!J677</f>
        <v>Anniversary</v>
      </c>
      <c r="P677" s="7" t="str">
        <f>Raw_Orders!I677</f>
        <v>Kanpur</v>
      </c>
    </row>
    <row r="678" spans="1:16">
      <c r="A678" s="7" t="str">
        <f>Raw_Orders!A678</f>
        <v>677</v>
      </c>
      <c r="B678" s="7" t="str">
        <f>Raw_Orders!B678</f>
        <v>C045</v>
      </c>
      <c r="C678" s="7" t="str">
        <f>INDEX(Raw_Customers!$B$2:$B$101,MATCH($B678,Raw_Customers!$A$2:$A$101,0))</f>
        <v>Divit Mahajan</v>
      </c>
      <c r="D678" s="7" t="str">
        <f>TRIM(INDEX(Raw_Customers!$C$2:$C$101,MATCH($B678,Raw_Customers!$A$2:$A$101,0)))</f>
        <v>Maheshtala</v>
      </c>
      <c r="E678" s="7" t="str">
        <f>"+91-"&amp;RIGHT("0000000000"&amp;INDEX(Raw_Customers!$D$2:$D$101,MATCH($B678,Raw_Customers!$A$2:$A$101,0)),10)</f>
        <v>+91-6789522856</v>
      </c>
      <c r="F678" s="7" t="str">
        <f>Raw_Orders!C678</f>
        <v>37</v>
      </c>
      <c r="G678" s="7" t="str">
        <f>INDEX(Raw_Products!$B$2:$B$71,MATCH($F678,Raw_Products!$A$2:$A$71,0))</f>
        <v>Officiis Pack</v>
      </c>
      <c r="H678" s="7" t="str">
        <f>INDEX(Raw_Products!$C$2:$C$71,MATCH($F678,Raw_Products!$A$2:$A$71,0))</f>
        <v>Colors</v>
      </c>
      <c r="I678" s="7">
        <f>VALUE(Raw_Orders!D678)</f>
        <v>5</v>
      </c>
      <c r="J678" s="11" t="str">
        <f>INDEX(Raw_Products!$D$2:$D$71,MATCH($F678,Raw_Products!$A$2:$A$71,0))</f>
        <v>1428</v>
      </c>
      <c r="K678" s="11">
        <f t="shared" si="20"/>
        <v>7140</v>
      </c>
      <c r="L678" s="12">
        <f>DATE(VALUE(RIGHT(Raw_Orders!E678,4)),VALUE(MID(Raw_Orders!E678,4,2)),VALUE(LEFT(Raw_Orders!E678,2)))</f>
        <v>45234</v>
      </c>
      <c r="M678" s="12">
        <f>DATE(VALUE(RIGHT(Raw_Orders!G678,4)),VALUE(MID(Raw_Orders!G678,4,2)),VALUE(LEFT(Raw_Orders!G678,2)))</f>
        <v>45244</v>
      </c>
      <c r="N678" s="7">
        <f t="shared" si="21"/>
        <v>10</v>
      </c>
      <c r="O678" s="7" t="str">
        <f>Raw_Orders!J678</f>
        <v>Diwali</v>
      </c>
      <c r="P678" s="7" t="str">
        <f>Raw_Orders!I678</f>
        <v>Panihati</v>
      </c>
    </row>
    <row r="679" spans="1:16">
      <c r="A679" s="7" t="str">
        <f>Raw_Orders!A679</f>
        <v>678</v>
      </c>
      <c r="B679" s="7" t="str">
        <f>Raw_Orders!B679</f>
        <v>C020</v>
      </c>
      <c r="C679" s="7" t="str">
        <f>INDEX(Raw_Customers!$B$2:$B$101,MATCH($B679,Raw_Customers!$A$2:$A$101,0))</f>
        <v>Samaira Ganesh</v>
      </c>
      <c r="D679" s="7" t="str">
        <f>TRIM(INDEX(Raw_Customers!$C$2:$C$101,MATCH($B679,Raw_Customers!$A$2:$A$101,0)))</f>
        <v>Machilipatnam</v>
      </c>
      <c r="E679" s="7" t="str">
        <f>"+91-"&amp;RIGHT("0000000000"&amp;INDEX(Raw_Customers!$D$2:$D$101,MATCH($B679,Raw_Customers!$A$2:$A$101,0)),10)</f>
        <v>+91-1731643700</v>
      </c>
      <c r="F679" s="7" t="str">
        <f>Raw_Orders!C679</f>
        <v>31</v>
      </c>
      <c r="G679" s="7" t="str">
        <f>INDEX(Raw_Products!$B$2:$B$71,MATCH($F679,Raw_Products!$A$2:$A$71,0))</f>
        <v>Nihil Box</v>
      </c>
      <c r="H679" s="7" t="str">
        <f>INDEX(Raw_Products!$C$2:$C$71,MATCH($F679,Raw_Products!$A$2:$A$71,0))</f>
        <v>Colors</v>
      </c>
      <c r="I679" s="7">
        <f>VALUE(Raw_Orders!D679)</f>
        <v>5</v>
      </c>
      <c r="J679" s="11" t="str">
        <f>INDEX(Raw_Products!$D$2:$D$71,MATCH($F679,Raw_Products!$A$2:$A$71,0))</f>
        <v>1804</v>
      </c>
      <c r="K679" s="11">
        <f t="shared" si="20"/>
        <v>9020</v>
      </c>
      <c r="L679" s="12">
        <f>DATE(VALUE(RIGHT(Raw_Orders!E679,4)),VALUE(MID(Raw_Orders!E679,4,2)),VALUE(LEFT(Raw_Orders!E679,2)))</f>
        <v>45179</v>
      </c>
      <c r="M679" s="12">
        <f>DATE(VALUE(RIGHT(Raw_Orders!G679,4)),VALUE(MID(Raw_Orders!G679,4,2)),VALUE(LEFT(Raw_Orders!G679,2)))</f>
        <v>45189</v>
      </c>
      <c r="N679" s="7">
        <f t="shared" si="21"/>
        <v>10</v>
      </c>
      <c r="O679" s="7" t="str">
        <f>Raw_Orders!J679</f>
        <v>All Occasions</v>
      </c>
      <c r="P679" s="7" t="str">
        <f>Raw_Orders!I679</f>
        <v>Jalna</v>
      </c>
    </row>
    <row r="680" spans="1:16">
      <c r="A680" s="7" t="str">
        <f>Raw_Orders!A680</f>
        <v>679</v>
      </c>
      <c r="B680" s="7" t="str">
        <f>Raw_Orders!B680</f>
        <v>C019</v>
      </c>
      <c r="C680" s="7" t="str">
        <f>INDEX(Raw_Customers!$B$2:$B$101,MATCH($B680,Raw_Customers!$A$2:$A$101,0))</f>
        <v>Amira Sengupta</v>
      </c>
      <c r="D680" s="7" t="str">
        <f>TRIM(INDEX(Raw_Customers!$C$2:$C$101,MATCH($B680,Raw_Customers!$A$2:$A$101,0)))</f>
        <v>Danapur</v>
      </c>
      <c r="E680" s="7" t="str">
        <f>"+91-"&amp;RIGHT("0000000000"&amp;INDEX(Raw_Customers!$D$2:$D$101,MATCH($B680,Raw_Customers!$A$2:$A$101,0)),10)</f>
        <v>+91-4513393592</v>
      </c>
      <c r="F680" s="7" t="str">
        <f>Raw_Orders!C680</f>
        <v>56</v>
      </c>
      <c r="G680" s="7" t="str">
        <f>INDEX(Raw_Products!$B$2:$B$71,MATCH($F680,Raw_Products!$A$2:$A$71,0))</f>
        <v>Quia Gift</v>
      </c>
      <c r="H680" s="7" t="str">
        <f>INDEX(Raw_Products!$C$2:$C$71,MATCH($F680,Raw_Products!$A$2:$A$71,0))</f>
        <v>Raksha Bandhan</v>
      </c>
      <c r="I680" s="7">
        <f>VALUE(Raw_Orders!D680)</f>
        <v>2</v>
      </c>
      <c r="J680" s="11" t="str">
        <f>INDEX(Raw_Products!$D$2:$D$71,MATCH($F680,Raw_Products!$A$2:$A$71,0))</f>
        <v>1272</v>
      </c>
      <c r="K680" s="11">
        <f t="shared" si="20"/>
        <v>2544</v>
      </c>
      <c r="L680" s="12">
        <f>DATE(VALUE(RIGHT(Raw_Orders!E680,4)),VALUE(MID(Raw_Orders!E680,4,2)),VALUE(LEFT(Raw_Orders!E680,2)))</f>
        <v>45204</v>
      </c>
      <c r="M680" s="12">
        <f>DATE(VALUE(RIGHT(Raw_Orders!G680,4)),VALUE(MID(Raw_Orders!G680,4,2)),VALUE(LEFT(Raw_Orders!G680,2)))</f>
        <v>45213</v>
      </c>
      <c r="N680" s="7">
        <f t="shared" si="21"/>
        <v>9</v>
      </c>
      <c r="O680" s="7" t="str">
        <f>Raw_Orders!J680</f>
        <v>Anniversary</v>
      </c>
      <c r="P680" s="7" t="str">
        <f>Raw_Orders!I680</f>
        <v>Durg</v>
      </c>
    </row>
    <row r="681" spans="1:16">
      <c r="A681" s="7" t="str">
        <f>Raw_Orders!A681</f>
        <v>680</v>
      </c>
      <c r="B681" s="7" t="str">
        <f>Raw_Orders!B681</f>
        <v>C018</v>
      </c>
      <c r="C681" s="7" t="str">
        <f>INDEX(Raw_Customers!$B$2:$B$101,MATCH($B681,Raw_Customers!$A$2:$A$101,0))</f>
        <v>Eva Vaidya</v>
      </c>
      <c r="D681" s="7" t="str">
        <f>TRIM(INDEX(Raw_Customers!$C$2:$C$101,MATCH($B681,Raw_Customers!$A$2:$A$101,0)))</f>
        <v>Nizamabad</v>
      </c>
      <c r="E681" s="7" t="str">
        <f>"+91-"&amp;RIGHT("0000000000"&amp;INDEX(Raw_Customers!$D$2:$D$101,MATCH($B681,Raw_Customers!$A$2:$A$101,0)),10)</f>
        <v>+91-9080029661</v>
      </c>
      <c r="F681" s="7" t="str">
        <f>Raw_Orders!C681</f>
        <v>56</v>
      </c>
      <c r="G681" s="7" t="str">
        <f>INDEX(Raw_Products!$B$2:$B$71,MATCH($F681,Raw_Products!$A$2:$A$71,0))</f>
        <v>Quia Gift</v>
      </c>
      <c r="H681" s="7" t="str">
        <f>INDEX(Raw_Products!$C$2:$C$71,MATCH($F681,Raw_Products!$A$2:$A$71,0))</f>
        <v>Raksha Bandhan</v>
      </c>
      <c r="I681" s="7">
        <f>VALUE(Raw_Orders!D681)</f>
        <v>1</v>
      </c>
      <c r="J681" s="11" t="str">
        <f>INDEX(Raw_Products!$D$2:$D$71,MATCH($F681,Raw_Products!$A$2:$A$71,0))</f>
        <v>1272</v>
      </c>
      <c r="K681" s="11">
        <f t="shared" si="20"/>
        <v>1272</v>
      </c>
      <c r="L681" s="12">
        <f>DATE(VALUE(RIGHT(Raw_Orders!E681,4)),VALUE(MID(Raw_Orders!E681,4,2)),VALUE(LEFT(Raw_Orders!E681,2)))</f>
        <v>45262</v>
      </c>
      <c r="M681" s="12">
        <f>DATE(VALUE(RIGHT(Raw_Orders!G681,4)),VALUE(MID(Raw_Orders!G681,4,2)),VALUE(LEFT(Raw_Orders!G681,2)))</f>
        <v>45268</v>
      </c>
      <c r="N681" s="7">
        <f t="shared" si="21"/>
        <v>6</v>
      </c>
      <c r="O681" s="7" t="str">
        <f>Raw_Orders!J681</f>
        <v>Anniversary</v>
      </c>
      <c r="P681" s="7" t="str">
        <f>Raw_Orders!I681</f>
        <v>Avadi</v>
      </c>
    </row>
    <row r="682" spans="1:16">
      <c r="A682" s="7" t="str">
        <f>Raw_Orders!A682</f>
        <v>681</v>
      </c>
      <c r="B682" s="7" t="str">
        <f>Raw_Orders!B682</f>
        <v>C098</v>
      </c>
      <c r="C682" s="7" t="str">
        <f>INDEX(Raw_Customers!$B$2:$B$101,MATCH($B682,Raw_Customers!$A$2:$A$101,0))</f>
        <v>Navya Golla</v>
      </c>
      <c r="D682" s="7" t="str">
        <f>TRIM(INDEX(Raw_Customers!$C$2:$C$101,MATCH($B682,Raw_Customers!$A$2:$A$101,0)))</f>
        <v>Cuttack</v>
      </c>
      <c r="E682" s="7" t="str">
        <f>"+91-"&amp;RIGHT("0000000000"&amp;INDEX(Raw_Customers!$D$2:$D$101,MATCH($B682,Raw_Customers!$A$2:$A$101,0)),10)</f>
        <v>+91-4461213936</v>
      </c>
      <c r="F682" s="7" t="str">
        <f>Raw_Orders!C682</f>
        <v>23</v>
      </c>
      <c r="G682" s="7" t="str">
        <f>INDEX(Raw_Products!$B$2:$B$71,MATCH($F682,Raw_Products!$A$2:$A$71,0))</f>
        <v>Dignissimos Pack</v>
      </c>
      <c r="H682" s="7" t="str">
        <f>INDEX(Raw_Products!$C$2:$C$71,MATCH($F682,Raw_Products!$A$2:$A$71,0))</f>
        <v>Sweets</v>
      </c>
      <c r="I682" s="7">
        <f>VALUE(Raw_Orders!D682)</f>
        <v>5</v>
      </c>
      <c r="J682" s="11" t="str">
        <f>INDEX(Raw_Products!$D$2:$D$71,MATCH($F682,Raw_Products!$A$2:$A$71,0))</f>
        <v>1098</v>
      </c>
      <c r="K682" s="11">
        <f t="shared" si="20"/>
        <v>5490</v>
      </c>
      <c r="L682" s="12">
        <f>DATE(VALUE(RIGHT(Raw_Orders!E682,4)),VALUE(MID(Raw_Orders!E682,4,2)),VALUE(LEFT(Raw_Orders!E682,2)))</f>
        <v>44955</v>
      </c>
      <c r="M682" s="12">
        <f>DATE(VALUE(RIGHT(Raw_Orders!G682,4)),VALUE(MID(Raw_Orders!G682,4,2)),VALUE(LEFT(Raw_Orders!G682,2)))</f>
        <v>44962</v>
      </c>
      <c r="N682" s="7">
        <f t="shared" si="21"/>
        <v>7</v>
      </c>
      <c r="O682" s="7" t="str">
        <f>Raw_Orders!J682</f>
        <v>Anniversary</v>
      </c>
      <c r="P682" s="7" t="str">
        <f>Raw_Orders!I682</f>
        <v>Nashik</v>
      </c>
    </row>
    <row r="683" spans="1:16">
      <c r="A683" s="7" t="str">
        <f>Raw_Orders!A683</f>
        <v>682</v>
      </c>
      <c r="B683" s="7" t="str">
        <f>Raw_Orders!B683</f>
        <v>C054</v>
      </c>
      <c r="C683" s="7" t="str">
        <f>INDEX(Raw_Customers!$B$2:$B$101,MATCH($B683,Raw_Customers!$A$2:$A$101,0))</f>
        <v>Umang Ahuja</v>
      </c>
      <c r="D683" s="7" t="str">
        <f>TRIM(INDEX(Raw_Customers!$C$2:$C$101,MATCH($B683,Raw_Customers!$A$2:$A$101,0)))</f>
        <v>Bidhannagar</v>
      </c>
      <c r="E683" s="7" t="str">
        <f>"+91-"&amp;RIGHT("0000000000"&amp;INDEX(Raw_Customers!$D$2:$D$101,MATCH($B683,Raw_Customers!$A$2:$A$101,0)),10)</f>
        <v>+91-7271590783</v>
      </c>
      <c r="F683" s="7" t="str">
        <f>Raw_Orders!C683</f>
        <v>50</v>
      </c>
      <c r="G683" s="7" t="str">
        <f>INDEX(Raw_Products!$B$2:$B$71,MATCH($F683,Raw_Products!$A$2:$A$71,0))</f>
        <v>Eligendi Set</v>
      </c>
      <c r="H683" s="7" t="str">
        <f>INDEX(Raw_Products!$C$2:$C$71,MATCH($F683,Raw_Products!$A$2:$A$71,0))</f>
        <v>Plants</v>
      </c>
      <c r="I683" s="7">
        <f>VALUE(Raw_Orders!D683)</f>
        <v>5</v>
      </c>
      <c r="J683" s="11" t="str">
        <f>INDEX(Raw_Products!$D$2:$D$71,MATCH($F683,Raw_Products!$A$2:$A$71,0))</f>
        <v>422</v>
      </c>
      <c r="K683" s="11">
        <f t="shared" si="20"/>
        <v>2110</v>
      </c>
      <c r="L683" s="12">
        <f>DATE(VALUE(RIGHT(Raw_Orders!E683,4)),VALUE(MID(Raw_Orders!E683,4,2)),VALUE(LEFT(Raw_Orders!E683,2)))</f>
        <v>44983</v>
      </c>
      <c r="M683" s="12">
        <f>DATE(VALUE(RIGHT(Raw_Orders!G683,4)),VALUE(MID(Raw_Orders!G683,4,2)),VALUE(LEFT(Raw_Orders!G683,2)))</f>
        <v>44990</v>
      </c>
      <c r="N683" s="7">
        <f t="shared" si="21"/>
        <v>7</v>
      </c>
      <c r="O683" s="7" t="str">
        <f>Raw_Orders!J683</f>
        <v>Holi</v>
      </c>
      <c r="P683" s="7" t="str">
        <f>Raw_Orders!I683</f>
        <v>Hyderabad</v>
      </c>
    </row>
    <row r="684" spans="1:16">
      <c r="A684" s="7" t="str">
        <f>Raw_Orders!A684</f>
        <v>683</v>
      </c>
      <c r="B684" s="7" t="str">
        <f>Raw_Orders!B684</f>
        <v>C024</v>
      </c>
      <c r="C684" s="7" t="str">
        <f>INDEX(Raw_Customers!$B$2:$B$101,MATCH($B684,Raw_Customers!$A$2:$A$101,0))</f>
        <v>Jhanvi Chowdhury</v>
      </c>
      <c r="D684" s="7" t="str">
        <f>TRIM(INDEX(Raw_Customers!$C$2:$C$101,MATCH($B684,Raw_Customers!$A$2:$A$101,0)))</f>
        <v>Kavali</v>
      </c>
      <c r="E684" s="7" t="str">
        <f>"+91-"&amp;RIGHT("0000000000"&amp;INDEX(Raw_Customers!$D$2:$D$101,MATCH($B684,Raw_Customers!$A$2:$A$101,0)),10)</f>
        <v>+91-0316756360</v>
      </c>
      <c r="F684" s="7" t="str">
        <f>Raw_Orders!C684</f>
        <v>27</v>
      </c>
      <c r="G684" s="7" t="str">
        <f>INDEX(Raw_Products!$B$2:$B$71,MATCH($F684,Raw_Products!$A$2:$A$71,0))</f>
        <v>Architecto Gift</v>
      </c>
      <c r="H684" s="7" t="str">
        <f>INDEX(Raw_Products!$C$2:$C$71,MATCH($F684,Raw_Products!$A$2:$A$71,0))</f>
        <v>Cake</v>
      </c>
      <c r="I684" s="7">
        <f>VALUE(Raw_Orders!D684)</f>
        <v>3</v>
      </c>
      <c r="J684" s="11" t="str">
        <f>INDEX(Raw_Products!$D$2:$D$71,MATCH($F684,Raw_Products!$A$2:$A$71,0))</f>
        <v>548</v>
      </c>
      <c r="K684" s="11">
        <f t="shared" si="20"/>
        <v>1644</v>
      </c>
      <c r="L684" s="12">
        <f>DATE(VALUE(RIGHT(Raw_Orders!E684,4)),VALUE(MID(Raw_Orders!E684,4,2)),VALUE(LEFT(Raw_Orders!E684,2)))</f>
        <v>45161</v>
      </c>
      <c r="M684" s="12">
        <f>DATE(VALUE(RIGHT(Raw_Orders!G684,4)),VALUE(MID(Raw_Orders!G684,4,2)),VALUE(LEFT(Raw_Orders!G684,2)))</f>
        <v>45168</v>
      </c>
      <c r="N684" s="7">
        <f t="shared" si="21"/>
        <v>7</v>
      </c>
      <c r="O684" s="7" t="str">
        <f>Raw_Orders!J684</f>
        <v>Raksha Bandhan</v>
      </c>
      <c r="P684" s="7" t="str">
        <f>Raw_Orders!I684</f>
        <v>Surendranagar Dudhrej</v>
      </c>
    </row>
    <row r="685" spans="1:16">
      <c r="A685" s="7" t="str">
        <f>Raw_Orders!A685</f>
        <v>684</v>
      </c>
      <c r="B685" s="7" t="str">
        <f>Raw_Orders!B685</f>
        <v>C029</v>
      </c>
      <c r="C685" s="7" t="str">
        <f>INDEX(Raw_Customers!$B$2:$B$101,MATCH($B685,Raw_Customers!$A$2:$A$101,0))</f>
        <v>Badal Sathe</v>
      </c>
      <c r="D685" s="7" t="str">
        <f>TRIM(INDEX(Raw_Customers!$C$2:$C$101,MATCH($B685,Raw_Customers!$A$2:$A$101,0)))</f>
        <v>Haridwar</v>
      </c>
      <c r="E685" s="7" t="str">
        <f>"+91-"&amp;RIGHT("0000000000"&amp;INDEX(Raw_Customers!$D$2:$D$101,MATCH($B685,Raw_Customers!$A$2:$A$101,0)),10)</f>
        <v>+91-2454360885</v>
      </c>
      <c r="F685" s="7" t="str">
        <f>Raw_Orders!C685</f>
        <v>70</v>
      </c>
      <c r="G685" s="7" t="str">
        <f>INDEX(Raw_Products!$B$2:$B$71,MATCH($F685,Raw_Products!$A$2:$A$71,0))</f>
        <v>Error Gift</v>
      </c>
      <c r="H685" s="7" t="str">
        <f>INDEX(Raw_Products!$C$2:$C$71,MATCH($F685,Raw_Products!$A$2:$A$71,0))</f>
        <v>Sweets</v>
      </c>
      <c r="I685" s="7">
        <f>VALUE(Raw_Orders!D685)</f>
        <v>3</v>
      </c>
      <c r="J685" s="11" t="str">
        <f>INDEX(Raw_Products!$D$2:$D$71,MATCH($F685,Raw_Products!$A$2:$A$71,0))</f>
        <v>866</v>
      </c>
      <c r="K685" s="11">
        <f t="shared" si="20"/>
        <v>2598</v>
      </c>
      <c r="L685" s="12">
        <f>DATE(VALUE(RIGHT(Raw_Orders!E685,4)),VALUE(MID(Raw_Orders!E685,4,2)),VALUE(LEFT(Raw_Orders!E685,2)))</f>
        <v>45186</v>
      </c>
      <c r="M685" s="12">
        <f>DATE(VALUE(RIGHT(Raw_Orders!G685,4)),VALUE(MID(Raw_Orders!G685,4,2)),VALUE(LEFT(Raw_Orders!G685,2)))</f>
        <v>45194</v>
      </c>
      <c r="N685" s="7">
        <f t="shared" si="21"/>
        <v>8</v>
      </c>
      <c r="O685" s="7" t="str">
        <f>Raw_Orders!J685</f>
        <v>Birthday</v>
      </c>
      <c r="P685" s="7" t="str">
        <f>Raw_Orders!I685</f>
        <v>Tumkur</v>
      </c>
    </row>
    <row r="686" spans="1:16">
      <c r="A686" s="7" t="str">
        <f>Raw_Orders!A686</f>
        <v>685</v>
      </c>
      <c r="B686" s="7" t="str">
        <f>Raw_Orders!B686</f>
        <v>C054</v>
      </c>
      <c r="C686" s="7" t="str">
        <f>INDEX(Raw_Customers!$B$2:$B$101,MATCH($B686,Raw_Customers!$A$2:$A$101,0))</f>
        <v>Umang Ahuja</v>
      </c>
      <c r="D686" s="7" t="str">
        <f>TRIM(INDEX(Raw_Customers!$C$2:$C$101,MATCH($B686,Raw_Customers!$A$2:$A$101,0)))</f>
        <v>Bidhannagar</v>
      </c>
      <c r="E686" s="7" t="str">
        <f>"+91-"&amp;RIGHT("0000000000"&amp;INDEX(Raw_Customers!$D$2:$D$101,MATCH($B686,Raw_Customers!$A$2:$A$101,0)),10)</f>
        <v>+91-7271590783</v>
      </c>
      <c r="F686" s="7" t="str">
        <f>Raw_Orders!C686</f>
        <v>22</v>
      </c>
      <c r="G686" s="7" t="str">
        <f>INDEX(Raw_Products!$B$2:$B$71,MATCH($F686,Raw_Products!$A$2:$A$71,0))</f>
        <v>Exercitationem Pack</v>
      </c>
      <c r="H686" s="7" t="str">
        <f>INDEX(Raw_Products!$C$2:$C$71,MATCH($F686,Raw_Products!$A$2:$A$71,0))</f>
        <v>Soft Toys</v>
      </c>
      <c r="I686" s="7">
        <f>VALUE(Raw_Orders!D686)</f>
        <v>1</v>
      </c>
      <c r="J686" s="11" t="str">
        <f>INDEX(Raw_Products!$D$2:$D$71,MATCH($F686,Raw_Products!$A$2:$A$71,0))</f>
        <v>1639</v>
      </c>
      <c r="K686" s="11">
        <f t="shared" si="20"/>
        <v>1639</v>
      </c>
      <c r="L686" s="12">
        <f>DATE(VALUE(RIGHT(Raw_Orders!E686,4)),VALUE(MID(Raw_Orders!E686,4,2)),VALUE(LEFT(Raw_Orders!E686,2)))</f>
        <v>45170</v>
      </c>
      <c r="M686" s="12">
        <f>DATE(VALUE(RIGHT(Raw_Orders!G686,4)),VALUE(MID(Raw_Orders!G686,4,2)),VALUE(LEFT(Raw_Orders!G686,2)))</f>
        <v>45180</v>
      </c>
      <c r="N686" s="7">
        <f t="shared" si="21"/>
        <v>10</v>
      </c>
      <c r="O686" s="7" t="str">
        <f>Raw_Orders!J686</f>
        <v>All Occasions</v>
      </c>
      <c r="P686" s="7" t="str">
        <f>Raw_Orders!I686</f>
        <v>Sikar</v>
      </c>
    </row>
    <row r="687" spans="1:16">
      <c r="A687" s="7" t="str">
        <f>Raw_Orders!A687</f>
        <v>686</v>
      </c>
      <c r="B687" s="7" t="str">
        <f>Raw_Orders!B687</f>
        <v>C026</v>
      </c>
      <c r="C687" s="7" t="str">
        <f>INDEX(Raw_Customers!$B$2:$B$101,MATCH($B687,Raw_Customers!$A$2:$A$101,0))</f>
        <v>Ira Chahal</v>
      </c>
      <c r="D687" s="7" t="str">
        <f>TRIM(INDEX(Raw_Customers!$C$2:$C$101,MATCH($B687,Raw_Customers!$A$2:$A$101,0)))</f>
        <v>Farrukhabad</v>
      </c>
      <c r="E687" s="7" t="str">
        <f>"+91-"&amp;RIGHT("0000000000"&amp;INDEX(Raw_Customers!$D$2:$D$101,MATCH($B687,Raw_Customers!$A$2:$A$101,0)),10)</f>
        <v>+91-8716483532</v>
      </c>
      <c r="F687" s="7" t="str">
        <f>Raw_Orders!C687</f>
        <v>50</v>
      </c>
      <c r="G687" s="7" t="str">
        <f>INDEX(Raw_Products!$B$2:$B$71,MATCH($F687,Raw_Products!$A$2:$A$71,0))</f>
        <v>Eligendi Set</v>
      </c>
      <c r="H687" s="7" t="str">
        <f>INDEX(Raw_Products!$C$2:$C$71,MATCH($F687,Raw_Products!$A$2:$A$71,0))</f>
        <v>Plants</v>
      </c>
      <c r="I687" s="7">
        <f>VALUE(Raw_Orders!D687)</f>
        <v>1</v>
      </c>
      <c r="J687" s="11" t="str">
        <f>INDEX(Raw_Products!$D$2:$D$71,MATCH($F687,Raw_Products!$A$2:$A$71,0))</f>
        <v>422</v>
      </c>
      <c r="K687" s="11">
        <f t="shared" si="20"/>
        <v>422</v>
      </c>
      <c r="L687" s="12">
        <f>DATE(VALUE(RIGHT(Raw_Orders!E687,4)),VALUE(MID(Raw_Orders!E687,4,2)),VALUE(LEFT(Raw_Orders!E687,2)))</f>
        <v>44986</v>
      </c>
      <c r="M687" s="12">
        <f>DATE(VALUE(RIGHT(Raw_Orders!G687,4)),VALUE(MID(Raw_Orders!G687,4,2)),VALUE(LEFT(Raw_Orders!G687,2)))</f>
        <v>44996</v>
      </c>
      <c r="N687" s="7">
        <f t="shared" si="21"/>
        <v>10</v>
      </c>
      <c r="O687" s="7" t="str">
        <f>Raw_Orders!J687</f>
        <v>Holi</v>
      </c>
      <c r="P687" s="7" t="str">
        <f>Raw_Orders!I687</f>
        <v>Bardhaman</v>
      </c>
    </row>
    <row r="688" spans="1:16">
      <c r="A688" s="7" t="str">
        <f>Raw_Orders!A688</f>
        <v>687</v>
      </c>
      <c r="B688" s="7" t="str">
        <f>Raw_Orders!B688</f>
        <v>C098</v>
      </c>
      <c r="C688" s="7" t="str">
        <f>INDEX(Raw_Customers!$B$2:$B$101,MATCH($B688,Raw_Customers!$A$2:$A$101,0))</f>
        <v>Navya Golla</v>
      </c>
      <c r="D688" s="7" t="str">
        <f>TRIM(INDEX(Raw_Customers!$C$2:$C$101,MATCH($B688,Raw_Customers!$A$2:$A$101,0)))</f>
        <v>Cuttack</v>
      </c>
      <c r="E688" s="7" t="str">
        <f>"+91-"&amp;RIGHT("0000000000"&amp;INDEX(Raw_Customers!$D$2:$D$101,MATCH($B688,Raw_Customers!$A$2:$A$101,0)),10)</f>
        <v>+91-4461213936</v>
      </c>
      <c r="F688" s="7" t="str">
        <f>Raw_Orders!C688</f>
        <v>8</v>
      </c>
      <c r="G688" s="7" t="str">
        <f>INDEX(Raw_Products!$B$2:$B$71,MATCH($F688,Raw_Products!$A$2:$A$71,0))</f>
        <v>Qui Box</v>
      </c>
      <c r="H688" s="7" t="str">
        <f>INDEX(Raw_Products!$C$2:$C$71,MATCH($F688,Raw_Products!$A$2:$A$71,0))</f>
        <v>Sweets</v>
      </c>
      <c r="I688" s="7">
        <f>VALUE(Raw_Orders!D688)</f>
        <v>5</v>
      </c>
      <c r="J688" s="11" t="str">
        <f>INDEX(Raw_Products!$D$2:$D$71,MATCH($F688,Raw_Products!$A$2:$A$71,0))</f>
        <v>252</v>
      </c>
      <c r="K688" s="11">
        <f t="shared" si="20"/>
        <v>1260</v>
      </c>
      <c r="L688" s="12">
        <f>DATE(VALUE(RIGHT(Raw_Orders!E688,4)),VALUE(MID(Raw_Orders!E688,4,2)),VALUE(LEFT(Raw_Orders!E688,2)))</f>
        <v>45000</v>
      </c>
      <c r="M688" s="12">
        <f>DATE(VALUE(RIGHT(Raw_Orders!G688,4)),VALUE(MID(Raw_Orders!G688,4,2)),VALUE(LEFT(Raw_Orders!G688,2)))</f>
        <v>45004</v>
      </c>
      <c r="N688" s="7">
        <f t="shared" si="21"/>
        <v>4</v>
      </c>
      <c r="O688" s="7" t="str">
        <f>Raw_Orders!J688</f>
        <v>Anniversary</v>
      </c>
      <c r="P688" s="7" t="str">
        <f>Raw_Orders!I688</f>
        <v>Raichur</v>
      </c>
    </row>
    <row r="689" spans="1:16">
      <c r="A689" s="7" t="str">
        <f>Raw_Orders!A689</f>
        <v>688</v>
      </c>
      <c r="B689" s="7" t="str">
        <f>Raw_Orders!B689</f>
        <v>C015</v>
      </c>
      <c r="C689" s="7" t="str">
        <f>INDEX(Raw_Customers!$B$2:$B$101,MATCH($B689,Raw_Customers!$A$2:$A$101,0))</f>
        <v>Romil Bajwa</v>
      </c>
      <c r="D689" s="7" t="str">
        <f>TRIM(INDEX(Raw_Customers!$C$2:$C$101,MATCH($B689,Raw_Customers!$A$2:$A$101,0)))</f>
        <v>Kolkata</v>
      </c>
      <c r="E689" s="7" t="str">
        <f>"+91-"&amp;RIGHT("0000000000"&amp;INDEX(Raw_Customers!$D$2:$D$101,MATCH($B689,Raw_Customers!$A$2:$A$101,0)),10)</f>
        <v>+91-8664164910</v>
      </c>
      <c r="F689" s="7" t="str">
        <f>Raw_Orders!C689</f>
        <v>54</v>
      </c>
      <c r="G689" s="7" t="str">
        <f>INDEX(Raw_Products!$B$2:$B$71,MATCH($F689,Raw_Products!$A$2:$A$71,0))</f>
        <v>Occaecati Gift</v>
      </c>
      <c r="H689" s="7" t="str">
        <f>INDEX(Raw_Products!$C$2:$C$71,MATCH($F689,Raw_Products!$A$2:$A$71,0))</f>
        <v>Cake</v>
      </c>
      <c r="I689" s="7">
        <f>VALUE(Raw_Orders!D689)</f>
        <v>2</v>
      </c>
      <c r="J689" s="11" t="str">
        <f>INDEX(Raw_Products!$D$2:$D$71,MATCH($F689,Raw_Products!$A$2:$A$71,0))</f>
        <v>1236</v>
      </c>
      <c r="K689" s="11">
        <f t="shared" si="20"/>
        <v>2472</v>
      </c>
      <c r="L689" s="12">
        <f>DATE(VALUE(RIGHT(Raw_Orders!E689,4)),VALUE(MID(Raw_Orders!E689,4,2)),VALUE(LEFT(Raw_Orders!E689,2)))</f>
        <v>44954</v>
      </c>
      <c r="M689" s="12">
        <f>DATE(VALUE(RIGHT(Raw_Orders!G689,4)),VALUE(MID(Raw_Orders!G689,4,2)),VALUE(LEFT(Raw_Orders!G689,2)))</f>
        <v>44956</v>
      </c>
      <c r="N689" s="7">
        <f t="shared" si="21"/>
        <v>2</v>
      </c>
      <c r="O689" s="7" t="str">
        <f>Raw_Orders!J689</f>
        <v>Anniversary</v>
      </c>
      <c r="P689" s="7" t="str">
        <f>Raw_Orders!I689</f>
        <v>Lucknow</v>
      </c>
    </row>
    <row r="690" spans="1:16">
      <c r="A690" s="7" t="str">
        <f>Raw_Orders!A690</f>
        <v>689</v>
      </c>
      <c r="B690" s="7" t="str">
        <f>Raw_Orders!B690</f>
        <v>C046</v>
      </c>
      <c r="C690" s="7" t="str">
        <f>INDEX(Raw_Customers!$B$2:$B$101,MATCH($B690,Raw_Customers!$A$2:$A$101,0))</f>
        <v>Tara Kannan</v>
      </c>
      <c r="D690" s="7" t="str">
        <f>TRIM(INDEX(Raw_Customers!$C$2:$C$101,MATCH($B690,Raw_Customers!$A$2:$A$101,0)))</f>
        <v>Guna</v>
      </c>
      <c r="E690" s="7" t="str">
        <f>"+91-"&amp;RIGHT("0000000000"&amp;INDEX(Raw_Customers!$D$2:$D$101,MATCH($B690,Raw_Customers!$A$2:$A$101,0)),10)</f>
        <v>+91-7543187237</v>
      </c>
      <c r="F690" s="7" t="str">
        <f>Raw_Orders!C690</f>
        <v>66</v>
      </c>
      <c r="G690" s="7" t="str">
        <f>INDEX(Raw_Products!$B$2:$B$71,MATCH($F690,Raw_Products!$A$2:$A$71,0))</f>
        <v>Quas Box</v>
      </c>
      <c r="H690" s="7" t="str">
        <f>INDEX(Raw_Products!$C$2:$C$71,MATCH($F690,Raw_Products!$A$2:$A$71,0))</f>
        <v>Colors</v>
      </c>
      <c r="I690" s="7">
        <f>VALUE(Raw_Orders!D690)</f>
        <v>4</v>
      </c>
      <c r="J690" s="11" t="str">
        <f>INDEX(Raw_Products!$D$2:$D$71,MATCH($F690,Raw_Products!$A$2:$A$71,0))</f>
        <v>610</v>
      </c>
      <c r="K690" s="11">
        <f t="shared" si="20"/>
        <v>2440</v>
      </c>
      <c r="L690" s="12">
        <f>DATE(VALUE(RIGHT(Raw_Orders!E690,4)),VALUE(MID(Raw_Orders!E690,4,2)),VALUE(LEFT(Raw_Orders!E690,2)))</f>
        <v>44987</v>
      </c>
      <c r="M690" s="12">
        <f>DATE(VALUE(RIGHT(Raw_Orders!G690,4)),VALUE(MID(Raw_Orders!G690,4,2)),VALUE(LEFT(Raw_Orders!G690,2)))</f>
        <v>44992</v>
      </c>
      <c r="N690" s="7">
        <f t="shared" si="21"/>
        <v>5</v>
      </c>
      <c r="O690" s="7" t="str">
        <f>Raw_Orders!J690</f>
        <v>Holi</v>
      </c>
      <c r="P690" s="7" t="str">
        <f>Raw_Orders!I690</f>
        <v>Silchar</v>
      </c>
    </row>
    <row r="691" spans="1:16">
      <c r="A691" s="7" t="str">
        <f>Raw_Orders!A691</f>
        <v>690</v>
      </c>
      <c r="B691" s="7" t="str">
        <f>Raw_Orders!B691</f>
        <v>C083</v>
      </c>
      <c r="C691" s="7" t="str">
        <f>INDEX(Raw_Customers!$B$2:$B$101,MATCH($B691,Raw_Customers!$A$2:$A$101,0))</f>
        <v>Aaryahi Sodhi</v>
      </c>
      <c r="D691" s="7" t="str">
        <f>TRIM(INDEX(Raw_Customers!$C$2:$C$101,MATCH($B691,Raw_Customers!$A$2:$A$101,0)))</f>
        <v>Raurkela Industrial Township</v>
      </c>
      <c r="E691" s="7" t="str">
        <f>"+91-"&amp;RIGHT("0000000000"&amp;INDEX(Raw_Customers!$D$2:$D$101,MATCH($B691,Raw_Customers!$A$2:$A$101,0)),10)</f>
        <v>+91-2690208110</v>
      </c>
      <c r="F691" s="7" t="str">
        <f>Raw_Orders!C691</f>
        <v>48</v>
      </c>
      <c r="G691" s="7" t="str">
        <f>INDEX(Raw_Products!$B$2:$B$71,MATCH($F691,Raw_Products!$A$2:$A$71,0))</f>
        <v>Maiores Gift</v>
      </c>
      <c r="H691" s="7" t="str">
        <f>INDEX(Raw_Products!$C$2:$C$71,MATCH($F691,Raw_Products!$A$2:$A$71,0))</f>
        <v>Colors</v>
      </c>
      <c r="I691" s="7">
        <f>VALUE(Raw_Orders!D691)</f>
        <v>2</v>
      </c>
      <c r="J691" s="11" t="str">
        <f>INDEX(Raw_Products!$D$2:$D$71,MATCH($F691,Raw_Products!$A$2:$A$71,0))</f>
        <v>433</v>
      </c>
      <c r="K691" s="11">
        <f t="shared" si="20"/>
        <v>866</v>
      </c>
      <c r="L691" s="12">
        <f>DATE(VALUE(RIGHT(Raw_Orders!E691,4)),VALUE(MID(Raw_Orders!E691,4,2)),VALUE(LEFT(Raw_Orders!E691,2)))</f>
        <v>45232</v>
      </c>
      <c r="M691" s="12">
        <f>DATE(VALUE(RIGHT(Raw_Orders!G691,4)),VALUE(MID(Raw_Orders!G691,4,2)),VALUE(LEFT(Raw_Orders!G691,2)))</f>
        <v>45235</v>
      </c>
      <c r="N691" s="7">
        <f t="shared" si="21"/>
        <v>3</v>
      </c>
      <c r="O691" s="7" t="str">
        <f>Raw_Orders!J691</f>
        <v>Diwali</v>
      </c>
      <c r="P691" s="7" t="str">
        <f>Raw_Orders!I691</f>
        <v>Jaunpur</v>
      </c>
    </row>
    <row r="692" spans="1:16">
      <c r="A692" s="7" t="str">
        <f>Raw_Orders!A692</f>
        <v>691</v>
      </c>
      <c r="B692" s="7" t="str">
        <f>Raw_Orders!B692</f>
        <v>C002</v>
      </c>
      <c r="C692" s="7" t="str">
        <f>INDEX(Raw_Customers!$B$2:$B$101,MATCH($B692,Raw_Customers!$A$2:$A$101,0))</f>
        <v>Myra Edwin</v>
      </c>
      <c r="D692" s="7" t="str">
        <f>TRIM(INDEX(Raw_Customers!$C$2:$C$101,MATCH($B692,Raw_Customers!$A$2:$A$101,0)))</f>
        <v>Bulandshahr</v>
      </c>
      <c r="E692" s="7" t="str">
        <f>"+91-"&amp;RIGHT("0000000000"&amp;INDEX(Raw_Customers!$D$2:$D$101,MATCH($B692,Raw_Customers!$A$2:$A$101,0)),10)</f>
        <v>+91-8915420519</v>
      </c>
      <c r="F692" s="7" t="str">
        <f>Raw_Orders!C692</f>
        <v>48</v>
      </c>
      <c r="G692" s="7" t="str">
        <f>INDEX(Raw_Products!$B$2:$B$71,MATCH($F692,Raw_Products!$A$2:$A$71,0))</f>
        <v>Maiores Gift</v>
      </c>
      <c r="H692" s="7" t="str">
        <f>INDEX(Raw_Products!$C$2:$C$71,MATCH($F692,Raw_Products!$A$2:$A$71,0))</f>
        <v>Colors</v>
      </c>
      <c r="I692" s="7">
        <f>VALUE(Raw_Orders!D692)</f>
        <v>5</v>
      </c>
      <c r="J692" s="11" t="str">
        <f>INDEX(Raw_Products!$D$2:$D$71,MATCH($F692,Raw_Products!$A$2:$A$71,0))</f>
        <v>433</v>
      </c>
      <c r="K692" s="11">
        <f t="shared" si="20"/>
        <v>2165</v>
      </c>
      <c r="L692" s="12">
        <f>DATE(VALUE(RIGHT(Raw_Orders!E692,4)),VALUE(MID(Raw_Orders!E692,4,2)),VALUE(LEFT(Raw_Orders!E692,2)))</f>
        <v>45236</v>
      </c>
      <c r="M692" s="12">
        <f>DATE(VALUE(RIGHT(Raw_Orders!G692,4)),VALUE(MID(Raw_Orders!G692,4,2)),VALUE(LEFT(Raw_Orders!G692,2)))</f>
        <v>45240</v>
      </c>
      <c r="N692" s="7">
        <f t="shared" si="21"/>
        <v>4</v>
      </c>
      <c r="O692" s="7" t="str">
        <f>Raw_Orders!J692</f>
        <v>Diwali</v>
      </c>
      <c r="P692" s="7" t="str">
        <f>Raw_Orders!I692</f>
        <v>Naihati</v>
      </c>
    </row>
    <row r="693" spans="1:16">
      <c r="A693" s="7" t="str">
        <f>Raw_Orders!A693</f>
        <v>692</v>
      </c>
      <c r="B693" s="7" t="str">
        <f>Raw_Orders!B693</f>
        <v>C035</v>
      </c>
      <c r="C693" s="7" t="str">
        <f>INDEX(Raw_Customers!$B$2:$B$101,MATCH($B693,Raw_Customers!$A$2:$A$101,0))</f>
        <v>Ira Sarna</v>
      </c>
      <c r="D693" s="7" t="str">
        <f>TRIM(INDEX(Raw_Customers!$C$2:$C$101,MATCH($B693,Raw_Customers!$A$2:$A$101,0)))</f>
        <v>Vellore</v>
      </c>
      <c r="E693" s="7" t="str">
        <f>"+91-"&amp;RIGHT("0000000000"&amp;INDEX(Raw_Customers!$D$2:$D$101,MATCH($B693,Raw_Customers!$A$2:$A$101,0)),10)</f>
        <v>+91-6899648374</v>
      </c>
      <c r="F693" s="7" t="str">
        <f>Raw_Orders!C693</f>
        <v>15</v>
      </c>
      <c r="G693" s="7" t="str">
        <f>INDEX(Raw_Products!$B$2:$B$71,MATCH($F693,Raw_Products!$A$2:$A$71,0))</f>
        <v>Repudiandae Box</v>
      </c>
      <c r="H693" s="7" t="str">
        <f>INDEX(Raw_Products!$C$2:$C$71,MATCH($F693,Raw_Products!$A$2:$A$71,0))</f>
        <v>Raksha Bandhan</v>
      </c>
      <c r="I693" s="7">
        <f>VALUE(Raw_Orders!D693)</f>
        <v>2</v>
      </c>
      <c r="J693" s="11" t="str">
        <f>INDEX(Raw_Products!$D$2:$D$71,MATCH($F693,Raw_Products!$A$2:$A$71,0))</f>
        <v>1488</v>
      </c>
      <c r="K693" s="11">
        <f t="shared" si="20"/>
        <v>2976</v>
      </c>
      <c r="L693" s="12">
        <f>DATE(VALUE(RIGHT(Raw_Orders!E693,4)),VALUE(MID(Raw_Orders!E693,4,2)),VALUE(LEFT(Raw_Orders!E693,2)))</f>
        <v>45149</v>
      </c>
      <c r="M693" s="12">
        <f>DATE(VALUE(RIGHT(Raw_Orders!G693,4)),VALUE(MID(Raw_Orders!G693,4,2)),VALUE(LEFT(Raw_Orders!G693,2)))</f>
        <v>45156</v>
      </c>
      <c r="N693" s="7">
        <f t="shared" si="21"/>
        <v>7</v>
      </c>
      <c r="O693" s="7" t="str">
        <f>Raw_Orders!J693</f>
        <v>Anniversary</v>
      </c>
      <c r="P693" s="7" t="str">
        <f>Raw_Orders!I693</f>
        <v>Tiruppur</v>
      </c>
    </row>
    <row r="694" spans="1:16">
      <c r="A694" s="7" t="str">
        <f>Raw_Orders!A694</f>
        <v>693</v>
      </c>
      <c r="B694" s="7" t="str">
        <f>Raw_Orders!B694</f>
        <v>C041</v>
      </c>
      <c r="C694" s="7" t="str">
        <f>INDEX(Raw_Customers!$B$2:$B$101,MATCH($B694,Raw_Customers!$A$2:$A$101,0))</f>
        <v>Rati Dhingra</v>
      </c>
      <c r="D694" s="7" t="str">
        <f>TRIM(INDEX(Raw_Customers!$C$2:$C$101,MATCH($B694,Raw_Customers!$A$2:$A$101,0)))</f>
        <v>Karaikudi</v>
      </c>
      <c r="E694" s="7" t="str">
        <f>"+91-"&amp;RIGHT("0000000000"&amp;INDEX(Raw_Customers!$D$2:$D$101,MATCH($B694,Raw_Customers!$A$2:$A$101,0)),10)</f>
        <v>+91-0625408216</v>
      </c>
      <c r="F694" s="7" t="str">
        <f>Raw_Orders!C694</f>
        <v>4</v>
      </c>
      <c r="G694" s="7" t="str">
        <f>INDEX(Raw_Products!$B$2:$B$71,MATCH($F694,Raw_Products!$A$2:$A$71,0))</f>
        <v>Accusantium Set</v>
      </c>
      <c r="H694" s="7" t="str">
        <f>INDEX(Raw_Products!$C$2:$C$71,MATCH($F694,Raw_Products!$A$2:$A$71,0))</f>
        <v>Sweets</v>
      </c>
      <c r="I694" s="7">
        <f>VALUE(Raw_Orders!D694)</f>
        <v>5</v>
      </c>
      <c r="J694" s="11" t="str">
        <f>INDEX(Raw_Products!$D$2:$D$71,MATCH($F694,Raw_Products!$A$2:$A$71,0))</f>
        <v>1199</v>
      </c>
      <c r="K694" s="11">
        <f t="shared" si="20"/>
        <v>5995</v>
      </c>
      <c r="L694" s="12">
        <f>DATE(VALUE(RIGHT(Raw_Orders!E694,4)),VALUE(MID(Raw_Orders!E694,4,2)),VALUE(LEFT(Raw_Orders!E694,2)))</f>
        <v>45234</v>
      </c>
      <c r="M694" s="12">
        <f>DATE(VALUE(RIGHT(Raw_Orders!G694,4)),VALUE(MID(Raw_Orders!G694,4,2)),VALUE(LEFT(Raw_Orders!G694,2)))</f>
        <v>45237</v>
      </c>
      <c r="N694" s="7">
        <f t="shared" si="21"/>
        <v>3</v>
      </c>
      <c r="O694" s="7" t="str">
        <f>Raw_Orders!J694</f>
        <v>Diwali</v>
      </c>
      <c r="P694" s="7" t="str">
        <f>Raw_Orders!I694</f>
        <v>Ghaziabad</v>
      </c>
    </row>
    <row r="695" spans="1:16">
      <c r="A695" s="7" t="str">
        <f>Raw_Orders!A695</f>
        <v>694</v>
      </c>
      <c r="B695" s="7" t="str">
        <f>Raw_Orders!B695</f>
        <v>C018</v>
      </c>
      <c r="C695" s="7" t="str">
        <f>INDEX(Raw_Customers!$B$2:$B$101,MATCH($B695,Raw_Customers!$A$2:$A$101,0))</f>
        <v>Eva Vaidya</v>
      </c>
      <c r="D695" s="7" t="str">
        <f>TRIM(INDEX(Raw_Customers!$C$2:$C$101,MATCH($B695,Raw_Customers!$A$2:$A$101,0)))</f>
        <v>Nizamabad</v>
      </c>
      <c r="E695" s="7" t="str">
        <f>"+91-"&amp;RIGHT("0000000000"&amp;INDEX(Raw_Customers!$D$2:$D$101,MATCH($B695,Raw_Customers!$A$2:$A$101,0)),10)</f>
        <v>+91-9080029661</v>
      </c>
      <c r="F695" s="7" t="str">
        <f>Raw_Orders!C695</f>
        <v>23</v>
      </c>
      <c r="G695" s="7" t="str">
        <f>INDEX(Raw_Products!$B$2:$B$71,MATCH($F695,Raw_Products!$A$2:$A$71,0))</f>
        <v>Dignissimos Pack</v>
      </c>
      <c r="H695" s="7" t="str">
        <f>INDEX(Raw_Products!$C$2:$C$71,MATCH($F695,Raw_Products!$A$2:$A$71,0))</f>
        <v>Sweets</v>
      </c>
      <c r="I695" s="7">
        <f>VALUE(Raw_Orders!D695)</f>
        <v>2</v>
      </c>
      <c r="J695" s="11" t="str">
        <f>INDEX(Raw_Products!$D$2:$D$71,MATCH($F695,Raw_Products!$A$2:$A$71,0))</f>
        <v>1098</v>
      </c>
      <c r="K695" s="11">
        <f t="shared" si="20"/>
        <v>2196</v>
      </c>
      <c r="L695" s="12">
        <f>DATE(VALUE(RIGHT(Raw_Orders!E695,4)),VALUE(MID(Raw_Orders!E695,4,2)),VALUE(LEFT(Raw_Orders!E695,2)))</f>
        <v>45031</v>
      </c>
      <c r="M695" s="12">
        <f>DATE(VALUE(RIGHT(Raw_Orders!G695,4)),VALUE(MID(Raw_Orders!G695,4,2)),VALUE(LEFT(Raw_Orders!G695,2)))</f>
        <v>45037</v>
      </c>
      <c r="N695" s="7">
        <f t="shared" si="21"/>
        <v>6</v>
      </c>
      <c r="O695" s="7" t="str">
        <f>Raw_Orders!J695</f>
        <v>Anniversary</v>
      </c>
      <c r="P695" s="7" t="str">
        <f>Raw_Orders!I695</f>
        <v>Kozhikode</v>
      </c>
    </row>
    <row r="696" spans="1:16">
      <c r="A696" s="7" t="str">
        <f>Raw_Orders!A696</f>
        <v>695</v>
      </c>
      <c r="B696" s="7" t="str">
        <f>Raw_Orders!B696</f>
        <v>C046</v>
      </c>
      <c r="C696" s="7" t="str">
        <f>INDEX(Raw_Customers!$B$2:$B$101,MATCH($B696,Raw_Customers!$A$2:$A$101,0))</f>
        <v>Tara Kannan</v>
      </c>
      <c r="D696" s="7" t="str">
        <f>TRIM(INDEX(Raw_Customers!$C$2:$C$101,MATCH($B696,Raw_Customers!$A$2:$A$101,0)))</f>
        <v>Guna</v>
      </c>
      <c r="E696" s="7" t="str">
        <f>"+91-"&amp;RIGHT("0000000000"&amp;INDEX(Raw_Customers!$D$2:$D$101,MATCH($B696,Raw_Customers!$A$2:$A$101,0)),10)</f>
        <v>+91-7543187237</v>
      </c>
      <c r="F696" s="7" t="str">
        <f>Raw_Orders!C696</f>
        <v>23</v>
      </c>
      <c r="G696" s="7" t="str">
        <f>INDEX(Raw_Products!$B$2:$B$71,MATCH($F696,Raw_Products!$A$2:$A$71,0))</f>
        <v>Dignissimos Pack</v>
      </c>
      <c r="H696" s="7" t="str">
        <f>INDEX(Raw_Products!$C$2:$C$71,MATCH($F696,Raw_Products!$A$2:$A$71,0))</f>
        <v>Sweets</v>
      </c>
      <c r="I696" s="7">
        <f>VALUE(Raw_Orders!D696)</f>
        <v>4</v>
      </c>
      <c r="J696" s="11" t="str">
        <f>INDEX(Raw_Products!$D$2:$D$71,MATCH($F696,Raw_Products!$A$2:$A$71,0))</f>
        <v>1098</v>
      </c>
      <c r="K696" s="11">
        <f t="shared" si="20"/>
        <v>4392</v>
      </c>
      <c r="L696" s="12">
        <f>DATE(VALUE(RIGHT(Raw_Orders!E696,4)),VALUE(MID(Raw_Orders!E696,4,2)),VALUE(LEFT(Raw_Orders!E696,2)))</f>
        <v>44990</v>
      </c>
      <c r="M696" s="12">
        <f>DATE(VALUE(RIGHT(Raw_Orders!G696,4)),VALUE(MID(Raw_Orders!G696,4,2)),VALUE(LEFT(Raw_Orders!G696,2)))</f>
        <v>44999</v>
      </c>
      <c r="N696" s="7">
        <f t="shared" si="21"/>
        <v>9</v>
      </c>
      <c r="O696" s="7" t="str">
        <f>Raw_Orders!J696</f>
        <v>Anniversary</v>
      </c>
      <c r="P696" s="7" t="str">
        <f>Raw_Orders!I696</f>
        <v>Imphal</v>
      </c>
    </row>
    <row r="697" spans="1:16">
      <c r="A697" s="7" t="str">
        <f>Raw_Orders!A697</f>
        <v>696</v>
      </c>
      <c r="B697" s="7" t="str">
        <f>Raw_Orders!B697</f>
        <v>C046</v>
      </c>
      <c r="C697" s="7" t="str">
        <f>INDEX(Raw_Customers!$B$2:$B$101,MATCH($B697,Raw_Customers!$A$2:$A$101,0))</f>
        <v>Tara Kannan</v>
      </c>
      <c r="D697" s="7" t="str">
        <f>TRIM(INDEX(Raw_Customers!$C$2:$C$101,MATCH($B697,Raw_Customers!$A$2:$A$101,0)))</f>
        <v>Guna</v>
      </c>
      <c r="E697" s="7" t="str">
        <f>"+91-"&amp;RIGHT("0000000000"&amp;INDEX(Raw_Customers!$D$2:$D$101,MATCH($B697,Raw_Customers!$A$2:$A$101,0)),10)</f>
        <v>+91-7543187237</v>
      </c>
      <c r="F697" s="7" t="str">
        <f>Raw_Orders!C697</f>
        <v>13</v>
      </c>
      <c r="G697" s="7" t="str">
        <f>INDEX(Raw_Products!$B$2:$B$71,MATCH($F697,Raw_Products!$A$2:$A$71,0))</f>
        <v>Et Set</v>
      </c>
      <c r="H697" s="7" t="str">
        <f>INDEX(Raw_Products!$C$2:$C$71,MATCH($F697,Raw_Products!$A$2:$A$71,0))</f>
        <v>Mugs</v>
      </c>
      <c r="I697" s="7">
        <f>VALUE(Raw_Orders!D697)</f>
        <v>3</v>
      </c>
      <c r="J697" s="11" t="str">
        <f>INDEX(Raw_Products!$D$2:$D$71,MATCH($F697,Raw_Products!$A$2:$A$71,0))</f>
        <v>1141</v>
      </c>
      <c r="K697" s="11">
        <f t="shared" si="20"/>
        <v>3423</v>
      </c>
      <c r="L697" s="12">
        <f>DATE(VALUE(RIGHT(Raw_Orders!E697,4)),VALUE(MID(Raw_Orders!E697,4,2)),VALUE(LEFT(Raw_Orders!E697,2)))</f>
        <v>44992</v>
      </c>
      <c r="M697" s="12">
        <f>DATE(VALUE(RIGHT(Raw_Orders!G697,4)),VALUE(MID(Raw_Orders!G697,4,2)),VALUE(LEFT(Raw_Orders!G697,2)))</f>
        <v>44999</v>
      </c>
      <c r="N697" s="7">
        <f t="shared" si="21"/>
        <v>7</v>
      </c>
      <c r="O697" s="7" t="str">
        <f>Raw_Orders!J697</f>
        <v>Holi</v>
      </c>
      <c r="P697" s="7" t="str">
        <f>Raw_Orders!I697</f>
        <v>Rajpur Sonarpur</v>
      </c>
    </row>
    <row r="698" spans="1:16">
      <c r="A698" s="7" t="str">
        <f>Raw_Orders!A698</f>
        <v>697</v>
      </c>
      <c r="B698" s="7" t="str">
        <f>Raw_Orders!B698</f>
        <v>C026</v>
      </c>
      <c r="C698" s="7" t="str">
        <f>INDEX(Raw_Customers!$B$2:$B$101,MATCH($B698,Raw_Customers!$A$2:$A$101,0))</f>
        <v>Ira Chahal</v>
      </c>
      <c r="D698" s="7" t="str">
        <f>TRIM(INDEX(Raw_Customers!$C$2:$C$101,MATCH($B698,Raw_Customers!$A$2:$A$101,0)))</f>
        <v>Farrukhabad</v>
      </c>
      <c r="E698" s="7" t="str">
        <f>"+91-"&amp;RIGHT("0000000000"&amp;INDEX(Raw_Customers!$D$2:$D$101,MATCH($B698,Raw_Customers!$A$2:$A$101,0)),10)</f>
        <v>+91-8716483532</v>
      </c>
      <c r="F698" s="7" t="str">
        <f>Raw_Orders!C698</f>
        <v>66</v>
      </c>
      <c r="G698" s="7" t="str">
        <f>INDEX(Raw_Products!$B$2:$B$71,MATCH($F698,Raw_Products!$A$2:$A$71,0))</f>
        <v>Quas Box</v>
      </c>
      <c r="H698" s="7" t="str">
        <f>INDEX(Raw_Products!$C$2:$C$71,MATCH($F698,Raw_Products!$A$2:$A$71,0))</f>
        <v>Colors</v>
      </c>
      <c r="I698" s="7">
        <f>VALUE(Raw_Orders!D698)</f>
        <v>1</v>
      </c>
      <c r="J698" s="11" t="str">
        <f>INDEX(Raw_Products!$D$2:$D$71,MATCH($F698,Raw_Products!$A$2:$A$71,0))</f>
        <v>610</v>
      </c>
      <c r="K698" s="11">
        <f t="shared" si="20"/>
        <v>610</v>
      </c>
      <c r="L698" s="12">
        <f>DATE(VALUE(RIGHT(Raw_Orders!E698,4)),VALUE(MID(Raw_Orders!E698,4,2)),VALUE(LEFT(Raw_Orders!E698,2)))</f>
        <v>44988</v>
      </c>
      <c r="M698" s="12">
        <f>DATE(VALUE(RIGHT(Raw_Orders!G698,4)),VALUE(MID(Raw_Orders!G698,4,2)),VALUE(LEFT(Raw_Orders!G698,2)))</f>
        <v>44992</v>
      </c>
      <c r="N698" s="7">
        <f t="shared" si="21"/>
        <v>4</v>
      </c>
      <c r="O698" s="7" t="str">
        <f>Raw_Orders!J698</f>
        <v>Holi</v>
      </c>
      <c r="P698" s="7" t="str">
        <f>Raw_Orders!I698</f>
        <v>Ichalkaranji</v>
      </c>
    </row>
    <row r="699" spans="1:16">
      <c r="A699" s="7" t="str">
        <f>Raw_Orders!A699</f>
        <v>698</v>
      </c>
      <c r="B699" s="7" t="str">
        <f>Raw_Orders!B699</f>
        <v>C060</v>
      </c>
      <c r="C699" s="7" t="str">
        <f>INDEX(Raw_Customers!$B$2:$B$101,MATCH($B699,Raw_Customers!$A$2:$A$101,0))</f>
        <v>Riya Wagle</v>
      </c>
      <c r="D699" s="7" t="str">
        <f>TRIM(INDEX(Raw_Customers!$C$2:$C$101,MATCH($B699,Raw_Customers!$A$2:$A$101,0)))</f>
        <v>Satara</v>
      </c>
      <c r="E699" s="7" t="str">
        <f>"+91-"&amp;RIGHT("0000000000"&amp;INDEX(Raw_Customers!$D$2:$D$101,MATCH($B699,Raw_Customers!$A$2:$A$101,0)),10)</f>
        <v>+91-0214103009</v>
      </c>
      <c r="F699" s="7" t="str">
        <f>Raw_Orders!C699</f>
        <v>64</v>
      </c>
      <c r="G699" s="7" t="str">
        <f>INDEX(Raw_Products!$B$2:$B$71,MATCH($F699,Raw_Products!$A$2:$A$71,0))</f>
        <v>Nostrum Box</v>
      </c>
      <c r="H699" s="7" t="str">
        <f>INDEX(Raw_Products!$C$2:$C$71,MATCH($F699,Raw_Products!$A$2:$A$71,0))</f>
        <v>Soft Toys</v>
      </c>
      <c r="I699" s="7">
        <f>VALUE(Raw_Orders!D699)</f>
        <v>3</v>
      </c>
      <c r="J699" s="11" t="str">
        <f>INDEX(Raw_Products!$D$2:$D$71,MATCH($F699,Raw_Products!$A$2:$A$71,0))</f>
        <v>1878</v>
      </c>
      <c r="K699" s="11">
        <f t="shared" si="20"/>
        <v>5634</v>
      </c>
      <c r="L699" s="12">
        <f>DATE(VALUE(RIGHT(Raw_Orders!E699,4)),VALUE(MID(Raw_Orders!E699,4,2)),VALUE(LEFT(Raw_Orders!E699,2)))</f>
        <v>45167</v>
      </c>
      <c r="M699" s="12">
        <f>DATE(VALUE(RIGHT(Raw_Orders!G699,4)),VALUE(MID(Raw_Orders!G699,4,2)),VALUE(LEFT(Raw_Orders!G699,2)))</f>
        <v>45175</v>
      </c>
      <c r="N699" s="7">
        <f t="shared" si="21"/>
        <v>8</v>
      </c>
      <c r="O699" s="7" t="str">
        <f>Raw_Orders!J699</f>
        <v>Raksha Bandhan</v>
      </c>
      <c r="P699" s="7" t="str">
        <f>Raw_Orders!I699</f>
        <v>Ozhukarai</v>
      </c>
    </row>
    <row r="700" spans="1:16">
      <c r="A700" s="7" t="str">
        <f>Raw_Orders!A700</f>
        <v>699</v>
      </c>
      <c r="B700" s="7" t="str">
        <f>Raw_Orders!B700</f>
        <v>C011</v>
      </c>
      <c r="C700" s="7" t="str">
        <f>INDEX(Raw_Customers!$B$2:$B$101,MATCH($B700,Raw_Customers!$A$2:$A$101,0))</f>
        <v>Lagan Kapoor</v>
      </c>
      <c r="D700" s="7" t="str">
        <f>TRIM(INDEX(Raw_Customers!$C$2:$C$101,MATCH($B700,Raw_Customers!$A$2:$A$101,0)))</f>
        <v>Orai</v>
      </c>
      <c r="E700" s="7" t="str">
        <f>"+91-"&amp;RIGHT("0000000000"&amp;INDEX(Raw_Customers!$D$2:$D$101,MATCH($B700,Raw_Customers!$A$2:$A$101,0)),10)</f>
        <v>+91-6173563562</v>
      </c>
      <c r="F700" s="7" t="str">
        <f>Raw_Orders!C700</f>
        <v>1</v>
      </c>
      <c r="G700" s="7" t="str">
        <f>INDEX(Raw_Products!$B$2:$B$71,MATCH($F700,Raw_Products!$A$2:$A$71,0))</f>
        <v>Magnam Set</v>
      </c>
      <c r="H700" s="7" t="str">
        <f>INDEX(Raw_Products!$C$2:$C$71,MATCH($F700,Raw_Products!$A$2:$A$71,0))</f>
        <v>Soft Toys</v>
      </c>
      <c r="I700" s="7">
        <f>VALUE(Raw_Orders!D700)</f>
        <v>4</v>
      </c>
      <c r="J700" s="11" t="str">
        <f>INDEX(Raw_Products!$D$2:$D$71,MATCH($F700,Raw_Products!$A$2:$A$71,0))</f>
        <v>1935</v>
      </c>
      <c r="K700" s="11">
        <f t="shared" si="20"/>
        <v>7740</v>
      </c>
      <c r="L700" s="12">
        <f>DATE(VALUE(RIGHT(Raw_Orders!E700,4)),VALUE(MID(Raw_Orders!E700,4,2)),VALUE(LEFT(Raw_Orders!E700,2)))</f>
        <v>45079</v>
      </c>
      <c r="M700" s="12">
        <f>DATE(VALUE(RIGHT(Raw_Orders!G700,4)),VALUE(MID(Raw_Orders!G700,4,2)),VALUE(LEFT(Raw_Orders!G700,2)))</f>
        <v>45086</v>
      </c>
      <c r="N700" s="7">
        <f t="shared" si="21"/>
        <v>7</v>
      </c>
      <c r="O700" s="7" t="str">
        <f>Raw_Orders!J700</f>
        <v>All Occasions</v>
      </c>
      <c r="P700" s="7" t="str">
        <f>Raw_Orders!I700</f>
        <v>Chittoor</v>
      </c>
    </row>
    <row r="701" spans="1:16">
      <c r="A701" s="7" t="str">
        <f>Raw_Orders!A701</f>
        <v>700</v>
      </c>
      <c r="B701" s="7" t="str">
        <f>Raw_Orders!B701</f>
        <v>C006</v>
      </c>
      <c r="C701" s="7" t="str">
        <f>INDEX(Raw_Customers!$B$2:$B$101,MATCH($B701,Raw_Customers!$A$2:$A$101,0))</f>
        <v>Rania Mann</v>
      </c>
      <c r="D701" s="7" t="str">
        <f>TRIM(INDEX(Raw_Customers!$C$2:$C$101,MATCH($B701,Raw_Customers!$A$2:$A$101,0)))</f>
        <v>Karimnagar</v>
      </c>
      <c r="E701" s="7" t="str">
        <f>"+91-"&amp;RIGHT("0000000000"&amp;INDEX(Raw_Customers!$D$2:$D$101,MATCH($B701,Raw_Customers!$A$2:$A$101,0)),10)</f>
        <v>+91-9363577179</v>
      </c>
      <c r="F701" s="7" t="str">
        <f>Raw_Orders!C701</f>
        <v>6</v>
      </c>
      <c r="G701" s="7" t="str">
        <f>INDEX(Raw_Products!$B$2:$B$71,MATCH($F701,Raw_Products!$A$2:$A$71,0))</f>
        <v>Quos Box</v>
      </c>
      <c r="H701" s="7" t="str">
        <f>INDEX(Raw_Products!$C$2:$C$71,MATCH($F701,Raw_Products!$A$2:$A$71,0))</f>
        <v>Cake</v>
      </c>
      <c r="I701" s="7">
        <f>VALUE(Raw_Orders!D701)</f>
        <v>1</v>
      </c>
      <c r="J701" s="11" t="str">
        <f>INDEX(Raw_Products!$D$2:$D$71,MATCH($F701,Raw_Products!$A$2:$A$71,0))</f>
        <v>1112</v>
      </c>
      <c r="K701" s="11">
        <f t="shared" si="20"/>
        <v>1112</v>
      </c>
      <c r="L701" s="12">
        <f>DATE(VALUE(RIGHT(Raw_Orders!E701,4)),VALUE(MID(Raw_Orders!E701,4,2)),VALUE(LEFT(Raw_Orders!E701,2)))</f>
        <v>44989</v>
      </c>
      <c r="M701" s="12">
        <f>DATE(VALUE(RIGHT(Raw_Orders!G701,4)),VALUE(MID(Raw_Orders!G701,4,2)),VALUE(LEFT(Raw_Orders!G701,2)))</f>
        <v>44994</v>
      </c>
      <c r="N701" s="7">
        <f t="shared" si="21"/>
        <v>5</v>
      </c>
      <c r="O701" s="7" t="str">
        <f>Raw_Orders!J701</f>
        <v>Holi</v>
      </c>
      <c r="P701" s="7" t="str">
        <f>Raw_Orders!I701</f>
        <v>Gwalior</v>
      </c>
    </row>
    <row r="702" spans="1:16">
      <c r="A702" s="7" t="str">
        <f>Raw_Orders!A702</f>
        <v>701</v>
      </c>
      <c r="B702" s="7" t="str">
        <f>Raw_Orders!B702</f>
        <v>C080</v>
      </c>
      <c r="C702" s="7" t="str">
        <f>INDEX(Raw_Customers!$B$2:$B$101,MATCH($B702,Raw_Customers!$A$2:$A$101,0))</f>
        <v>Mohanlal Garde</v>
      </c>
      <c r="D702" s="7" t="str">
        <f>TRIM(INDEX(Raw_Customers!$C$2:$C$101,MATCH($B702,Raw_Customers!$A$2:$A$101,0)))</f>
        <v>Bhopal</v>
      </c>
      <c r="E702" s="7" t="str">
        <f>"+91-"&amp;RIGHT("0000000000"&amp;INDEX(Raw_Customers!$D$2:$D$101,MATCH($B702,Raw_Customers!$A$2:$A$101,0)),10)</f>
        <v>+91-8448890371</v>
      </c>
      <c r="F702" s="7" t="str">
        <f>Raw_Orders!C702</f>
        <v>41</v>
      </c>
      <c r="G702" s="7" t="str">
        <f>INDEX(Raw_Products!$B$2:$B$71,MATCH($F702,Raw_Products!$A$2:$A$71,0))</f>
        <v>Aut Box</v>
      </c>
      <c r="H702" s="7" t="str">
        <f>INDEX(Raw_Products!$C$2:$C$71,MATCH($F702,Raw_Products!$A$2:$A$71,0))</f>
        <v>Sweets</v>
      </c>
      <c r="I702" s="7">
        <f>VALUE(Raw_Orders!D702)</f>
        <v>5</v>
      </c>
      <c r="J702" s="11" t="str">
        <f>INDEX(Raw_Products!$D$2:$D$71,MATCH($F702,Raw_Products!$A$2:$A$71,0))</f>
        <v>1977</v>
      </c>
      <c r="K702" s="11">
        <f t="shared" si="20"/>
        <v>9885</v>
      </c>
      <c r="L702" s="12">
        <f>DATE(VALUE(RIGHT(Raw_Orders!E702,4)),VALUE(MID(Raw_Orders!E702,4,2)),VALUE(LEFT(Raw_Orders!E702,2)))</f>
        <v>45237</v>
      </c>
      <c r="M702" s="12">
        <f>DATE(VALUE(RIGHT(Raw_Orders!G702,4)),VALUE(MID(Raw_Orders!G702,4,2)),VALUE(LEFT(Raw_Orders!G702,2)))</f>
        <v>45241</v>
      </c>
      <c r="N702" s="7">
        <f t="shared" si="21"/>
        <v>4</v>
      </c>
      <c r="O702" s="7" t="str">
        <f>Raw_Orders!J702</f>
        <v>Diwali</v>
      </c>
      <c r="P702" s="7" t="str">
        <f>Raw_Orders!I702</f>
        <v>Tezpur</v>
      </c>
    </row>
    <row r="703" spans="1:16">
      <c r="A703" s="7" t="str">
        <f>Raw_Orders!A703</f>
        <v>702</v>
      </c>
      <c r="B703" s="7" t="str">
        <f>Raw_Orders!B703</f>
        <v>C067</v>
      </c>
      <c r="C703" s="7" t="str">
        <f>INDEX(Raw_Customers!$B$2:$B$101,MATCH($B703,Raw_Customers!$A$2:$A$101,0))</f>
        <v>Eva Sankaran</v>
      </c>
      <c r="D703" s="7" t="str">
        <f>TRIM(INDEX(Raw_Customers!$C$2:$C$101,MATCH($B703,Raw_Customers!$A$2:$A$101,0)))</f>
        <v>Anand</v>
      </c>
      <c r="E703" s="7" t="str">
        <f>"+91-"&amp;RIGHT("0000000000"&amp;INDEX(Raw_Customers!$D$2:$D$101,MATCH($B703,Raw_Customers!$A$2:$A$101,0)),10)</f>
        <v>+91-0407409251</v>
      </c>
      <c r="F703" s="7" t="str">
        <f>Raw_Orders!C703</f>
        <v>60</v>
      </c>
      <c r="G703" s="7" t="str">
        <f>INDEX(Raw_Products!$B$2:$B$71,MATCH($F703,Raw_Products!$A$2:$A$71,0))</f>
        <v>Ea Set</v>
      </c>
      <c r="H703" s="7" t="str">
        <f>INDEX(Raw_Products!$C$2:$C$71,MATCH($F703,Raw_Products!$A$2:$A$71,0))</f>
        <v>Sweets</v>
      </c>
      <c r="I703" s="7">
        <f>VALUE(Raw_Orders!D703)</f>
        <v>1</v>
      </c>
      <c r="J703" s="11" t="str">
        <f>INDEX(Raw_Products!$D$2:$D$71,MATCH($F703,Raw_Products!$A$2:$A$71,0))</f>
        <v>827</v>
      </c>
      <c r="K703" s="11">
        <f t="shared" si="20"/>
        <v>827</v>
      </c>
      <c r="L703" s="12">
        <f>DATE(VALUE(RIGHT(Raw_Orders!E703,4)),VALUE(MID(Raw_Orders!E703,4,2)),VALUE(LEFT(Raw_Orders!E703,2)))</f>
        <v>45240</v>
      </c>
      <c r="M703" s="12">
        <f>DATE(VALUE(RIGHT(Raw_Orders!G703,4)),VALUE(MID(Raw_Orders!G703,4,2)),VALUE(LEFT(Raw_Orders!G703,2)))</f>
        <v>45248</v>
      </c>
      <c r="N703" s="7">
        <f t="shared" si="21"/>
        <v>8</v>
      </c>
      <c r="O703" s="7" t="str">
        <f>Raw_Orders!J703</f>
        <v>Diwali</v>
      </c>
      <c r="P703" s="7" t="str">
        <f>Raw_Orders!I703</f>
        <v>Giridih</v>
      </c>
    </row>
    <row r="704" spans="1:16">
      <c r="A704" s="7" t="str">
        <f>Raw_Orders!A704</f>
        <v>703</v>
      </c>
      <c r="B704" s="7" t="str">
        <f>Raw_Orders!B704</f>
        <v>C070</v>
      </c>
      <c r="C704" s="7" t="str">
        <f>INDEX(Raw_Customers!$B$2:$B$101,MATCH($B704,Raw_Customers!$A$2:$A$101,0))</f>
        <v>Emir Gokhale</v>
      </c>
      <c r="D704" s="7" t="str">
        <f>TRIM(INDEX(Raw_Customers!$C$2:$C$101,MATCH($B704,Raw_Customers!$A$2:$A$101,0)))</f>
        <v>Bhatpara</v>
      </c>
      <c r="E704" s="7" t="str">
        <f>"+91-"&amp;RIGHT("0000000000"&amp;INDEX(Raw_Customers!$D$2:$D$101,MATCH($B704,Raw_Customers!$A$2:$A$101,0)),10)</f>
        <v>+91-3859920805</v>
      </c>
      <c r="F704" s="7" t="str">
        <f>Raw_Orders!C704</f>
        <v>53</v>
      </c>
      <c r="G704" s="7" t="str">
        <f>INDEX(Raw_Products!$B$2:$B$71,MATCH($F704,Raw_Products!$A$2:$A$71,0))</f>
        <v>Ipsam Set</v>
      </c>
      <c r="H704" s="7" t="str">
        <f>INDEX(Raw_Products!$C$2:$C$71,MATCH($F704,Raw_Products!$A$2:$A$71,0))</f>
        <v>Sweets</v>
      </c>
      <c r="I704" s="7">
        <f>VALUE(Raw_Orders!D704)</f>
        <v>4</v>
      </c>
      <c r="J704" s="11" t="str">
        <f>INDEX(Raw_Products!$D$2:$D$71,MATCH($F704,Raw_Products!$A$2:$A$71,0))</f>
        <v>1672</v>
      </c>
      <c r="K704" s="11">
        <f t="shared" si="20"/>
        <v>6688</v>
      </c>
      <c r="L704" s="12">
        <f>DATE(VALUE(RIGHT(Raw_Orders!E704,4)),VALUE(MID(Raw_Orders!E704,4,2)),VALUE(LEFT(Raw_Orders!E704,2)))</f>
        <v>45161</v>
      </c>
      <c r="M704" s="12">
        <f>DATE(VALUE(RIGHT(Raw_Orders!G704,4)),VALUE(MID(Raw_Orders!G704,4,2)),VALUE(LEFT(Raw_Orders!G704,2)))</f>
        <v>45170</v>
      </c>
      <c r="N704" s="7">
        <f t="shared" si="21"/>
        <v>9</v>
      </c>
      <c r="O704" s="7" t="str">
        <f>Raw_Orders!J704</f>
        <v>Raksha Bandhan</v>
      </c>
      <c r="P704" s="7" t="str">
        <f>Raw_Orders!I704</f>
        <v>Khammam</v>
      </c>
    </row>
    <row r="705" spans="1:16">
      <c r="A705" s="7" t="str">
        <f>Raw_Orders!A705</f>
        <v>704</v>
      </c>
      <c r="B705" s="7" t="str">
        <f>Raw_Orders!B705</f>
        <v>C061</v>
      </c>
      <c r="C705" s="7" t="str">
        <f>INDEX(Raw_Customers!$B$2:$B$101,MATCH($B705,Raw_Customers!$A$2:$A$101,0))</f>
        <v>Akarsh Ramesh</v>
      </c>
      <c r="D705" s="7" t="str">
        <f>TRIM(INDEX(Raw_Customers!$C$2:$C$101,MATCH($B705,Raw_Customers!$A$2:$A$101,0)))</f>
        <v>Kavali</v>
      </c>
      <c r="E705" s="7" t="str">
        <f>"+91-"&amp;RIGHT("0000000000"&amp;INDEX(Raw_Customers!$D$2:$D$101,MATCH($B705,Raw_Customers!$A$2:$A$101,0)),10)</f>
        <v>+91-4318554567</v>
      </c>
      <c r="F705" s="7" t="str">
        <f>Raw_Orders!C705</f>
        <v>55</v>
      </c>
      <c r="G705" s="7" t="str">
        <f>INDEX(Raw_Products!$B$2:$B$71,MATCH($F705,Raw_Products!$A$2:$A$71,0))</f>
        <v>Dolores Gift</v>
      </c>
      <c r="H705" s="7" t="str">
        <f>INDEX(Raw_Products!$C$2:$C$71,MATCH($F705,Raw_Products!$A$2:$A$71,0))</f>
        <v>Soft Toys</v>
      </c>
      <c r="I705" s="7">
        <f>VALUE(Raw_Orders!D705)</f>
        <v>4</v>
      </c>
      <c r="J705" s="11" t="str">
        <f>INDEX(Raw_Products!$D$2:$D$71,MATCH($F705,Raw_Products!$A$2:$A$71,0))</f>
        <v>1904</v>
      </c>
      <c r="K705" s="11">
        <f t="shared" si="20"/>
        <v>7616</v>
      </c>
      <c r="L705" s="12">
        <f>DATE(VALUE(RIGHT(Raw_Orders!E705,4)),VALUE(MID(Raw_Orders!E705,4,2)),VALUE(LEFT(Raw_Orders!E705,2)))</f>
        <v>45167</v>
      </c>
      <c r="M705" s="12">
        <f>DATE(VALUE(RIGHT(Raw_Orders!G705,4)),VALUE(MID(Raw_Orders!G705,4,2)),VALUE(LEFT(Raw_Orders!G705,2)))</f>
        <v>45168</v>
      </c>
      <c r="N705" s="7">
        <f t="shared" si="21"/>
        <v>1</v>
      </c>
      <c r="O705" s="7" t="str">
        <f>Raw_Orders!J705</f>
        <v>Raksha Bandhan</v>
      </c>
      <c r="P705" s="7" t="str">
        <f>Raw_Orders!I705</f>
        <v>Jalgaon</v>
      </c>
    </row>
    <row r="706" spans="1:16">
      <c r="A706" s="7" t="str">
        <f>Raw_Orders!A706</f>
        <v>705</v>
      </c>
      <c r="B706" s="7" t="str">
        <f>Raw_Orders!B706</f>
        <v>C004</v>
      </c>
      <c r="C706" s="7" t="str">
        <f>INDEX(Raw_Customers!$B$2:$B$101,MATCH($B706,Raw_Customers!$A$2:$A$101,0))</f>
        <v>Tarini Bava</v>
      </c>
      <c r="D706" s="7" t="str">
        <f>TRIM(INDEX(Raw_Customers!$C$2:$C$101,MATCH($B706,Raw_Customers!$A$2:$A$101,0)))</f>
        <v>Miryalaguda</v>
      </c>
      <c r="E706" s="7" t="str">
        <f>"+91-"&amp;RIGHT("0000000000"&amp;INDEX(Raw_Customers!$D$2:$D$101,MATCH($B706,Raw_Customers!$A$2:$A$101,0)),10)</f>
        <v>+91-7232349928</v>
      </c>
      <c r="F706" s="7" t="str">
        <f>Raw_Orders!C706</f>
        <v>7</v>
      </c>
      <c r="G706" s="7" t="str">
        <f>INDEX(Raw_Products!$B$2:$B$71,MATCH($F706,Raw_Products!$A$2:$A$71,0))</f>
        <v>Quos Set</v>
      </c>
      <c r="H706" s="7" t="str">
        <f>INDEX(Raw_Products!$C$2:$C$71,MATCH($F706,Raw_Products!$A$2:$A$71,0))</f>
        <v>Soft Toys</v>
      </c>
      <c r="I706" s="7">
        <f>VALUE(Raw_Orders!D706)</f>
        <v>1</v>
      </c>
      <c r="J706" s="11" t="str">
        <f>INDEX(Raw_Products!$D$2:$D$71,MATCH($F706,Raw_Products!$A$2:$A$71,0))</f>
        <v>409</v>
      </c>
      <c r="K706" s="11">
        <f t="shared" ref="K706:K769" si="22">I706*J706</f>
        <v>409</v>
      </c>
      <c r="L706" s="12">
        <f>DATE(VALUE(RIGHT(Raw_Orders!E706,4)),VALUE(MID(Raw_Orders!E706,4,2)),VALUE(LEFT(Raw_Orders!E706,2)))</f>
        <v>44990</v>
      </c>
      <c r="M706" s="12">
        <f>DATE(VALUE(RIGHT(Raw_Orders!G706,4)),VALUE(MID(Raw_Orders!G706,4,2)),VALUE(LEFT(Raw_Orders!G706,2)))</f>
        <v>44999</v>
      </c>
      <c r="N706" s="7">
        <f t="shared" ref="N706:N769" si="23">M706-L706</f>
        <v>9</v>
      </c>
      <c r="O706" s="7" t="str">
        <f>Raw_Orders!J706</f>
        <v>Holi</v>
      </c>
      <c r="P706" s="7" t="str">
        <f>Raw_Orders!I706</f>
        <v>Pimpri-Chinchwad</v>
      </c>
    </row>
    <row r="707" spans="1:16">
      <c r="A707" s="7" t="str">
        <f>Raw_Orders!A707</f>
        <v>706</v>
      </c>
      <c r="B707" s="7" t="str">
        <f>Raw_Orders!B707</f>
        <v>C091</v>
      </c>
      <c r="C707" s="7" t="str">
        <f>INDEX(Raw_Customers!$B$2:$B$101,MATCH($B707,Raw_Customers!$A$2:$A$101,0))</f>
        <v>Adira Rajan</v>
      </c>
      <c r="D707" s="7" t="str">
        <f>TRIM(INDEX(Raw_Customers!$C$2:$C$101,MATCH($B707,Raw_Customers!$A$2:$A$101,0)))</f>
        <v>New Delhi</v>
      </c>
      <c r="E707" s="7" t="str">
        <f>"+91-"&amp;RIGHT("0000000000"&amp;INDEX(Raw_Customers!$D$2:$D$101,MATCH($B707,Raw_Customers!$A$2:$A$101,0)),10)</f>
        <v>+91-5525478357</v>
      </c>
      <c r="F707" s="7" t="str">
        <f>Raw_Orders!C707</f>
        <v>67</v>
      </c>
      <c r="G707" s="7" t="str">
        <f>INDEX(Raw_Products!$B$2:$B$71,MATCH($F707,Raw_Products!$A$2:$A$71,0))</f>
        <v>Maiores Box</v>
      </c>
      <c r="H707" s="7" t="str">
        <f>INDEX(Raw_Products!$C$2:$C$71,MATCH($F707,Raw_Products!$A$2:$A$71,0))</f>
        <v>Raksha Bandhan</v>
      </c>
      <c r="I707" s="7">
        <f>VALUE(Raw_Orders!D707)</f>
        <v>2</v>
      </c>
      <c r="J707" s="11" t="str">
        <f>INDEX(Raw_Products!$D$2:$D$71,MATCH($F707,Raw_Products!$A$2:$A$71,0))</f>
        <v>1374</v>
      </c>
      <c r="K707" s="11">
        <f t="shared" si="22"/>
        <v>2748</v>
      </c>
      <c r="L707" s="12">
        <f>DATE(VALUE(RIGHT(Raw_Orders!E707,4)),VALUE(MID(Raw_Orders!E707,4,2)),VALUE(LEFT(Raw_Orders!E707,2)))</f>
        <v>45042</v>
      </c>
      <c r="M707" s="12">
        <f>DATE(VALUE(RIGHT(Raw_Orders!G707,4)),VALUE(MID(Raw_Orders!G707,4,2)),VALUE(LEFT(Raw_Orders!G707,2)))</f>
        <v>45050</v>
      </c>
      <c r="N707" s="7">
        <f t="shared" si="23"/>
        <v>8</v>
      </c>
      <c r="O707" s="7" t="str">
        <f>Raw_Orders!J707</f>
        <v>Anniversary</v>
      </c>
      <c r="P707" s="7" t="str">
        <f>Raw_Orders!I707</f>
        <v>Madurai</v>
      </c>
    </row>
    <row r="708" spans="1:16">
      <c r="A708" s="7" t="str">
        <f>Raw_Orders!A708</f>
        <v>707</v>
      </c>
      <c r="B708" s="7" t="str">
        <f>Raw_Orders!B708</f>
        <v>C036</v>
      </c>
      <c r="C708" s="7" t="str">
        <f>INDEX(Raw_Customers!$B$2:$B$101,MATCH($B708,Raw_Customers!$A$2:$A$101,0))</f>
        <v>Biju Bajwa</v>
      </c>
      <c r="D708" s="7" t="str">
        <f>TRIM(INDEX(Raw_Customers!$C$2:$C$101,MATCH($B708,Raw_Customers!$A$2:$A$101,0)))</f>
        <v>Dibrugarh</v>
      </c>
      <c r="E708" s="7" t="str">
        <f>"+91-"&amp;RIGHT("0000000000"&amp;INDEX(Raw_Customers!$D$2:$D$101,MATCH($B708,Raw_Customers!$A$2:$A$101,0)),10)</f>
        <v>+91-8721850071</v>
      </c>
      <c r="F708" s="7" t="str">
        <f>Raw_Orders!C708</f>
        <v>70</v>
      </c>
      <c r="G708" s="7" t="str">
        <f>INDEX(Raw_Products!$B$2:$B$71,MATCH($F708,Raw_Products!$A$2:$A$71,0))</f>
        <v>Error Gift</v>
      </c>
      <c r="H708" s="7" t="str">
        <f>INDEX(Raw_Products!$C$2:$C$71,MATCH($F708,Raw_Products!$A$2:$A$71,0))</f>
        <v>Sweets</v>
      </c>
      <c r="I708" s="7">
        <f>VALUE(Raw_Orders!D708)</f>
        <v>4</v>
      </c>
      <c r="J708" s="11" t="str">
        <f>INDEX(Raw_Products!$D$2:$D$71,MATCH($F708,Raw_Products!$A$2:$A$71,0))</f>
        <v>866</v>
      </c>
      <c r="K708" s="11">
        <f t="shared" si="22"/>
        <v>3464</v>
      </c>
      <c r="L708" s="12">
        <f>DATE(VALUE(RIGHT(Raw_Orders!E708,4)),VALUE(MID(Raw_Orders!E708,4,2)),VALUE(LEFT(Raw_Orders!E708,2)))</f>
        <v>44960</v>
      </c>
      <c r="M708" s="12">
        <f>DATE(VALUE(RIGHT(Raw_Orders!G708,4)),VALUE(MID(Raw_Orders!G708,4,2)),VALUE(LEFT(Raw_Orders!G708,2)))</f>
        <v>44969</v>
      </c>
      <c r="N708" s="7">
        <f t="shared" si="23"/>
        <v>9</v>
      </c>
      <c r="O708" s="7" t="str">
        <f>Raw_Orders!J708</f>
        <v>Birthday</v>
      </c>
      <c r="P708" s="7" t="str">
        <f>Raw_Orders!I708</f>
        <v>Tirunelveli</v>
      </c>
    </row>
    <row r="709" spans="1:16">
      <c r="A709" s="7" t="str">
        <f>Raw_Orders!A709</f>
        <v>708</v>
      </c>
      <c r="B709" s="7" t="str">
        <f>Raw_Orders!B709</f>
        <v>C002</v>
      </c>
      <c r="C709" s="7" t="str">
        <f>INDEX(Raw_Customers!$B$2:$B$101,MATCH($B709,Raw_Customers!$A$2:$A$101,0))</f>
        <v>Myra Edwin</v>
      </c>
      <c r="D709" s="7" t="str">
        <f>TRIM(INDEX(Raw_Customers!$C$2:$C$101,MATCH($B709,Raw_Customers!$A$2:$A$101,0)))</f>
        <v>Bulandshahr</v>
      </c>
      <c r="E709" s="7" t="str">
        <f>"+91-"&amp;RIGHT("0000000000"&amp;INDEX(Raw_Customers!$D$2:$D$101,MATCH($B709,Raw_Customers!$A$2:$A$101,0)),10)</f>
        <v>+91-8915420519</v>
      </c>
      <c r="F709" s="7" t="str">
        <f>Raw_Orders!C709</f>
        <v>62</v>
      </c>
      <c r="G709" s="7" t="str">
        <f>INDEX(Raw_Products!$B$2:$B$71,MATCH($F709,Raw_Products!$A$2:$A$71,0))</f>
        <v>Sed Set</v>
      </c>
      <c r="H709" s="7" t="str">
        <f>INDEX(Raw_Products!$C$2:$C$71,MATCH($F709,Raw_Products!$A$2:$A$71,0))</f>
        <v>Colors</v>
      </c>
      <c r="I709" s="7">
        <f>VALUE(Raw_Orders!D709)</f>
        <v>3</v>
      </c>
      <c r="J709" s="11" t="str">
        <f>INDEX(Raw_Products!$D$2:$D$71,MATCH($F709,Raw_Products!$A$2:$A$71,0))</f>
        <v>1356</v>
      </c>
      <c r="K709" s="11">
        <f t="shared" si="22"/>
        <v>4068</v>
      </c>
      <c r="L709" s="12">
        <f>DATE(VALUE(RIGHT(Raw_Orders!E709,4)),VALUE(MID(Raw_Orders!E709,4,2)),VALUE(LEFT(Raw_Orders!E709,2)))</f>
        <v>44988</v>
      </c>
      <c r="M709" s="12">
        <f>DATE(VALUE(RIGHT(Raw_Orders!G709,4)),VALUE(MID(Raw_Orders!G709,4,2)),VALUE(LEFT(Raw_Orders!G709,2)))</f>
        <v>44997</v>
      </c>
      <c r="N709" s="7">
        <f t="shared" si="23"/>
        <v>9</v>
      </c>
      <c r="O709" s="7" t="str">
        <f>Raw_Orders!J709</f>
        <v>Holi</v>
      </c>
      <c r="P709" s="7" t="str">
        <f>Raw_Orders!I709</f>
        <v>Ozhukarai</v>
      </c>
    </row>
    <row r="710" spans="1:16">
      <c r="A710" s="7" t="str">
        <f>Raw_Orders!A710</f>
        <v>709</v>
      </c>
      <c r="B710" s="7" t="str">
        <f>Raw_Orders!B710</f>
        <v>C016</v>
      </c>
      <c r="C710" s="7" t="str">
        <f>INDEX(Raw_Customers!$B$2:$B$101,MATCH($B710,Raw_Customers!$A$2:$A$101,0))</f>
        <v>Amani Ganesh</v>
      </c>
      <c r="D710" s="7" t="str">
        <f>TRIM(INDEX(Raw_Customers!$C$2:$C$101,MATCH($B710,Raw_Customers!$A$2:$A$101,0)))</f>
        <v>Tenali</v>
      </c>
      <c r="E710" s="7" t="str">
        <f>"+91-"&amp;RIGHT("0000000000"&amp;INDEX(Raw_Customers!$D$2:$D$101,MATCH($B710,Raw_Customers!$A$2:$A$101,0)),10)</f>
        <v>+91-8482992702</v>
      </c>
      <c r="F710" s="7" t="str">
        <f>Raw_Orders!C710</f>
        <v>53</v>
      </c>
      <c r="G710" s="7" t="str">
        <f>INDEX(Raw_Products!$B$2:$B$71,MATCH($F710,Raw_Products!$A$2:$A$71,0))</f>
        <v>Ipsam Set</v>
      </c>
      <c r="H710" s="7" t="str">
        <f>INDEX(Raw_Products!$C$2:$C$71,MATCH($F710,Raw_Products!$A$2:$A$71,0))</f>
        <v>Sweets</v>
      </c>
      <c r="I710" s="7">
        <f>VALUE(Raw_Orders!D710)</f>
        <v>5</v>
      </c>
      <c r="J710" s="11" t="str">
        <f>INDEX(Raw_Products!$D$2:$D$71,MATCH($F710,Raw_Products!$A$2:$A$71,0))</f>
        <v>1672</v>
      </c>
      <c r="K710" s="11">
        <f t="shared" si="22"/>
        <v>8360</v>
      </c>
      <c r="L710" s="12">
        <f>DATE(VALUE(RIGHT(Raw_Orders!E710,4)),VALUE(MID(Raw_Orders!E710,4,2)),VALUE(LEFT(Raw_Orders!E710,2)))</f>
        <v>45167</v>
      </c>
      <c r="M710" s="12">
        <f>DATE(VALUE(RIGHT(Raw_Orders!G710,4)),VALUE(MID(Raw_Orders!G710,4,2)),VALUE(LEFT(Raw_Orders!G710,2)))</f>
        <v>45176</v>
      </c>
      <c r="N710" s="7">
        <f t="shared" si="23"/>
        <v>9</v>
      </c>
      <c r="O710" s="7" t="str">
        <f>Raw_Orders!J710</f>
        <v>Raksha Bandhan</v>
      </c>
      <c r="P710" s="7" t="str">
        <f>Raw_Orders!I710</f>
        <v>Kolkata</v>
      </c>
    </row>
    <row r="711" spans="1:16">
      <c r="A711" s="7" t="str">
        <f>Raw_Orders!A711</f>
        <v>710</v>
      </c>
      <c r="B711" s="7" t="str">
        <f>Raw_Orders!B711</f>
        <v>C087</v>
      </c>
      <c r="C711" s="7" t="str">
        <f>INDEX(Raw_Customers!$B$2:$B$101,MATCH($B711,Raw_Customers!$A$2:$A$101,0))</f>
        <v>Rania Bhatt</v>
      </c>
      <c r="D711" s="7" t="str">
        <f>TRIM(INDEX(Raw_Customers!$C$2:$C$101,MATCH($B711,Raw_Customers!$A$2:$A$101,0)))</f>
        <v>North Dumdum</v>
      </c>
      <c r="E711" s="7" t="str">
        <f>"+91-"&amp;RIGHT("0000000000"&amp;INDEX(Raw_Customers!$D$2:$D$101,MATCH($B711,Raw_Customers!$A$2:$A$101,0)),10)</f>
        <v>+91-2112404207</v>
      </c>
      <c r="F711" s="7" t="str">
        <f>Raw_Orders!C711</f>
        <v>54</v>
      </c>
      <c r="G711" s="7" t="str">
        <f>INDEX(Raw_Products!$B$2:$B$71,MATCH($F711,Raw_Products!$A$2:$A$71,0))</f>
        <v>Occaecati Gift</v>
      </c>
      <c r="H711" s="7" t="str">
        <f>INDEX(Raw_Products!$C$2:$C$71,MATCH($F711,Raw_Products!$A$2:$A$71,0))</f>
        <v>Cake</v>
      </c>
      <c r="I711" s="7">
        <f>VALUE(Raw_Orders!D711)</f>
        <v>5</v>
      </c>
      <c r="J711" s="11" t="str">
        <f>INDEX(Raw_Products!$D$2:$D$71,MATCH($F711,Raw_Products!$A$2:$A$71,0))</f>
        <v>1236</v>
      </c>
      <c r="K711" s="11">
        <f t="shared" si="22"/>
        <v>6180</v>
      </c>
      <c r="L711" s="12">
        <f>DATE(VALUE(RIGHT(Raw_Orders!E711,4)),VALUE(MID(Raw_Orders!E711,4,2)),VALUE(LEFT(Raw_Orders!E711,2)))</f>
        <v>45068</v>
      </c>
      <c r="M711" s="12">
        <f>DATE(VALUE(RIGHT(Raw_Orders!G711,4)),VALUE(MID(Raw_Orders!G711,4,2)),VALUE(LEFT(Raw_Orders!G711,2)))</f>
        <v>45075</v>
      </c>
      <c r="N711" s="7">
        <f t="shared" si="23"/>
        <v>7</v>
      </c>
      <c r="O711" s="7" t="str">
        <f>Raw_Orders!J711</f>
        <v>Anniversary</v>
      </c>
      <c r="P711" s="7" t="str">
        <f>Raw_Orders!I711</f>
        <v>Jalna</v>
      </c>
    </row>
    <row r="712" spans="1:16">
      <c r="A712" s="7" t="str">
        <f>Raw_Orders!A712</f>
        <v>711</v>
      </c>
      <c r="B712" s="7" t="str">
        <f>Raw_Orders!B712</f>
        <v>C093</v>
      </c>
      <c r="C712" s="7" t="str">
        <f>INDEX(Raw_Customers!$B$2:$B$101,MATCH($B712,Raw_Customers!$A$2:$A$101,0))</f>
        <v>Mamooty Bawa</v>
      </c>
      <c r="D712" s="7" t="str">
        <f>TRIM(INDEX(Raw_Customers!$C$2:$C$101,MATCH($B712,Raw_Customers!$A$2:$A$101,0)))</f>
        <v>Tumkur</v>
      </c>
      <c r="E712" s="7" t="str">
        <f>"+91-"&amp;RIGHT("0000000000"&amp;INDEX(Raw_Customers!$D$2:$D$101,MATCH($B712,Raw_Customers!$A$2:$A$101,0)),10)</f>
        <v>+91-2783169130</v>
      </c>
      <c r="F712" s="7" t="str">
        <f>Raw_Orders!C712</f>
        <v>68</v>
      </c>
      <c r="G712" s="7" t="str">
        <f>INDEX(Raw_Products!$B$2:$B$71,MATCH($F712,Raw_Products!$A$2:$A$71,0))</f>
        <v>Quas Gift</v>
      </c>
      <c r="H712" s="7" t="str">
        <f>INDEX(Raw_Products!$C$2:$C$71,MATCH($F712,Raw_Products!$A$2:$A$71,0))</f>
        <v>Soft Toys</v>
      </c>
      <c r="I712" s="7">
        <f>VALUE(Raw_Orders!D712)</f>
        <v>3</v>
      </c>
      <c r="J712" s="11" t="str">
        <f>INDEX(Raw_Products!$D$2:$D$71,MATCH($F712,Raw_Products!$A$2:$A$71,0))</f>
        <v>597</v>
      </c>
      <c r="K712" s="11">
        <f t="shared" si="22"/>
        <v>1791</v>
      </c>
      <c r="L712" s="12">
        <f>DATE(VALUE(RIGHT(Raw_Orders!E712,4)),VALUE(MID(Raw_Orders!E712,4,2)),VALUE(LEFT(Raw_Orders!E712,2)))</f>
        <v>44961</v>
      </c>
      <c r="M712" s="12">
        <f>DATE(VALUE(RIGHT(Raw_Orders!G712,4)),VALUE(MID(Raw_Orders!G712,4,2)),VALUE(LEFT(Raw_Orders!G712,2)))</f>
        <v>44963</v>
      </c>
      <c r="N712" s="7">
        <f t="shared" si="23"/>
        <v>2</v>
      </c>
      <c r="O712" s="7" t="str">
        <f>Raw_Orders!J712</f>
        <v>Valentine's Day</v>
      </c>
      <c r="P712" s="7" t="str">
        <f>Raw_Orders!I712</f>
        <v>Tiruppur</v>
      </c>
    </row>
    <row r="713" spans="1:16">
      <c r="A713" s="7" t="str">
        <f>Raw_Orders!A713</f>
        <v>712</v>
      </c>
      <c r="B713" s="7" t="str">
        <f>Raw_Orders!B713</f>
        <v>C057</v>
      </c>
      <c r="C713" s="7" t="str">
        <f>INDEX(Raw_Customers!$B$2:$B$101,MATCH($B713,Raw_Customers!$A$2:$A$101,0))</f>
        <v>Zain Hegde</v>
      </c>
      <c r="D713" s="7" t="str">
        <f>TRIM(INDEX(Raw_Customers!$C$2:$C$101,MATCH($B713,Raw_Customers!$A$2:$A$101,0)))</f>
        <v>Delhi</v>
      </c>
      <c r="E713" s="7" t="str">
        <f>"+91-"&amp;RIGHT("0000000000"&amp;INDEX(Raw_Customers!$D$2:$D$101,MATCH($B713,Raw_Customers!$A$2:$A$101,0)),10)</f>
        <v>+91-8736997123</v>
      </c>
      <c r="F713" s="7" t="str">
        <f>Raw_Orders!C713</f>
        <v>65</v>
      </c>
      <c r="G713" s="7" t="str">
        <f>INDEX(Raw_Products!$B$2:$B$71,MATCH($F713,Raw_Products!$A$2:$A$71,0))</f>
        <v>Error Gift</v>
      </c>
      <c r="H713" s="7" t="str">
        <f>INDEX(Raw_Products!$C$2:$C$71,MATCH($F713,Raw_Products!$A$2:$A$71,0))</f>
        <v>Raksha Bandhan</v>
      </c>
      <c r="I713" s="7">
        <f>VALUE(Raw_Orders!D713)</f>
        <v>5</v>
      </c>
      <c r="J713" s="11" t="str">
        <f>INDEX(Raw_Products!$D$2:$D$71,MATCH($F713,Raw_Products!$A$2:$A$71,0))</f>
        <v>1895</v>
      </c>
      <c r="K713" s="11">
        <f t="shared" si="22"/>
        <v>9475</v>
      </c>
      <c r="L713" s="12">
        <f>DATE(VALUE(RIGHT(Raw_Orders!E713,4)),VALUE(MID(Raw_Orders!E713,4,2)),VALUE(LEFT(Raw_Orders!E713,2)))</f>
        <v>45118</v>
      </c>
      <c r="M713" s="12">
        <f>DATE(VALUE(RIGHT(Raw_Orders!G713,4)),VALUE(MID(Raw_Orders!G713,4,2)),VALUE(LEFT(Raw_Orders!G713,2)))</f>
        <v>45120</v>
      </c>
      <c r="N713" s="7">
        <f t="shared" si="23"/>
        <v>2</v>
      </c>
      <c r="O713" s="7" t="str">
        <f>Raw_Orders!J713</f>
        <v>All Occasions</v>
      </c>
      <c r="P713" s="7" t="str">
        <f>Raw_Orders!I713</f>
        <v>Hazaribagh</v>
      </c>
    </row>
    <row r="714" spans="1:16">
      <c r="A714" s="7" t="str">
        <f>Raw_Orders!A714</f>
        <v>713</v>
      </c>
      <c r="B714" s="7" t="str">
        <f>Raw_Orders!B714</f>
        <v>C081</v>
      </c>
      <c r="C714" s="7" t="str">
        <f>INDEX(Raw_Customers!$B$2:$B$101,MATCH($B714,Raw_Customers!$A$2:$A$101,0))</f>
        <v>Kaira Ramachandran</v>
      </c>
      <c r="D714" s="7" t="str">
        <f>TRIM(INDEX(Raw_Customers!$C$2:$C$101,MATCH($B714,Raw_Customers!$A$2:$A$101,0)))</f>
        <v>Ratlam</v>
      </c>
      <c r="E714" s="7" t="str">
        <f>"+91-"&amp;RIGHT("0000000000"&amp;INDEX(Raw_Customers!$D$2:$D$101,MATCH($B714,Raw_Customers!$A$2:$A$101,0)),10)</f>
        <v>+91-4987395025</v>
      </c>
      <c r="F714" s="7" t="str">
        <f>Raw_Orders!C714</f>
        <v>37</v>
      </c>
      <c r="G714" s="7" t="str">
        <f>INDEX(Raw_Products!$B$2:$B$71,MATCH($F714,Raw_Products!$A$2:$A$71,0))</f>
        <v>Officiis Pack</v>
      </c>
      <c r="H714" s="7" t="str">
        <f>INDEX(Raw_Products!$C$2:$C$71,MATCH($F714,Raw_Products!$A$2:$A$71,0))</f>
        <v>Colors</v>
      </c>
      <c r="I714" s="7">
        <f>VALUE(Raw_Orders!D714)</f>
        <v>3</v>
      </c>
      <c r="J714" s="11" t="str">
        <f>INDEX(Raw_Products!$D$2:$D$71,MATCH($F714,Raw_Products!$A$2:$A$71,0))</f>
        <v>1428</v>
      </c>
      <c r="K714" s="11">
        <f t="shared" si="22"/>
        <v>4284</v>
      </c>
      <c r="L714" s="12">
        <f>DATE(VALUE(RIGHT(Raw_Orders!E714,4)),VALUE(MID(Raw_Orders!E714,4,2)),VALUE(LEFT(Raw_Orders!E714,2)))</f>
        <v>45238</v>
      </c>
      <c r="M714" s="12">
        <f>DATE(VALUE(RIGHT(Raw_Orders!G714,4)),VALUE(MID(Raw_Orders!G714,4,2)),VALUE(LEFT(Raw_Orders!G714,2)))</f>
        <v>45245</v>
      </c>
      <c r="N714" s="7">
        <f t="shared" si="23"/>
        <v>7</v>
      </c>
      <c r="O714" s="7" t="str">
        <f>Raw_Orders!J714</f>
        <v>Diwali</v>
      </c>
      <c r="P714" s="7" t="str">
        <f>Raw_Orders!I714</f>
        <v>Tiruppur</v>
      </c>
    </row>
    <row r="715" spans="1:16">
      <c r="A715" s="7" t="str">
        <f>Raw_Orders!A715</f>
        <v>714</v>
      </c>
      <c r="B715" s="7" t="str">
        <f>Raw_Orders!B715</f>
        <v>C053</v>
      </c>
      <c r="C715" s="7" t="str">
        <f>INDEX(Raw_Customers!$B$2:$B$101,MATCH($B715,Raw_Customers!$A$2:$A$101,0))</f>
        <v>Kismat Kapadia</v>
      </c>
      <c r="D715" s="7" t="str">
        <f>TRIM(INDEX(Raw_Customers!$C$2:$C$101,MATCH($B715,Raw_Customers!$A$2:$A$101,0)))</f>
        <v>Bharatpur</v>
      </c>
      <c r="E715" s="7" t="str">
        <f>"+91-"&amp;RIGHT("0000000000"&amp;INDEX(Raw_Customers!$D$2:$D$101,MATCH($B715,Raw_Customers!$A$2:$A$101,0)),10)</f>
        <v>+91-8068004996</v>
      </c>
      <c r="F715" s="7" t="str">
        <f>Raw_Orders!C715</f>
        <v>63</v>
      </c>
      <c r="G715" s="7" t="str">
        <f>INDEX(Raw_Products!$B$2:$B$71,MATCH($F715,Raw_Products!$A$2:$A$71,0))</f>
        <v>Adipisci Set</v>
      </c>
      <c r="H715" s="7" t="str">
        <f>INDEX(Raw_Products!$C$2:$C$71,MATCH($F715,Raw_Products!$A$2:$A$71,0))</f>
        <v>Sweets</v>
      </c>
      <c r="I715" s="7">
        <f>VALUE(Raw_Orders!D715)</f>
        <v>2</v>
      </c>
      <c r="J715" s="11" t="str">
        <f>INDEX(Raw_Products!$D$2:$D$71,MATCH($F715,Raw_Products!$A$2:$A$71,0))</f>
        <v>1348</v>
      </c>
      <c r="K715" s="11">
        <f t="shared" si="22"/>
        <v>2696</v>
      </c>
      <c r="L715" s="12">
        <f>DATE(VALUE(RIGHT(Raw_Orders!E715,4)),VALUE(MID(Raw_Orders!E715,4,2)),VALUE(LEFT(Raw_Orders!E715,2)))</f>
        <v>45078</v>
      </c>
      <c r="M715" s="12">
        <f>DATE(VALUE(RIGHT(Raw_Orders!G715,4)),VALUE(MID(Raw_Orders!G715,4,2)),VALUE(LEFT(Raw_Orders!G715,2)))</f>
        <v>45080</v>
      </c>
      <c r="N715" s="7">
        <f t="shared" si="23"/>
        <v>2</v>
      </c>
      <c r="O715" s="7" t="str">
        <f>Raw_Orders!J715</f>
        <v>All Occasions</v>
      </c>
      <c r="P715" s="7" t="str">
        <f>Raw_Orders!I715</f>
        <v>Dhule</v>
      </c>
    </row>
    <row r="716" spans="1:16">
      <c r="A716" s="7" t="str">
        <f>Raw_Orders!A716</f>
        <v>715</v>
      </c>
      <c r="B716" s="7" t="str">
        <f>Raw_Orders!B716</f>
        <v>C069</v>
      </c>
      <c r="C716" s="7" t="str">
        <f>INDEX(Raw_Customers!$B$2:$B$101,MATCH($B716,Raw_Customers!$A$2:$A$101,0))</f>
        <v>Hunar Tripathi</v>
      </c>
      <c r="D716" s="7" t="str">
        <f>TRIM(INDEX(Raw_Customers!$C$2:$C$101,MATCH($B716,Raw_Customers!$A$2:$A$101,0)))</f>
        <v>Madhyamgram</v>
      </c>
      <c r="E716" s="7" t="str">
        <f>"+91-"&amp;RIGHT("0000000000"&amp;INDEX(Raw_Customers!$D$2:$D$101,MATCH($B716,Raw_Customers!$A$2:$A$101,0)),10)</f>
        <v>+91-1440411271</v>
      </c>
      <c r="F716" s="7" t="str">
        <f>Raw_Orders!C716</f>
        <v>38</v>
      </c>
      <c r="G716" s="7" t="str">
        <f>INDEX(Raw_Products!$B$2:$B$71,MATCH($F716,Raw_Products!$A$2:$A$71,0))</f>
        <v>Mollitia Set</v>
      </c>
      <c r="H716" s="7" t="str">
        <f>INDEX(Raw_Products!$C$2:$C$71,MATCH($F716,Raw_Products!$A$2:$A$71,0))</f>
        <v>Cake</v>
      </c>
      <c r="I716" s="7">
        <f>VALUE(Raw_Orders!D716)</f>
        <v>4</v>
      </c>
      <c r="J716" s="11" t="str">
        <f>INDEX(Raw_Products!$D$2:$D$71,MATCH($F716,Raw_Products!$A$2:$A$71,0))</f>
        <v>562</v>
      </c>
      <c r="K716" s="11">
        <f t="shared" si="22"/>
        <v>2248</v>
      </c>
      <c r="L716" s="12">
        <f>DATE(VALUE(RIGHT(Raw_Orders!E716,4)),VALUE(MID(Raw_Orders!E716,4,2)),VALUE(LEFT(Raw_Orders!E716,2)))</f>
        <v>45030</v>
      </c>
      <c r="M716" s="12">
        <f>DATE(VALUE(RIGHT(Raw_Orders!G716,4)),VALUE(MID(Raw_Orders!G716,4,2)),VALUE(LEFT(Raw_Orders!G716,2)))</f>
        <v>45037</v>
      </c>
      <c r="N716" s="7">
        <f t="shared" si="23"/>
        <v>7</v>
      </c>
      <c r="O716" s="7" t="str">
        <f>Raw_Orders!J716</f>
        <v>Birthday</v>
      </c>
      <c r="P716" s="7" t="str">
        <f>Raw_Orders!I716</f>
        <v>Tenali</v>
      </c>
    </row>
    <row r="717" spans="1:16">
      <c r="A717" s="7" t="str">
        <f>Raw_Orders!A717</f>
        <v>716</v>
      </c>
      <c r="B717" s="7" t="str">
        <f>Raw_Orders!B717</f>
        <v>C076</v>
      </c>
      <c r="C717" s="7" t="str">
        <f>INDEX(Raw_Customers!$B$2:$B$101,MATCH($B717,Raw_Customers!$A$2:$A$101,0))</f>
        <v>Oorja Dayal</v>
      </c>
      <c r="D717" s="7" t="str">
        <f>TRIM(INDEX(Raw_Customers!$C$2:$C$101,MATCH($B717,Raw_Customers!$A$2:$A$101,0)))</f>
        <v>Gaya</v>
      </c>
      <c r="E717" s="7" t="str">
        <f>"+91-"&amp;RIGHT("0000000000"&amp;INDEX(Raw_Customers!$D$2:$D$101,MATCH($B717,Raw_Customers!$A$2:$A$101,0)),10)</f>
        <v>+91-6936516442</v>
      </c>
      <c r="F717" s="7" t="str">
        <f>Raw_Orders!C717</f>
        <v>40</v>
      </c>
      <c r="G717" s="7" t="str">
        <f>INDEX(Raw_Products!$B$2:$B$71,MATCH($F717,Raw_Products!$A$2:$A$71,0))</f>
        <v>Provident Pack</v>
      </c>
      <c r="H717" s="7" t="str">
        <f>INDEX(Raw_Products!$C$2:$C$71,MATCH($F717,Raw_Products!$A$2:$A$71,0))</f>
        <v>Sweets</v>
      </c>
      <c r="I717" s="7">
        <f>VALUE(Raw_Orders!D717)</f>
        <v>3</v>
      </c>
      <c r="J717" s="11" t="str">
        <f>INDEX(Raw_Products!$D$2:$D$71,MATCH($F717,Raw_Products!$A$2:$A$71,0))</f>
        <v>1923</v>
      </c>
      <c r="K717" s="11">
        <f t="shared" si="22"/>
        <v>5769</v>
      </c>
      <c r="L717" s="12">
        <f>DATE(VALUE(RIGHT(Raw_Orders!E717,4)),VALUE(MID(Raw_Orders!E717,4,2)),VALUE(LEFT(Raw_Orders!E717,2)))</f>
        <v>45157</v>
      </c>
      <c r="M717" s="12">
        <f>DATE(VALUE(RIGHT(Raw_Orders!G717,4)),VALUE(MID(Raw_Orders!G717,4,2)),VALUE(LEFT(Raw_Orders!G717,2)))</f>
        <v>45164</v>
      </c>
      <c r="N717" s="7">
        <f t="shared" si="23"/>
        <v>7</v>
      </c>
      <c r="O717" s="7" t="str">
        <f>Raw_Orders!J717</f>
        <v>Anniversary</v>
      </c>
      <c r="P717" s="7" t="str">
        <f>Raw_Orders!I717</f>
        <v>Berhampore</v>
      </c>
    </row>
    <row r="718" spans="1:16">
      <c r="A718" s="7" t="str">
        <f>Raw_Orders!A718</f>
        <v>717</v>
      </c>
      <c r="B718" s="7" t="str">
        <f>Raw_Orders!B718</f>
        <v>C059</v>
      </c>
      <c r="C718" s="7" t="str">
        <f>INDEX(Raw_Customers!$B$2:$B$101,MATCH($B718,Raw_Customers!$A$2:$A$101,0))</f>
        <v>Nirvi Wagle</v>
      </c>
      <c r="D718" s="7" t="str">
        <f>TRIM(INDEX(Raw_Customers!$C$2:$C$101,MATCH($B718,Raw_Customers!$A$2:$A$101,0)))</f>
        <v>Kalyan-Dombivli</v>
      </c>
      <c r="E718" s="7" t="str">
        <f>"+91-"&amp;RIGHT("0000000000"&amp;INDEX(Raw_Customers!$D$2:$D$101,MATCH($B718,Raw_Customers!$A$2:$A$101,0)),10)</f>
        <v>+91-5869821393</v>
      </c>
      <c r="F718" s="7" t="str">
        <f>Raw_Orders!C718</f>
        <v>67</v>
      </c>
      <c r="G718" s="7" t="str">
        <f>INDEX(Raw_Products!$B$2:$B$71,MATCH($F718,Raw_Products!$A$2:$A$71,0))</f>
        <v>Maiores Box</v>
      </c>
      <c r="H718" s="7" t="str">
        <f>INDEX(Raw_Products!$C$2:$C$71,MATCH($F718,Raw_Products!$A$2:$A$71,0))</f>
        <v>Raksha Bandhan</v>
      </c>
      <c r="I718" s="7">
        <f>VALUE(Raw_Orders!D718)</f>
        <v>5</v>
      </c>
      <c r="J718" s="11" t="str">
        <f>INDEX(Raw_Products!$D$2:$D$71,MATCH($F718,Raw_Products!$A$2:$A$71,0))</f>
        <v>1374</v>
      </c>
      <c r="K718" s="11">
        <f t="shared" si="22"/>
        <v>6870</v>
      </c>
      <c r="L718" s="12">
        <f>DATE(VALUE(RIGHT(Raw_Orders!E718,4)),VALUE(MID(Raw_Orders!E718,4,2)),VALUE(LEFT(Raw_Orders!E718,2)))</f>
        <v>45102</v>
      </c>
      <c r="M718" s="12">
        <f>DATE(VALUE(RIGHT(Raw_Orders!G718,4)),VALUE(MID(Raw_Orders!G718,4,2)),VALUE(LEFT(Raw_Orders!G718,2)))</f>
        <v>45103</v>
      </c>
      <c r="N718" s="7">
        <f t="shared" si="23"/>
        <v>1</v>
      </c>
      <c r="O718" s="7" t="str">
        <f>Raw_Orders!J718</f>
        <v>Anniversary</v>
      </c>
      <c r="P718" s="7" t="str">
        <f>Raw_Orders!I718</f>
        <v>Yamunanagar</v>
      </c>
    </row>
    <row r="719" spans="1:16">
      <c r="A719" s="7" t="str">
        <f>Raw_Orders!A719</f>
        <v>718</v>
      </c>
      <c r="B719" s="7" t="str">
        <f>Raw_Orders!B719</f>
        <v>C028</v>
      </c>
      <c r="C719" s="7" t="str">
        <f>INDEX(Raw_Customers!$B$2:$B$101,MATCH($B719,Raw_Customers!$A$2:$A$101,0))</f>
        <v>Hridaan Rajagopalan</v>
      </c>
      <c r="D719" s="7" t="str">
        <f>TRIM(INDEX(Raw_Customers!$C$2:$C$101,MATCH($B719,Raw_Customers!$A$2:$A$101,0)))</f>
        <v>Noida</v>
      </c>
      <c r="E719" s="7" t="str">
        <f>"+91-"&amp;RIGHT("0000000000"&amp;INDEX(Raw_Customers!$D$2:$D$101,MATCH($B719,Raw_Customers!$A$2:$A$101,0)),10)</f>
        <v>+91-2539728317</v>
      </c>
      <c r="F719" s="7" t="str">
        <f>Raw_Orders!C719</f>
        <v>49</v>
      </c>
      <c r="G719" s="7" t="str">
        <f>INDEX(Raw_Products!$B$2:$B$71,MATCH($F719,Raw_Products!$A$2:$A$71,0))</f>
        <v>Voluptate Pack</v>
      </c>
      <c r="H719" s="7" t="str">
        <f>INDEX(Raw_Products!$C$2:$C$71,MATCH($F719,Raw_Products!$A$2:$A$71,0))</f>
        <v>Colors</v>
      </c>
      <c r="I719" s="7">
        <f>VALUE(Raw_Orders!D719)</f>
        <v>1</v>
      </c>
      <c r="J719" s="11" t="str">
        <f>INDEX(Raw_Products!$D$2:$D$71,MATCH($F719,Raw_Products!$A$2:$A$71,0))</f>
        <v>903</v>
      </c>
      <c r="K719" s="11">
        <f t="shared" si="22"/>
        <v>903</v>
      </c>
      <c r="L719" s="12">
        <f>DATE(VALUE(RIGHT(Raw_Orders!E719,4)),VALUE(MID(Raw_Orders!E719,4,2)),VALUE(LEFT(Raw_Orders!E719,2)))</f>
        <v>44966</v>
      </c>
      <c r="M719" s="12">
        <f>DATE(VALUE(RIGHT(Raw_Orders!G719,4)),VALUE(MID(Raw_Orders!G719,4,2)),VALUE(LEFT(Raw_Orders!G719,2)))</f>
        <v>44970</v>
      </c>
      <c r="N719" s="7">
        <f t="shared" si="23"/>
        <v>4</v>
      </c>
      <c r="O719" s="7" t="str">
        <f>Raw_Orders!J719</f>
        <v>Valentine's Day</v>
      </c>
      <c r="P719" s="7" t="str">
        <f>Raw_Orders!I719</f>
        <v>Jabalpur</v>
      </c>
    </row>
    <row r="720" spans="1:16">
      <c r="A720" s="7" t="str">
        <f>Raw_Orders!A720</f>
        <v>719</v>
      </c>
      <c r="B720" s="7" t="str">
        <f>Raw_Orders!B720</f>
        <v>C092</v>
      </c>
      <c r="C720" s="7" t="str">
        <f>INDEX(Raw_Customers!$B$2:$B$101,MATCH($B720,Raw_Customers!$A$2:$A$101,0))</f>
        <v>Zoya Mani</v>
      </c>
      <c r="D720" s="7" t="str">
        <f>TRIM(INDEX(Raw_Customers!$C$2:$C$101,MATCH($B720,Raw_Customers!$A$2:$A$101,0)))</f>
        <v>Dibrugarh</v>
      </c>
      <c r="E720" s="7" t="str">
        <f>"+91-"&amp;RIGHT("0000000000"&amp;INDEX(Raw_Customers!$D$2:$D$101,MATCH($B720,Raw_Customers!$A$2:$A$101,0)),10)</f>
        <v>+91-8918356963</v>
      </c>
      <c r="F720" s="7" t="str">
        <f>Raw_Orders!C720</f>
        <v>57</v>
      </c>
      <c r="G720" s="7" t="str">
        <f>INDEX(Raw_Products!$B$2:$B$71,MATCH($F720,Raw_Products!$A$2:$A$71,0))</f>
        <v>Voluptatem Box</v>
      </c>
      <c r="H720" s="7" t="str">
        <f>INDEX(Raw_Products!$C$2:$C$71,MATCH($F720,Raw_Products!$A$2:$A$71,0))</f>
        <v>Colors</v>
      </c>
      <c r="I720" s="7">
        <f>VALUE(Raw_Orders!D720)</f>
        <v>3</v>
      </c>
      <c r="J720" s="11" t="str">
        <f>INDEX(Raw_Products!$D$2:$D$71,MATCH($F720,Raw_Products!$A$2:$A$71,0))</f>
        <v>1582</v>
      </c>
      <c r="K720" s="11">
        <f t="shared" si="22"/>
        <v>4746</v>
      </c>
      <c r="L720" s="12">
        <f>DATE(VALUE(RIGHT(Raw_Orders!E720,4)),VALUE(MID(Raw_Orders!E720,4,2)),VALUE(LEFT(Raw_Orders!E720,2)))</f>
        <v>45119</v>
      </c>
      <c r="M720" s="12">
        <f>DATE(VALUE(RIGHT(Raw_Orders!G720,4)),VALUE(MID(Raw_Orders!G720,4,2)),VALUE(LEFT(Raw_Orders!G720,2)))</f>
        <v>45126</v>
      </c>
      <c r="N720" s="7">
        <f t="shared" si="23"/>
        <v>7</v>
      </c>
      <c r="O720" s="7" t="str">
        <f>Raw_Orders!J720</f>
        <v>Birthday</v>
      </c>
      <c r="P720" s="7" t="str">
        <f>Raw_Orders!I720</f>
        <v>Phagwara</v>
      </c>
    </row>
    <row r="721" spans="1:16">
      <c r="A721" s="7" t="str">
        <f>Raw_Orders!A721</f>
        <v>720</v>
      </c>
      <c r="B721" s="7" t="str">
        <f>Raw_Orders!B721</f>
        <v>C045</v>
      </c>
      <c r="C721" s="7" t="str">
        <f>INDEX(Raw_Customers!$B$2:$B$101,MATCH($B721,Raw_Customers!$A$2:$A$101,0))</f>
        <v>Divit Mahajan</v>
      </c>
      <c r="D721" s="7" t="str">
        <f>TRIM(INDEX(Raw_Customers!$C$2:$C$101,MATCH($B721,Raw_Customers!$A$2:$A$101,0)))</f>
        <v>Maheshtala</v>
      </c>
      <c r="E721" s="7" t="str">
        <f>"+91-"&amp;RIGHT("0000000000"&amp;INDEX(Raw_Customers!$D$2:$D$101,MATCH($B721,Raw_Customers!$A$2:$A$101,0)),10)</f>
        <v>+91-6789522856</v>
      </c>
      <c r="F721" s="7" t="str">
        <f>Raw_Orders!C721</f>
        <v>22</v>
      </c>
      <c r="G721" s="7" t="str">
        <f>INDEX(Raw_Products!$B$2:$B$71,MATCH($F721,Raw_Products!$A$2:$A$71,0))</f>
        <v>Exercitationem Pack</v>
      </c>
      <c r="H721" s="7" t="str">
        <f>INDEX(Raw_Products!$C$2:$C$71,MATCH($F721,Raw_Products!$A$2:$A$71,0))</f>
        <v>Soft Toys</v>
      </c>
      <c r="I721" s="7">
        <f>VALUE(Raw_Orders!D721)</f>
        <v>5</v>
      </c>
      <c r="J721" s="11" t="str">
        <f>INDEX(Raw_Products!$D$2:$D$71,MATCH($F721,Raw_Products!$A$2:$A$71,0))</f>
        <v>1639</v>
      </c>
      <c r="K721" s="11">
        <f t="shared" si="22"/>
        <v>8195</v>
      </c>
      <c r="L721" s="12">
        <f>DATE(VALUE(RIGHT(Raw_Orders!E721,4)),VALUE(MID(Raw_Orders!E721,4,2)),VALUE(LEFT(Raw_Orders!E721,2)))</f>
        <v>45275</v>
      </c>
      <c r="M721" s="12">
        <f>DATE(VALUE(RIGHT(Raw_Orders!G721,4)),VALUE(MID(Raw_Orders!G721,4,2)),VALUE(LEFT(Raw_Orders!G721,2)))</f>
        <v>45280</v>
      </c>
      <c r="N721" s="7">
        <f t="shared" si="23"/>
        <v>5</v>
      </c>
      <c r="O721" s="7" t="str">
        <f>Raw_Orders!J721</f>
        <v>All Occasions</v>
      </c>
      <c r="P721" s="7" t="str">
        <f>Raw_Orders!I721</f>
        <v>Vellore</v>
      </c>
    </row>
    <row r="722" spans="1:16">
      <c r="A722" s="7" t="str">
        <f>Raw_Orders!A722</f>
        <v>721</v>
      </c>
      <c r="B722" s="7" t="str">
        <f>Raw_Orders!B722</f>
        <v>C022</v>
      </c>
      <c r="C722" s="7" t="str">
        <f>INDEX(Raw_Customers!$B$2:$B$101,MATCH($B722,Raw_Customers!$A$2:$A$101,0))</f>
        <v>Ivana Rout</v>
      </c>
      <c r="D722" s="7" t="str">
        <f>TRIM(INDEX(Raw_Customers!$C$2:$C$101,MATCH($B722,Raw_Customers!$A$2:$A$101,0)))</f>
        <v>Khandwa</v>
      </c>
      <c r="E722" s="7" t="str">
        <f>"+91-"&amp;RIGHT("0000000000"&amp;INDEX(Raw_Customers!$D$2:$D$101,MATCH($B722,Raw_Customers!$A$2:$A$101,0)),10)</f>
        <v>+91-3111711777</v>
      </c>
      <c r="F722" s="7" t="str">
        <f>Raw_Orders!C722</f>
        <v>3</v>
      </c>
      <c r="G722" s="7" t="str">
        <f>INDEX(Raw_Products!$B$2:$B$71,MATCH($F722,Raw_Products!$A$2:$A$71,0))</f>
        <v>Eius Gift</v>
      </c>
      <c r="H722" s="7" t="str">
        <f>INDEX(Raw_Products!$C$2:$C$71,MATCH($F722,Raw_Products!$A$2:$A$71,0))</f>
        <v>Colors</v>
      </c>
      <c r="I722" s="7">
        <f>VALUE(Raw_Orders!D722)</f>
        <v>5</v>
      </c>
      <c r="J722" s="11" t="str">
        <f>INDEX(Raw_Products!$D$2:$D$71,MATCH($F722,Raw_Products!$A$2:$A$71,0))</f>
        <v>1534</v>
      </c>
      <c r="K722" s="11">
        <f t="shared" si="22"/>
        <v>7670</v>
      </c>
      <c r="L722" s="12">
        <f>DATE(VALUE(RIGHT(Raw_Orders!E722,4)),VALUE(MID(Raw_Orders!E722,4,2)),VALUE(LEFT(Raw_Orders!E722,2)))</f>
        <v>44964</v>
      </c>
      <c r="M722" s="12">
        <f>DATE(VALUE(RIGHT(Raw_Orders!G722,4)),VALUE(MID(Raw_Orders!G722,4,2)),VALUE(LEFT(Raw_Orders!G722,2)))</f>
        <v>44974</v>
      </c>
      <c r="N722" s="7">
        <f t="shared" si="23"/>
        <v>10</v>
      </c>
      <c r="O722" s="7" t="str">
        <f>Raw_Orders!J722</f>
        <v>Valentine's Day</v>
      </c>
      <c r="P722" s="7" t="str">
        <f>Raw_Orders!I722</f>
        <v>Vasai-Virar</v>
      </c>
    </row>
    <row r="723" spans="1:16">
      <c r="A723" s="7" t="str">
        <f>Raw_Orders!A723</f>
        <v>722</v>
      </c>
      <c r="B723" s="7" t="str">
        <f>Raw_Orders!B723</f>
        <v>C044</v>
      </c>
      <c r="C723" s="7" t="str">
        <f>INDEX(Raw_Customers!$B$2:$B$101,MATCH($B723,Raw_Customers!$A$2:$A$101,0))</f>
        <v>Seher Mann</v>
      </c>
      <c r="D723" s="7" t="str">
        <f>TRIM(INDEX(Raw_Customers!$C$2:$C$101,MATCH($B723,Raw_Customers!$A$2:$A$101,0)))</f>
        <v>Agra</v>
      </c>
      <c r="E723" s="7" t="str">
        <f>"+91-"&amp;RIGHT("0000000000"&amp;INDEX(Raw_Customers!$D$2:$D$101,MATCH($B723,Raw_Customers!$A$2:$A$101,0)),10)</f>
        <v>+91-9843970658</v>
      </c>
      <c r="F723" s="7" t="str">
        <f>Raw_Orders!C723</f>
        <v>13</v>
      </c>
      <c r="G723" s="7" t="str">
        <f>INDEX(Raw_Products!$B$2:$B$71,MATCH($F723,Raw_Products!$A$2:$A$71,0))</f>
        <v>Et Set</v>
      </c>
      <c r="H723" s="7" t="str">
        <f>INDEX(Raw_Products!$C$2:$C$71,MATCH($F723,Raw_Products!$A$2:$A$71,0))</f>
        <v>Mugs</v>
      </c>
      <c r="I723" s="7">
        <f>VALUE(Raw_Orders!D723)</f>
        <v>5</v>
      </c>
      <c r="J723" s="11" t="str">
        <f>INDEX(Raw_Products!$D$2:$D$71,MATCH($F723,Raw_Products!$A$2:$A$71,0))</f>
        <v>1141</v>
      </c>
      <c r="K723" s="11">
        <f t="shared" si="22"/>
        <v>5705</v>
      </c>
      <c r="L723" s="12">
        <f>DATE(VALUE(RIGHT(Raw_Orders!E723,4)),VALUE(MID(Raw_Orders!E723,4,2)),VALUE(LEFT(Raw_Orders!E723,2)))</f>
        <v>44987</v>
      </c>
      <c r="M723" s="12">
        <f>DATE(VALUE(RIGHT(Raw_Orders!G723,4)),VALUE(MID(Raw_Orders!G723,4,2)),VALUE(LEFT(Raw_Orders!G723,2)))</f>
        <v>44993</v>
      </c>
      <c r="N723" s="7">
        <f t="shared" si="23"/>
        <v>6</v>
      </c>
      <c r="O723" s="7" t="str">
        <f>Raw_Orders!J723</f>
        <v>Holi</v>
      </c>
      <c r="P723" s="7" t="str">
        <f>Raw_Orders!I723</f>
        <v>Mathura</v>
      </c>
    </row>
    <row r="724" spans="1:16">
      <c r="A724" s="7" t="str">
        <f>Raw_Orders!A724</f>
        <v>723</v>
      </c>
      <c r="B724" s="7" t="str">
        <f>Raw_Orders!B724</f>
        <v>C045</v>
      </c>
      <c r="C724" s="7" t="str">
        <f>INDEX(Raw_Customers!$B$2:$B$101,MATCH($B724,Raw_Customers!$A$2:$A$101,0))</f>
        <v>Divit Mahajan</v>
      </c>
      <c r="D724" s="7" t="str">
        <f>TRIM(INDEX(Raw_Customers!$C$2:$C$101,MATCH($B724,Raw_Customers!$A$2:$A$101,0)))</f>
        <v>Maheshtala</v>
      </c>
      <c r="E724" s="7" t="str">
        <f>"+91-"&amp;RIGHT("0000000000"&amp;INDEX(Raw_Customers!$D$2:$D$101,MATCH($B724,Raw_Customers!$A$2:$A$101,0)),10)</f>
        <v>+91-6789522856</v>
      </c>
      <c r="F724" s="7" t="str">
        <f>Raw_Orders!C724</f>
        <v>14</v>
      </c>
      <c r="G724" s="7" t="str">
        <f>INDEX(Raw_Products!$B$2:$B$71,MATCH($F724,Raw_Products!$A$2:$A$71,0))</f>
        <v>Deserunt Box</v>
      </c>
      <c r="H724" s="7" t="str">
        <f>INDEX(Raw_Products!$C$2:$C$71,MATCH($F724,Raw_Products!$A$2:$A$71,0))</f>
        <v>Colors</v>
      </c>
      <c r="I724" s="7">
        <f>VALUE(Raw_Orders!D724)</f>
        <v>3</v>
      </c>
      <c r="J724" s="11" t="str">
        <f>INDEX(Raw_Products!$D$2:$D$71,MATCH($F724,Raw_Products!$A$2:$A$71,0))</f>
        <v>1915</v>
      </c>
      <c r="K724" s="11">
        <f t="shared" si="22"/>
        <v>5745</v>
      </c>
      <c r="L724" s="12">
        <f>DATE(VALUE(RIGHT(Raw_Orders!E724,4)),VALUE(MID(Raw_Orders!E724,4,2)),VALUE(LEFT(Raw_Orders!E724,2)))</f>
        <v>44961</v>
      </c>
      <c r="M724" s="12">
        <f>DATE(VALUE(RIGHT(Raw_Orders!G724,4)),VALUE(MID(Raw_Orders!G724,4,2)),VALUE(LEFT(Raw_Orders!G724,2)))</f>
        <v>44962</v>
      </c>
      <c r="N724" s="7">
        <f t="shared" si="23"/>
        <v>1</v>
      </c>
      <c r="O724" s="7" t="str">
        <f>Raw_Orders!J724</f>
        <v>Birthday</v>
      </c>
      <c r="P724" s="7" t="str">
        <f>Raw_Orders!I724</f>
        <v>Mau</v>
      </c>
    </row>
    <row r="725" spans="1:16">
      <c r="A725" s="7" t="str">
        <f>Raw_Orders!A725</f>
        <v>724</v>
      </c>
      <c r="B725" s="7" t="str">
        <f>Raw_Orders!B725</f>
        <v>C059</v>
      </c>
      <c r="C725" s="7" t="str">
        <f>INDEX(Raw_Customers!$B$2:$B$101,MATCH($B725,Raw_Customers!$A$2:$A$101,0))</f>
        <v>Nirvi Wagle</v>
      </c>
      <c r="D725" s="7" t="str">
        <f>TRIM(INDEX(Raw_Customers!$C$2:$C$101,MATCH($B725,Raw_Customers!$A$2:$A$101,0)))</f>
        <v>Kalyan-Dombivli</v>
      </c>
      <c r="E725" s="7" t="str">
        <f>"+91-"&amp;RIGHT("0000000000"&amp;INDEX(Raw_Customers!$D$2:$D$101,MATCH($B725,Raw_Customers!$A$2:$A$101,0)),10)</f>
        <v>+91-5869821393</v>
      </c>
      <c r="F725" s="7" t="str">
        <f>Raw_Orders!C725</f>
        <v>51</v>
      </c>
      <c r="G725" s="7" t="str">
        <f>INDEX(Raw_Products!$B$2:$B$71,MATCH($F725,Raw_Products!$A$2:$A$71,0))</f>
        <v>Fugit Set</v>
      </c>
      <c r="H725" s="7" t="str">
        <f>INDEX(Raw_Products!$C$2:$C$71,MATCH($F725,Raw_Products!$A$2:$A$71,0))</f>
        <v>Soft Toys</v>
      </c>
      <c r="I725" s="7">
        <f>VALUE(Raw_Orders!D725)</f>
        <v>1</v>
      </c>
      <c r="J725" s="11" t="str">
        <f>INDEX(Raw_Products!$D$2:$D$71,MATCH($F725,Raw_Products!$A$2:$A$71,0))</f>
        <v>1084</v>
      </c>
      <c r="K725" s="11">
        <f t="shared" si="22"/>
        <v>1084</v>
      </c>
      <c r="L725" s="12">
        <f>DATE(VALUE(RIGHT(Raw_Orders!E725,4)),VALUE(MID(Raw_Orders!E725,4,2)),VALUE(LEFT(Raw_Orders!E725,2)))</f>
        <v>45024</v>
      </c>
      <c r="M725" s="12">
        <f>DATE(VALUE(RIGHT(Raw_Orders!G725,4)),VALUE(MID(Raw_Orders!G725,4,2)),VALUE(LEFT(Raw_Orders!G725,2)))</f>
        <v>45032</v>
      </c>
      <c r="N725" s="7">
        <f t="shared" si="23"/>
        <v>8</v>
      </c>
      <c r="O725" s="7" t="str">
        <f>Raw_Orders!J725</f>
        <v>All Occasions</v>
      </c>
      <c r="P725" s="7" t="str">
        <f>Raw_Orders!I725</f>
        <v>Pallavaram</v>
      </c>
    </row>
    <row r="726" spans="1:16">
      <c r="A726" s="7" t="str">
        <f>Raw_Orders!A726</f>
        <v>725</v>
      </c>
      <c r="B726" s="7" t="str">
        <f>Raw_Orders!B726</f>
        <v>C035</v>
      </c>
      <c r="C726" s="7" t="str">
        <f>INDEX(Raw_Customers!$B$2:$B$101,MATCH($B726,Raw_Customers!$A$2:$A$101,0))</f>
        <v>Ira Sarna</v>
      </c>
      <c r="D726" s="7" t="str">
        <f>TRIM(INDEX(Raw_Customers!$C$2:$C$101,MATCH($B726,Raw_Customers!$A$2:$A$101,0)))</f>
        <v>Vellore</v>
      </c>
      <c r="E726" s="7" t="str">
        <f>"+91-"&amp;RIGHT("0000000000"&amp;INDEX(Raw_Customers!$D$2:$D$101,MATCH($B726,Raw_Customers!$A$2:$A$101,0)),10)</f>
        <v>+91-6899648374</v>
      </c>
      <c r="F726" s="7" t="str">
        <f>Raw_Orders!C726</f>
        <v>35</v>
      </c>
      <c r="G726" s="7" t="str">
        <f>INDEX(Raw_Products!$B$2:$B$71,MATCH($F726,Raw_Products!$A$2:$A$71,0))</f>
        <v>Nam Gift</v>
      </c>
      <c r="H726" s="7" t="str">
        <f>INDEX(Raw_Products!$C$2:$C$71,MATCH($F726,Raw_Products!$A$2:$A$71,0))</f>
        <v>Colors</v>
      </c>
      <c r="I726" s="7">
        <f>VALUE(Raw_Orders!D726)</f>
        <v>3</v>
      </c>
      <c r="J726" s="11" t="str">
        <f>INDEX(Raw_Products!$D$2:$D$71,MATCH($F726,Raw_Products!$A$2:$A$71,0))</f>
        <v>1865</v>
      </c>
      <c r="K726" s="11">
        <f t="shared" si="22"/>
        <v>5595</v>
      </c>
      <c r="L726" s="12">
        <f>DATE(VALUE(RIGHT(Raw_Orders!E726,4)),VALUE(MID(Raw_Orders!E726,4,2)),VALUE(LEFT(Raw_Orders!E726,2)))</f>
        <v>44991</v>
      </c>
      <c r="M726" s="12">
        <f>DATE(VALUE(RIGHT(Raw_Orders!G726,4)),VALUE(MID(Raw_Orders!G726,4,2)),VALUE(LEFT(Raw_Orders!G726,2)))</f>
        <v>44996</v>
      </c>
      <c r="N726" s="7">
        <f t="shared" si="23"/>
        <v>5</v>
      </c>
      <c r="O726" s="7" t="str">
        <f>Raw_Orders!J726</f>
        <v>Holi</v>
      </c>
      <c r="P726" s="7" t="str">
        <f>Raw_Orders!I726</f>
        <v>Kishanganj</v>
      </c>
    </row>
    <row r="727" spans="1:16">
      <c r="A727" s="7" t="str">
        <f>Raw_Orders!A727</f>
        <v>726</v>
      </c>
      <c r="B727" s="7" t="str">
        <f>Raw_Orders!B727</f>
        <v>C044</v>
      </c>
      <c r="C727" s="7" t="str">
        <f>INDEX(Raw_Customers!$B$2:$B$101,MATCH($B727,Raw_Customers!$A$2:$A$101,0))</f>
        <v>Seher Mann</v>
      </c>
      <c r="D727" s="7" t="str">
        <f>TRIM(INDEX(Raw_Customers!$C$2:$C$101,MATCH($B727,Raw_Customers!$A$2:$A$101,0)))</f>
        <v>Agra</v>
      </c>
      <c r="E727" s="7" t="str">
        <f>"+91-"&amp;RIGHT("0000000000"&amp;INDEX(Raw_Customers!$D$2:$D$101,MATCH($B727,Raw_Customers!$A$2:$A$101,0)),10)</f>
        <v>+91-9843970658</v>
      </c>
      <c r="F727" s="7" t="str">
        <f>Raw_Orders!C727</f>
        <v>34</v>
      </c>
      <c r="G727" s="7" t="str">
        <f>INDEX(Raw_Products!$B$2:$B$71,MATCH($F727,Raw_Products!$A$2:$A$71,0))</f>
        <v>Placeat Pack</v>
      </c>
      <c r="H727" s="7" t="str">
        <f>INDEX(Raw_Products!$C$2:$C$71,MATCH($F727,Raw_Products!$A$2:$A$71,0))</f>
        <v>Soft Toys</v>
      </c>
      <c r="I727" s="7">
        <f>VALUE(Raw_Orders!D727)</f>
        <v>2</v>
      </c>
      <c r="J727" s="11" t="str">
        <f>INDEX(Raw_Products!$D$2:$D$71,MATCH($F727,Raw_Products!$A$2:$A$71,0))</f>
        <v>1335</v>
      </c>
      <c r="K727" s="11">
        <f t="shared" si="22"/>
        <v>2670</v>
      </c>
      <c r="L727" s="12">
        <f>DATE(VALUE(RIGHT(Raw_Orders!E727,4)),VALUE(MID(Raw_Orders!E727,4,2)),VALUE(LEFT(Raw_Orders!E727,2)))</f>
        <v>45159</v>
      </c>
      <c r="M727" s="12">
        <f>DATE(VALUE(RIGHT(Raw_Orders!G727,4)),VALUE(MID(Raw_Orders!G727,4,2)),VALUE(LEFT(Raw_Orders!G727,2)))</f>
        <v>45169</v>
      </c>
      <c r="N727" s="7">
        <f t="shared" si="23"/>
        <v>10</v>
      </c>
      <c r="O727" s="7" t="str">
        <f>Raw_Orders!J727</f>
        <v>Raksha Bandhan</v>
      </c>
      <c r="P727" s="7" t="str">
        <f>Raw_Orders!I727</f>
        <v>Hindupur</v>
      </c>
    </row>
    <row r="728" spans="1:16">
      <c r="A728" s="7" t="str">
        <f>Raw_Orders!A728</f>
        <v>727</v>
      </c>
      <c r="B728" s="7" t="str">
        <f>Raw_Orders!B728</f>
        <v>C061</v>
      </c>
      <c r="C728" s="7" t="str">
        <f>INDEX(Raw_Customers!$B$2:$B$101,MATCH($B728,Raw_Customers!$A$2:$A$101,0))</f>
        <v>Akarsh Ramesh</v>
      </c>
      <c r="D728" s="7" t="str">
        <f>TRIM(INDEX(Raw_Customers!$C$2:$C$101,MATCH($B728,Raw_Customers!$A$2:$A$101,0)))</f>
        <v>Kavali</v>
      </c>
      <c r="E728" s="7" t="str">
        <f>"+91-"&amp;RIGHT("0000000000"&amp;INDEX(Raw_Customers!$D$2:$D$101,MATCH($B728,Raw_Customers!$A$2:$A$101,0)),10)</f>
        <v>+91-4318554567</v>
      </c>
      <c r="F728" s="7" t="str">
        <f>Raw_Orders!C728</f>
        <v>12</v>
      </c>
      <c r="G728" s="7" t="str">
        <f>INDEX(Raw_Products!$B$2:$B$71,MATCH($F728,Raw_Products!$A$2:$A$71,0))</f>
        <v>Non Set</v>
      </c>
      <c r="H728" s="7" t="str">
        <f>INDEX(Raw_Products!$C$2:$C$71,MATCH($F728,Raw_Products!$A$2:$A$71,0))</f>
        <v>Plants</v>
      </c>
      <c r="I728" s="7">
        <f>VALUE(Raw_Orders!D728)</f>
        <v>5</v>
      </c>
      <c r="J728" s="11" t="str">
        <f>INDEX(Raw_Products!$D$2:$D$71,MATCH($F728,Raw_Products!$A$2:$A$71,0))</f>
        <v>672</v>
      </c>
      <c r="K728" s="11">
        <f t="shared" si="22"/>
        <v>3360</v>
      </c>
      <c r="L728" s="12">
        <f>DATE(VALUE(RIGHT(Raw_Orders!E728,4)),VALUE(MID(Raw_Orders!E728,4,2)),VALUE(LEFT(Raw_Orders!E728,2)))</f>
        <v>45248</v>
      </c>
      <c r="M728" s="12">
        <f>DATE(VALUE(RIGHT(Raw_Orders!G728,4)),VALUE(MID(Raw_Orders!G728,4,2)),VALUE(LEFT(Raw_Orders!G728,2)))</f>
        <v>45252</v>
      </c>
      <c r="N728" s="7">
        <f t="shared" si="23"/>
        <v>4</v>
      </c>
      <c r="O728" s="7" t="str">
        <f>Raw_Orders!J728</f>
        <v>Anniversary</v>
      </c>
      <c r="P728" s="7" t="str">
        <f>Raw_Orders!I728</f>
        <v>Anand</v>
      </c>
    </row>
    <row r="729" spans="1:16">
      <c r="A729" s="7" t="str">
        <f>Raw_Orders!A729</f>
        <v>728</v>
      </c>
      <c r="B729" s="7" t="str">
        <f>Raw_Orders!B729</f>
        <v>C073</v>
      </c>
      <c r="C729" s="7" t="str">
        <f>INDEX(Raw_Customers!$B$2:$B$101,MATCH($B729,Raw_Customers!$A$2:$A$101,0))</f>
        <v>Zeeshan Tailor</v>
      </c>
      <c r="D729" s="7" t="str">
        <f>TRIM(INDEX(Raw_Customers!$C$2:$C$101,MATCH($B729,Raw_Customers!$A$2:$A$101,0)))</f>
        <v>Parbhani</v>
      </c>
      <c r="E729" s="7" t="str">
        <f>"+91-"&amp;RIGHT("0000000000"&amp;INDEX(Raw_Customers!$D$2:$D$101,MATCH($B729,Raw_Customers!$A$2:$A$101,0)),10)</f>
        <v>+91-8037721297</v>
      </c>
      <c r="F729" s="7" t="str">
        <f>Raw_Orders!C729</f>
        <v>52</v>
      </c>
      <c r="G729" s="7" t="str">
        <f>INDEX(Raw_Products!$B$2:$B$71,MATCH($F729,Raw_Products!$A$2:$A$71,0))</f>
        <v>Dolorum Box</v>
      </c>
      <c r="H729" s="7" t="str">
        <f>INDEX(Raw_Products!$C$2:$C$71,MATCH($F729,Raw_Products!$A$2:$A$71,0))</f>
        <v>Raksha Bandhan</v>
      </c>
      <c r="I729" s="7">
        <f>VALUE(Raw_Orders!D729)</f>
        <v>2</v>
      </c>
      <c r="J729" s="11" t="str">
        <f>INDEX(Raw_Products!$D$2:$D$71,MATCH($F729,Raw_Products!$A$2:$A$71,0))</f>
        <v>236</v>
      </c>
      <c r="K729" s="11">
        <f t="shared" si="22"/>
        <v>472</v>
      </c>
      <c r="L729" s="12">
        <f>DATE(VALUE(RIGHT(Raw_Orders!E729,4)),VALUE(MID(Raw_Orders!E729,4,2)),VALUE(LEFT(Raw_Orders!E729,2)))</f>
        <v>44965</v>
      </c>
      <c r="M729" s="12">
        <f>DATE(VALUE(RIGHT(Raw_Orders!G729,4)),VALUE(MID(Raw_Orders!G729,4,2)),VALUE(LEFT(Raw_Orders!G729,2)))</f>
        <v>44968</v>
      </c>
      <c r="N729" s="7">
        <f t="shared" si="23"/>
        <v>3</v>
      </c>
      <c r="O729" s="7" t="str">
        <f>Raw_Orders!J729</f>
        <v>Valentine's Day</v>
      </c>
      <c r="P729" s="7" t="str">
        <f>Raw_Orders!I729</f>
        <v>Panchkula</v>
      </c>
    </row>
    <row r="730" spans="1:16">
      <c r="A730" s="7" t="str">
        <f>Raw_Orders!A730</f>
        <v>729</v>
      </c>
      <c r="B730" s="7" t="str">
        <f>Raw_Orders!B730</f>
        <v>C030</v>
      </c>
      <c r="C730" s="7" t="str">
        <f>INDEX(Raw_Customers!$B$2:$B$101,MATCH($B730,Raw_Customers!$A$2:$A$101,0))</f>
        <v>Vardaniya Contractor</v>
      </c>
      <c r="D730" s="7" t="str">
        <f>TRIM(INDEX(Raw_Customers!$C$2:$C$101,MATCH($B730,Raw_Customers!$A$2:$A$101,0)))</f>
        <v>Sambhal</v>
      </c>
      <c r="E730" s="7" t="str">
        <f>"+91-"&amp;RIGHT("0000000000"&amp;INDEX(Raw_Customers!$D$2:$D$101,MATCH($B730,Raw_Customers!$A$2:$A$101,0)),10)</f>
        <v>+91-9972300876</v>
      </c>
      <c r="F730" s="7" t="str">
        <f>Raw_Orders!C730</f>
        <v>17</v>
      </c>
      <c r="G730" s="7" t="str">
        <f>INDEX(Raw_Products!$B$2:$B$71,MATCH($F730,Raw_Products!$A$2:$A$71,0))</f>
        <v>Delectus Gift</v>
      </c>
      <c r="H730" s="7" t="str">
        <f>INDEX(Raw_Products!$C$2:$C$71,MATCH($F730,Raw_Products!$A$2:$A$71,0))</f>
        <v>Soft Toys</v>
      </c>
      <c r="I730" s="7">
        <f>VALUE(Raw_Orders!D730)</f>
        <v>1</v>
      </c>
      <c r="J730" s="11" t="str">
        <f>INDEX(Raw_Products!$D$2:$D$71,MATCH($F730,Raw_Products!$A$2:$A$71,0))</f>
        <v>1899</v>
      </c>
      <c r="K730" s="11">
        <f t="shared" si="22"/>
        <v>1899</v>
      </c>
      <c r="L730" s="12">
        <f>DATE(VALUE(RIGHT(Raw_Orders!E730,4)),VALUE(MID(Raw_Orders!E730,4,2)),VALUE(LEFT(Raw_Orders!E730,2)))</f>
        <v>44980</v>
      </c>
      <c r="M730" s="12">
        <f>DATE(VALUE(RIGHT(Raw_Orders!G730,4)),VALUE(MID(Raw_Orders!G730,4,2)),VALUE(LEFT(Raw_Orders!G730,2)))</f>
        <v>44982</v>
      </c>
      <c r="N730" s="7">
        <f t="shared" si="23"/>
        <v>2</v>
      </c>
      <c r="O730" s="7" t="str">
        <f>Raw_Orders!J730</f>
        <v>Anniversary</v>
      </c>
      <c r="P730" s="7" t="str">
        <f>Raw_Orders!I730</f>
        <v>Kollam</v>
      </c>
    </row>
    <row r="731" spans="1:16">
      <c r="A731" s="7" t="str">
        <f>Raw_Orders!A731</f>
        <v>730</v>
      </c>
      <c r="B731" s="7" t="str">
        <f>Raw_Orders!B731</f>
        <v>C097</v>
      </c>
      <c r="C731" s="7" t="str">
        <f>INDEX(Raw_Customers!$B$2:$B$101,MATCH($B731,Raw_Customers!$A$2:$A$101,0))</f>
        <v>Nakul Randhawa</v>
      </c>
      <c r="D731" s="7" t="str">
        <f>TRIM(INDEX(Raw_Customers!$C$2:$C$101,MATCH($B731,Raw_Customers!$A$2:$A$101,0)))</f>
        <v>Sri Ganganagar</v>
      </c>
      <c r="E731" s="7" t="str">
        <f>"+91-"&amp;RIGHT("0000000000"&amp;INDEX(Raw_Customers!$D$2:$D$101,MATCH($B731,Raw_Customers!$A$2:$A$101,0)),10)</f>
        <v>+91-0456900126</v>
      </c>
      <c r="F731" s="7" t="str">
        <f>Raw_Orders!C731</f>
        <v>59</v>
      </c>
      <c r="G731" s="7" t="str">
        <f>INDEX(Raw_Products!$B$2:$B$71,MATCH($F731,Raw_Products!$A$2:$A$71,0))</f>
        <v>Pariatur Box</v>
      </c>
      <c r="H731" s="7" t="str">
        <f>INDEX(Raw_Products!$C$2:$C$71,MATCH($F731,Raw_Products!$A$2:$A$71,0))</f>
        <v>Cake</v>
      </c>
      <c r="I731" s="7">
        <f>VALUE(Raw_Orders!D731)</f>
        <v>1</v>
      </c>
      <c r="J731" s="11" t="str">
        <f>INDEX(Raw_Products!$D$2:$D$71,MATCH($F731,Raw_Products!$A$2:$A$71,0))</f>
        <v>811</v>
      </c>
      <c r="K731" s="11">
        <f t="shared" si="22"/>
        <v>811</v>
      </c>
      <c r="L731" s="12">
        <f>DATE(VALUE(RIGHT(Raw_Orders!E731,4)),VALUE(MID(Raw_Orders!E731,4,2)),VALUE(LEFT(Raw_Orders!E731,2)))</f>
        <v>45160</v>
      </c>
      <c r="M731" s="12">
        <f>DATE(VALUE(RIGHT(Raw_Orders!G731,4)),VALUE(MID(Raw_Orders!G731,4,2)),VALUE(LEFT(Raw_Orders!G731,2)))</f>
        <v>45163</v>
      </c>
      <c r="N731" s="7">
        <f t="shared" si="23"/>
        <v>3</v>
      </c>
      <c r="O731" s="7" t="str">
        <f>Raw_Orders!J731</f>
        <v>Raksha Bandhan</v>
      </c>
      <c r="P731" s="7" t="str">
        <f>Raw_Orders!I731</f>
        <v>Sangli-Miraj &amp; Kupwad</v>
      </c>
    </row>
    <row r="732" spans="1:16">
      <c r="A732" s="7" t="str">
        <f>Raw_Orders!A732</f>
        <v>731</v>
      </c>
      <c r="B732" s="7" t="str">
        <f>Raw_Orders!B732</f>
        <v>C083</v>
      </c>
      <c r="C732" s="7" t="str">
        <f>INDEX(Raw_Customers!$B$2:$B$101,MATCH($B732,Raw_Customers!$A$2:$A$101,0))</f>
        <v>Aaryahi Sodhi</v>
      </c>
      <c r="D732" s="7" t="str">
        <f>TRIM(INDEX(Raw_Customers!$C$2:$C$101,MATCH($B732,Raw_Customers!$A$2:$A$101,0)))</f>
        <v>Raurkela Industrial Township</v>
      </c>
      <c r="E732" s="7" t="str">
        <f>"+91-"&amp;RIGHT("0000000000"&amp;INDEX(Raw_Customers!$D$2:$D$101,MATCH($B732,Raw_Customers!$A$2:$A$101,0)),10)</f>
        <v>+91-2690208110</v>
      </c>
      <c r="F732" s="7" t="str">
        <f>Raw_Orders!C732</f>
        <v>59</v>
      </c>
      <c r="G732" s="7" t="str">
        <f>INDEX(Raw_Products!$B$2:$B$71,MATCH($F732,Raw_Products!$A$2:$A$71,0))</f>
        <v>Pariatur Box</v>
      </c>
      <c r="H732" s="7" t="str">
        <f>INDEX(Raw_Products!$C$2:$C$71,MATCH($F732,Raw_Products!$A$2:$A$71,0))</f>
        <v>Cake</v>
      </c>
      <c r="I732" s="7">
        <f>VALUE(Raw_Orders!D732)</f>
        <v>5</v>
      </c>
      <c r="J732" s="11" t="str">
        <f>INDEX(Raw_Products!$D$2:$D$71,MATCH($F732,Raw_Products!$A$2:$A$71,0))</f>
        <v>811</v>
      </c>
      <c r="K732" s="11">
        <f t="shared" si="22"/>
        <v>4055</v>
      </c>
      <c r="L732" s="12">
        <f>DATE(VALUE(RIGHT(Raw_Orders!E732,4)),VALUE(MID(Raw_Orders!E732,4,2)),VALUE(LEFT(Raw_Orders!E732,2)))</f>
        <v>45163</v>
      </c>
      <c r="M732" s="12">
        <f>DATE(VALUE(RIGHT(Raw_Orders!G732,4)),VALUE(MID(Raw_Orders!G732,4,2)),VALUE(LEFT(Raw_Orders!G732,2)))</f>
        <v>45171</v>
      </c>
      <c r="N732" s="7">
        <f t="shared" si="23"/>
        <v>8</v>
      </c>
      <c r="O732" s="7" t="str">
        <f>Raw_Orders!J732</f>
        <v>Raksha Bandhan</v>
      </c>
      <c r="P732" s="7" t="str">
        <f>Raw_Orders!I732</f>
        <v>Bulandshahr</v>
      </c>
    </row>
    <row r="733" spans="1:16">
      <c r="A733" s="7" t="str">
        <f>Raw_Orders!A733</f>
        <v>732</v>
      </c>
      <c r="B733" s="7" t="str">
        <f>Raw_Orders!B733</f>
        <v>C087</v>
      </c>
      <c r="C733" s="7" t="str">
        <f>INDEX(Raw_Customers!$B$2:$B$101,MATCH($B733,Raw_Customers!$A$2:$A$101,0))</f>
        <v>Rania Bhatt</v>
      </c>
      <c r="D733" s="7" t="str">
        <f>TRIM(INDEX(Raw_Customers!$C$2:$C$101,MATCH($B733,Raw_Customers!$A$2:$A$101,0)))</f>
        <v>North Dumdum</v>
      </c>
      <c r="E733" s="7" t="str">
        <f>"+91-"&amp;RIGHT("0000000000"&amp;INDEX(Raw_Customers!$D$2:$D$101,MATCH($B733,Raw_Customers!$A$2:$A$101,0)),10)</f>
        <v>+91-2112404207</v>
      </c>
      <c r="F733" s="7" t="str">
        <f>Raw_Orders!C733</f>
        <v>1</v>
      </c>
      <c r="G733" s="7" t="str">
        <f>INDEX(Raw_Products!$B$2:$B$71,MATCH($F733,Raw_Products!$A$2:$A$71,0))</f>
        <v>Magnam Set</v>
      </c>
      <c r="H733" s="7" t="str">
        <f>INDEX(Raw_Products!$C$2:$C$71,MATCH($F733,Raw_Products!$A$2:$A$71,0))</f>
        <v>Soft Toys</v>
      </c>
      <c r="I733" s="7">
        <f>VALUE(Raw_Orders!D733)</f>
        <v>2</v>
      </c>
      <c r="J733" s="11" t="str">
        <f>INDEX(Raw_Products!$D$2:$D$71,MATCH($F733,Raw_Products!$A$2:$A$71,0))</f>
        <v>1935</v>
      </c>
      <c r="K733" s="11">
        <f t="shared" si="22"/>
        <v>3870</v>
      </c>
      <c r="L733" s="12">
        <f>DATE(VALUE(RIGHT(Raw_Orders!E733,4)),VALUE(MID(Raw_Orders!E733,4,2)),VALUE(LEFT(Raw_Orders!E733,2)))</f>
        <v>45215</v>
      </c>
      <c r="M733" s="12">
        <f>DATE(VALUE(RIGHT(Raw_Orders!G733,4)),VALUE(MID(Raw_Orders!G733,4,2)),VALUE(LEFT(Raw_Orders!G733,2)))</f>
        <v>45220</v>
      </c>
      <c r="N733" s="7">
        <f t="shared" si="23"/>
        <v>5</v>
      </c>
      <c r="O733" s="7" t="str">
        <f>Raw_Orders!J733</f>
        <v>All Occasions</v>
      </c>
      <c r="P733" s="7" t="str">
        <f>Raw_Orders!I733</f>
        <v>Bongaigaon</v>
      </c>
    </row>
    <row r="734" spans="1:16">
      <c r="A734" s="7" t="str">
        <f>Raw_Orders!A734</f>
        <v>733</v>
      </c>
      <c r="B734" s="7" t="str">
        <f>Raw_Orders!B734</f>
        <v>C060</v>
      </c>
      <c r="C734" s="7" t="str">
        <f>INDEX(Raw_Customers!$B$2:$B$101,MATCH($B734,Raw_Customers!$A$2:$A$101,0))</f>
        <v>Riya Wagle</v>
      </c>
      <c r="D734" s="7" t="str">
        <f>TRIM(INDEX(Raw_Customers!$C$2:$C$101,MATCH($B734,Raw_Customers!$A$2:$A$101,0)))</f>
        <v>Satara</v>
      </c>
      <c r="E734" s="7" t="str">
        <f>"+91-"&amp;RIGHT("0000000000"&amp;INDEX(Raw_Customers!$D$2:$D$101,MATCH($B734,Raw_Customers!$A$2:$A$101,0)),10)</f>
        <v>+91-0214103009</v>
      </c>
      <c r="F734" s="7" t="str">
        <f>Raw_Orders!C734</f>
        <v>32</v>
      </c>
      <c r="G734" s="7" t="str">
        <f>INDEX(Raw_Products!$B$2:$B$71,MATCH($F734,Raw_Products!$A$2:$A$71,0))</f>
        <v>Fuga Set</v>
      </c>
      <c r="H734" s="7" t="str">
        <f>INDEX(Raw_Products!$C$2:$C$71,MATCH($F734,Raw_Products!$A$2:$A$71,0))</f>
        <v>Soft Toys</v>
      </c>
      <c r="I734" s="7">
        <f>VALUE(Raw_Orders!D734)</f>
        <v>3</v>
      </c>
      <c r="J734" s="11" t="str">
        <f>INDEX(Raw_Products!$D$2:$D$71,MATCH($F734,Raw_Products!$A$2:$A$71,0))</f>
        <v>1792</v>
      </c>
      <c r="K734" s="11">
        <f t="shared" si="22"/>
        <v>5376</v>
      </c>
      <c r="L734" s="12">
        <f>DATE(VALUE(RIGHT(Raw_Orders!E734,4)),VALUE(MID(Raw_Orders!E734,4,2)),VALUE(LEFT(Raw_Orders!E734,2)))</f>
        <v>45017</v>
      </c>
      <c r="M734" s="12">
        <f>DATE(VALUE(RIGHT(Raw_Orders!G734,4)),VALUE(MID(Raw_Orders!G734,4,2)),VALUE(LEFT(Raw_Orders!G734,2)))</f>
        <v>45019</v>
      </c>
      <c r="N734" s="7">
        <f t="shared" si="23"/>
        <v>2</v>
      </c>
      <c r="O734" s="7" t="str">
        <f>Raw_Orders!J734</f>
        <v>Birthday</v>
      </c>
      <c r="P734" s="7" t="str">
        <f>Raw_Orders!I734</f>
        <v>Ludhiana</v>
      </c>
    </row>
    <row r="735" spans="1:16">
      <c r="A735" s="7" t="str">
        <f>Raw_Orders!A735</f>
        <v>734</v>
      </c>
      <c r="B735" s="7" t="str">
        <f>Raw_Orders!B735</f>
        <v>C008</v>
      </c>
      <c r="C735" s="7" t="str">
        <f>INDEX(Raw_Customers!$B$2:$B$101,MATCH($B735,Raw_Customers!$A$2:$A$101,0))</f>
        <v>Veer Ray</v>
      </c>
      <c r="D735" s="7" t="str">
        <f>TRIM(INDEX(Raw_Customers!$C$2:$C$101,MATCH($B735,Raw_Customers!$A$2:$A$101,0)))</f>
        <v>Chinsurah</v>
      </c>
      <c r="E735" s="7" t="str">
        <f>"+91-"&amp;RIGHT("0000000000"&amp;INDEX(Raw_Customers!$D$2:$D$101,MATCH($B735,Raw_Customers!$A$2:$A$101,0)),10)</f>
        <v>+91-7138085704</v>
      </c>
      <c r="F735" s="7" t="str">
        <f>Raw_Orders!C735</f>
        <v>49</v>
      </c>
      <c r="G735" s="7" t="str">
        <f>INDEX(Raw_Products!$B$2:$B$71,MATCH($F735,Raw_Products!$A$2:$A$71,0))</f>
        <v>Voluptate Pack</v>
      </c>
      <c r="H735" s="7" t="str">
        <f>INDEX(Raw_Products!$C$2:$C$71,MATCH($F735,Raw_Products!$A$2:$A$71,0))</f>
        <v>Colors</v>
      </c>
      <c r="I735" s="7">
        <f>VALUE(Raw_Orders!D735)</f>
        <v>3</v>
      </c>
      <c r="J735" s="11" t="str">
        <f>INDEX(Raw_Products!$D$2:$D$71,MATCH($F735,Raw_Products!$A$2:$A$71,0))</f>
        <v>903</v>
      </c>
      <c r="K735" s="11">
        <f t="shared" si="22"/>
        <v>2709</v>
      </c>
      <c r="L735" s="12">
        <f>DATE(VALUE(RIGHT(Raw_Orders!E735,4)),VALUE(MID(Raw_Orders!E735,4,2)),VALUE(LEFT(Raw_Orders!E735,2)))</f>
        <v>44968</v>
      </c>
      <c r="M735" s="12">
        <f>DATE(VALUE(RIGHT(Raw_Orders!G735,4)),VALUE(MID(Raw_Orders!G735,4,2)),VALUE(LEFT(Raw_Orders!G735,2)))</f>
        <v>44971</v>
      </c>
      <c r="N735" s="7">
        <f t="shared" si="23"/>
        <v>3</v>
      </c>
      <c r="O735" s="7" t="str">
        <f>Raw_Orders!J735</f>
        <v>Valentine's Day</v>
      </c>
      <c r="P735" s="7" t="str">
        <f>Raw_Orders!I735</f>
        <v>Morena</v>
      </c>
    </row>
    <row r="736" spans="1:16">
      <c r="A736" s="7" t="str">
        <f>Raw_Orders!A736</f>
        <v>735</v>
      </c>
      <c r="B736" s="7" t="str">
        <f>Raw_Orders!B736</f>
        <v>C037</v>
      </c>
      <c r="C736" s="7" t="str">
        <f>INDEX(Raw_Customers!$B$2:$B$101,MATCH($B736,Raw_Customers!$A$2:$A$101,0))</f>
        <v>Aradhya Kumar</v>
      </c>
      <c r="D736" s="7" t="str">
        <f>TRIM(INDEX(Raw_Customers!$C$2:$C$101,MATCH($B736,Raw_Customers!$A$2:$A$101,0)))</f>
        <v>Davanagere</v>
      </c>
      <c r="E736" s="7" t="str">
        <f>"+91-"&amp;RIGHT("0000000000"&amp;INDEX(Raw_Customers!$D$2:$D$101,MATCH($B736,Raw_Customers!$A$2:$A$101,0)),10)</f>
        <v>+91-1972392634</v>
      </c>
      <c r="F736" s="7" t="str">
        <f>Raw_Orders!C736</f>
        <v>56</v>
      </c>
      <c r="G736" s="7" t="str">
        <f>INDEX(Raw_Products!$B$2:$B$71,MATCH($F736,Raw_Products!$A$2:$A$71,0))</f>
        <v>Quia Gift</v>
      </c>
      <c r="H736" s="7" t="str">
        <f>INDEX(Raw_Products!$C$2:$C$71,MATCH($F736,Raw_Products!$A$2:$A$71,0))</f>
        <v>Raksha Bandhan</v>
      </c>
      <c r="I736" s="7">
        <f>VALUE(Raw_Orders!D736)</f>
        <v>1</v>
      </c>
      <c r="J736" s="11" t="str">
        <f>INDEX(Raw_Products!$D$2:$D$71,MATCH($F736,Raw_Products!$A$2:$A$71,0))</f>
        <v>1272</v>
      </c>
      <c r="K736" s="11">
        <f t="shared" si="22"/>
        <v>1272</v>
      </c>
      <c r="L736" s="12">
        <f>DATE(VALUE(RIGHT(Raw_Orders!E736,4)),VALUE(MID(Raw_Orders!E736,4,2)),VALUE(LEFT(Raw_Orders!E736,2)))</f>
        <v>44959</v>
      </c>
      <c r="M736" s="12">
        <f>DATE(VALUE(RIGHT(Raw_Orders!G736,4)),VALUE(MID(Raw_Orders!G736,4,2)),VALUE(LEFT(Raw_Orders!G736,2)))</f>
        <v>44961</v>
      </c>
      <c r="N736" s="7">
        <f t="shared" si="23"/>
        <v>2</v>
      </c>
      <c r="O736" s="7" t="str">
        <f>Raw_Orders!J736</f>
        <v>Anniversary</v>
      </c>
      <c r="P736" s="7" t="str">
        <f>Raw_Orders!I736</f>
        <v>Nandyal</v>
      </c>
    </row>
    <row r="737" spans="1:16">
      <c r="A737" s="7" t="str">
        <f>Raw_Orders!A737</f>
        <v>736</v>
      </c>
      <c r="B737" s="7" t="str">
        <f>Raw_Orders!B737</f>
        <v>C008</v>
      </c>
      <c r="C737" s="7" t="str">
        <f>INDEX(Raw_Customers!$B$2:$B$101,MATCH($B737,Raw_Customers!$A$2:$A$101,0))</f>
        <v>Veer Ray</v>
      </c>
      <c r="D737" s="7" t="str">
        <f>TRIM(INDEX(Raw_Customers!$C$2:$C$101,MATCH($B737,Raw_Customers!$A$2:$A$101,0)))</f>
        <v>Chinsurah</v>
      </c>
      <c r="E737" s="7" t="str">
        <f>"+91-"&amp;RIGHT("0000000000"&amp;INDEX(Raw_Customers!$D$2:$D$101,MATCH($B737,Raw_Customers!$A$2:$A$101,0)),10)</f>
        <v>+91-7138085704</v>
      </c>
      <c r="F737" s="7" t="str">
        <f>Raw_Orders!C737</f>
        <v>70</v>
      </c>
      <c r="G737" s="7" t="str">
        <f>INDEX(Raw_Products!$B$2:$B$71,MATCH($F737,Raw_Products!$A$2:$A$71,0))</f>
        <v>Error Gift</v>
      </c>
      <c r="H737" s="7" t="str">
        <f>INDEX(Raw_Products!$C$2:$C$71,MATCH($F737,Raw_Products!$A$2:$A$71,0))</f>
        <v>Sweets</v>
      </c>
      <c r="I737" s="7">
        <f>VALUE(Raw_Orders!D737)</f>
        <v>5</v>
      </c>
      <c r="J737" s="11" t="str">
        <f>INDEX(Raw_Products!$D$2:$D$71,MATCH($F737,Raw_Products!$A$2:$A$71,0))</f>
        <v>866</v>
      </c>
      <c r="K737" s="11">
        <f t="shared" si="22"/>
        <v>4330</v>
      </c>
      <c r="L737" s="12">
        <f>DATE(VALUE(RIGHT(Raw_Orders!E737,4)),VALUE(MID(Raw_Orders!E737,4,2)),VALUE(LEFT(Raw_Orders!E737,2)))</f>
        <v>45048</v>
      </c>
      <c r="M737" s="12">
        <f>DATE(VALUE(RIGHT(Raw_Orders!G737,4)),VALUE(MID(Raw_Orders!G737,4,2)),VALUE(LEFT(Raw_Orders!G737,2)))</f>
        <v>45057</v>
      </c>
      <c r="N737" s="7">
        <f t="shared" si="23"/>
        <v>9</v>
      </c>
      <c r="O737" s="7" t="str">
        <f>Raw_Orders!J737</f>
        <v>Birthday</v>
      </c>
      <c r="P737" s="7" t="str">
        <f>Raw_Orders!I737</f>
        <v>Ghaziabad</v>
      </c>
    </row>
    <row r="738" spans="1:16">
      <c r="A738" s="7" t="str">
        <f>Raw_Orders!A738</f>
        <v>737</v>
      </c>
      <c r="B738" s="7" t="str">
        <f>Raw_Orders!B738</f>
        <v>C068</v>
      </c>
      <c r="C738" s="7" t="str">
        <f>INDEX(Raw_Customers!$B$2:$B$101,MATCH($B738,Raw_Customers!$A$2:$A$101,0))</f>
        <v>Ritvik Garde</v>
      </c>
      <c r="D738" s="7" t="str">
        <f>TRIM(INDEX(Raw_Customers!$C$2:$C$101,MATCH($B738,Raw_Customers!$A$2:$A$101,0)))</f>
        <v>Kalyan-Dombivli</v>
      </c>
      <c r="E738" s="7" t="str">
        <f>"+91-"&amp;RIGHT("0000000000"&amp;INDEX(Raw_Customers!$D$2:$D$101,MATCH($B738,Raw_Customers!$A$2:$A$101,0)),10)</f>
        <v>+91-3719858588</v>
      </c>
      <c r="F738" s="7" t="str">
        <f>Raw_Orders!C738</f>
        <v>46</v>
      </c>
      <c r="G738" s="7" t="str">
        <f>INDEX(Raw_Products!$B$2:$B$71,MATCH($F738,Raw_Products!$A$2:$A$71,0))</f>
        <v>Pariatur Set</v>
      </c>
      <c r="H738" s="7" t="str">
        <f>INDEX(Raw_Products!$C$2:$C$71,MATCH($F738,Raw_Products!$A$2:$A$71,0))</f>
        <v>Cake</v>
      </c>
      <c r="I738" s="7">
        <f>VALUE(Raw_Orders!D738)</f>
        <v>5</v>
      </c>
      <c r="J738" s="11" t="str">
        <f>INDEX(Raw_Products!$D$2:$D$71,MATCH($F738,Raw_Products!$A$2:$A$71,0))</f>
        <v>758</v>
      </c>
      <c r="K738" s="11">
        <f t="shared" si="22"/>
        <v>3790</v>
      </c>
      <c r="L738" s="12">
        <f>DATE(VALUE(RIGHT(Raw_Orders!E738,4)),VALUE(MID(Raw_Orders!E738,4,2)),VALUE(LEFT(Raw_Orders!E738,2)))</f>
        <v>45183</v>
      </c>
      <c r="M738" s="12">
        <f>DATE(VALUE(RIGHT(Raw_Orders!G738,4)),VALUE(MID(Raw_Orders!G738,4,2)),VALUE(LEFT(Raw_Orders!G738,2)))</f>
        <v>45186</v>
      </c>
      <c r="N738" s="7">
        <f t="shared" si="23"/>
        <v>3</v>
      </c>
      <c r="O738" s="7" t="str">
        <f>Raw_Orders!J738</f>
        <v>Anniversary</v>
      </c>
      <c r="P738" s="7" t="str">
        <f>Raw_Orders!I738</f>
        <v>Bhilwara</v>
      </c>
    </row>
    <row r="739" spans="1:16">
      <c r="A739" s="7" t="str">
        <f>Raw_Orders!A739</f>
        <v>738</v>
      </c>
      <c r="B739" s="7" t="str">
        <f>Raw_Orders!B739</f>
        <v>C098</v>
      </c>
      <c r="C739" s="7" t="str">
        <f>INDEX(Raw_Customers!$B$2:$B$101,MATCH($B739,Raw_Customers!$A$2:$A$101,0))</f>
        <v>Navya Golla</v>
      </c>
      <c r="D739" s="7" t="str">
        <f>TRIM(INDEX(Raw_Customers!$C$2:$C$101,MATCH($B739,Raw_Customers!$A$2:$A$101,0)))</f>
        <v>Cuttack</v>
      </c>
      <c r="E739" s="7" t="str">
        <f>"+91-"&amp;RIGHT("0000000000"&amp;INDEX(Raw_Customers!$D$2:$D$101,MATCH($B739,Raw_Customers!$A$2:$A$101,0)),10)</f>
        <v>+91-4461213936</v>
      </c>
      <c r="F739" s="7" t="str">
        <f>Raw_Orders!C739</f>
        <v>16</v>
      </c>
      <c r="G739" s="7" t="str">
        <f>INDEX(Raw_Products!$B$2:$B$71,MATCH($F739,Raw_Products!$A$2:$A$71,0))</f>
        <v>Ut Pack</v>
      </c>
      <c r="H739" s="7" t="str">
        <f>INDEX(Raw_Products!$C$2:$C$71,MATCH($F739,Raw_Products!$A$2:$A$71,0))</f>
        <v>Sweets</v>
      </c>
      <c r="I739" s="7">
        <f>VALUE(Raw_Orders!D739)</f>
        <v>5</v>
      </c>
      <c r="J739" s="11" t="str">
        <f>INDEX(Raw_Products!$D$2:$D$71,MATCH($F739,Raw_Products!$A$2:$A$71,0))</f>
        <v>1721</v>
      </c>
      <c r="K739" s="11">
        <f t="shared" si="22"/>
        <v>8605</v>
      </c>
      <c r="L739" s="12">
        <f>DATE(VALUE(RIGHT(Raw_Orders!E739,4)),VALUE(MID(Raw_Orders!E739,4,2)),VALUE(LEFT(Raw_Orders!E739,2)))</f>
        <v>44988</v>
      </c>
      <c r="M739" s="12">
        <f>DATE(VALUE(RIGHT(Raw_Orders!G739,4)),VALUE(MID(Raw_Orders!G739,4,2)),VALUE(LEFT(Raw_Orders!G739,2)))</f>
        <v>44994</v>
      </c>
      <c r="N739" s="7">
        <f t="shared" si="23"/>
        <v>6</v>
      </c>
      <c r="O739" s="7" t="str">
        <f>Raw_Orders!J739</f>
        <v>Holi</v>
      </c>
      <c r="P739" s="7" t="str">
        <f>Raw_Orders!I739</f>
        <v>Maheshtala</v>
      </c>
    </row>
    <row r="740" spans="1:16">
      <c r="A740" s="7" t="str">
        <f>Raw_Orders!A740</f>
        <v>739</v>
      </c>
      <c r="B740" s="7" t="str">
        <f>Raw_Orders!B740</f>
        <v>C094</v>
      </c>
      <c r="C740" s="7" t="str">
        <f>INDEX(Raw_Customers!$B$2:$B$101,MATCH($B740,Raw_Customers!$A$2:$A$101,0))</f>
        <v>Raghav Babu</v>
      </c>
      <c r="D740" s="7" t="str">
        <f>TRIM(INDEX(Raw_Customers!$C$2:$C$101,MATCH($B740,Raw_Customers!$A$2:$A$101,0)))</f>
        <v>Deoghar</v>
      </c>
      <c r="E740" s="7" t="str">
        <f>"+91-"&amp;RIGHT("0000000000"&amp;INDEX(Raw_Customers!$D$2:$D$101,MATCH($B740,Raw_Customers!$A$2:$A$101,0)),10)</f>
        <v>+91-4638480067</v>
      </c>
      <c r="F740" s="7" t="str">
        <f>Raw_Orders!C740</f>
        <v>24</v>
      </c>
      <c r="G740" s="7" t="str">
        <f>INDEX(Raw_Products!$B$2:$B$71,MATCH($F740,Raw_Products!$A$2:$A$71,0))</f>
        <v>Ad Box</v>
      </c>
      <c r="H740" s="7" t="str">
        <f>INDEX(Raw_Products!$C$2:$C$71,MATCH($F740,Raw_Products!$A$2:$A$71,0))</f>
        <v>Mugs</v>
      </c>
      <c r="I740" s="7">
        <f>VALUE(Raw_Orders!D740)</f>
        <v>5</v>
      </c>
      <c r="J740" s="11" t="str">
        <f>INDEX(Raw_Products!$D$2:$D$71,MATCH($F740,Raw_Products!$A$2:$A$71,0))</f>
        <v>535</v>
      </c>
      <c r="K740" s="11">
        <f t="shared" si="22"/>
        <v>2675</v>
      </c>
      <c r="L740" s="12">
        <f>DATE(VALUE(RIGHT(Raw_Orders!E740,4)),VALUE(MID(Raw_Orders!E740,4,2)),VALUE(LEFT(Raw_Orders!E740,2)))</f>
        <v>44956</v>
      </c>
      <c r="M740" s="12">
        <f>DATE(VALUE(RIGHT(Raw_Orders!G740,4)),VALUE(MID(Raw_Orders!G740,4,2)),VALUE(LEFT(Raw_Orders!G740,2)))</f>
        <v>44960</v>
      </c>
      <c r="N740" s="7">
        <f t="shared" si="23"/>
        <v>4</v>
      </c>
      <c r="O740" s="7" t="str">
        <f>Raw_Orders!J740</f>
        <v>Birthday</v>
      </c>
      <c r="P740" s="7" t="str">
        <f>Raw_Orders!I740</f>
        <v>Berhampur</v>
      </c>
    </row>
    <row r="741" spans="1:16">
      <c r="A741" s="7" t="str">
        <f>Raw_Orders!A741</f>
        <v>740</v>
      </c>
      <c r="B741" s="7" t="str">
        <f>Raw_Orders!B741</f>
        <v>C004</v>
      </c>
      <c r="C741" s="7" t="str">
        <f>INDEX(Raw_Customers!$B$2:$B$101,MATCH($B741,Raw_Customers!$A$2:$A$101,0))</f>
        <v>Tarini Bava</v>
      </c>
      <c r="D741" s="7" t="str">
        <f>TRIM(INDEX(Raw_Customers!$C$2:$C$101,MATCH($B741,Raw_Customers!$A$2:$A$101,0)))</f>
        <v>Miryalaguda</v>
      </c>
      <c r="E741" s="7" t="str">
        <f>"+91-"&amp;RIGHT("0000000000"&amp;INDEX(Raw_Customers!$D$2:$D$101,MATCH($B741,Raw_Customers!$A$2:$A$101,0)),10)</f>
        <v>+91-7232349928</v>
      </c>
      <c r="F741" s="7" t="str">
        <f>Raw_Orders!C741</f>
        <v>56</v>
      </c>
      <c r="G741" s="7" t="str">
        <f>INDEX(Raw_Products!$B$2:$B$71,MATCH($F741,Raw_Products!$A$2:$A$71,0))</f>
        <v>Quia Gift</v>
      </c>
      <c r="H741" s="7" t="str">
        <f>INDEX(Raw_Products!$C$2:$C$71,MATCH($F741,Raw_Products!$A$2:$A$71,0))</f>
        <v>Raksha Bandhan</v>
      </c>
      <c r="I741" s="7">
        <f>VALUE(Raw_Orders!D741)</f>
        <v>4</v>
      </c>
      <c r="J741" s="11" t="str">
        <f>INDEX(Raw_Products!$D$2:$D$71,MATCH($F741,Raw_Products!$A$2:$A$71,0))</f>
        <v>1272</v>
      </c>
      <c r="K741" s="11">
        <f t="shared" si="22"/>
        <v>5088</v>
      </c>
      <c r="L741" s="12">
        <f>DATE(VALUE(RIGHT(Raw_Orders!E741,4)),VALUE(MID(Raw_Orders!E741,4,2)),VALUE(LEFT(Raw_Orders!E741,2)))</f>
        <v>45237</v>
      </c>
      <c r="M741" s="12">
        <f>DATE(VALUE(RIGHT(Raw_Orders!G741,4)),VALUE(MID(Raw_Orders!G741,4,2)),VALUE(LEFT(Raw_Orders!G741,2)))</f>
        <v>45242</v>
      </c>
      <c r="N741" s="7">
        <f t="shared" si="23"/>
        <v>5</v>
      </c>
      <c r="O741" s="7" t="str">
        <f>Raw_Orders!J741</f>
        <v>Anniversary</v>
      </c>
      <c r="P741" s="7" t="str">
        <f>Raw_Orders!I741</f>
        <v>Silchar</v>
      </c>
    </row>
    <row r="742" spans="1:16">
      <c r="A742" s="7" t="str">
        <f>Raw_Orders!A742</f>
        <v>741</v>
      </c>
      <c r="B742" s="7" t="str">
        <f>Raw_Orders!B742</f>
        <v>C072</v>
      </c>
      <c r="C742" s="7" t="str">
        <f>INDEX(Raw_Customers!$B$2:$B$101,MATCH($B742,Raw_Customers!$A$2:$A$101,0))</f>
        <v>Charvi Karnik</v>
      </c>
      <c r="D742" s="7" t="str">
        <f>TRIM(INDEX(Raw_Customers!$C$2:$C$101,MATCH($B742,Raw_Customers!$A$2:$A$101,0)))</f>
        <v>Hyderabad</v>
      </c>
      <c r="E742" s="7" t="str">
        <f>"+91-"&amp;RIGHT("0000000000"&amp;INDEX(Raw_Customers!$D$2:$D$101,MATCH($B742,Raw_Customers!$A$2:$A$101,0)),10)</f>
        <v>+91-7573085232</v>
      </c>
      <c r="F742" s="7" t="str">
        <f>Raw_Orders!C742</f>
        <v>53</v>
      </c>
      <c r="G742" s="7" t="str">
        <f>INDEX(Raw_Products!$B$2:$B$71,MATCH($F742,Raw_Products!$A$2:$A$71,0))</f>
        <v>Ipsam Set</v>
      </c>
      <c r="H742" s="7" t="str">
        <f>INDEX(Raw_Products!$C$2:$C$71,MATCH($F742,Raw_Products!$A$2:$A$71,0))</f>
        <v>Sweets</v>
      </c>
      <c r="I742" s="7">
        <f>VALUE(Raw_Orders!D742)</f>
        <v>5</v>
      </c>
      <c r="J742" s="11" t="str">
        <f>INDEX(Raw_Products!$D$2:$D$71,MATCH($F742,Raw_Products!$A$2:$A$71,0))</f>
        <v>1672</v>
      </c>
      <c r="K742" s="11">
        <f t="shared" si="22"/>
        <v>8360</v>
      </c>
      <c r="L742" s="12">
        <f>DATE(VALUE(RIGHT(Raw_Orders!E742,4)),VALUE(MID(Raw_Orders!E742,4,2)),VALUE(LEFT(Raw_Orders!E742,2)))</f>
        <v>45161</v>
      </c>
      <c r="M742" s="12">
        <f>DATE(VALUE(RIGHT(Raw_Orders!G742,4)),VALUE(MID(Raw_Orders!G742,4,2)),VALUE(LEFT(Raw_Orders!G742,2)))</f>
        <v>45170</v>
      </c>
      <c r="N742" s="7">
        <f t="shared" si="23"/>
        <v>9</v>
      </c>
      <c r="O742" s="7" t="str">
        <f>Raw_Orders!J742</f>
        <v>Raksha Bandhan</v>
      </c>
      <c r="P742" s="7" t="str">
        <f>Raw_Orders!I742</f>
        <v>Siwan</v>
      </c>
    </row>
    <row r="743" spans="1:16">
      <c r="A743" s="7" t="str">
        <f>Raw_Orders!A743</f>
        <v>742</v>
      </c>
      <c r="B743" s="7" t="str">
        <f>Raw_Orders!B743</f>
        <v>C089</v>
      </c>
      <c r="C743" s="7" t="str">
        <f>INDEX(Raw_Customers!$B$2:$B$101,MATCH($B743,Raw_Customers!$A$2:$A$101,0))</f>
        <v>Oorja Dey</v>
      </c>
      <c r="D743" s="7" t="str">
        <f>TRIM(INDEX(Raw_Customers!$C$2:$C$101,MATCH($B743,Raw_Customers!$A$2:$A$101,0)))</f>
        <v>Nellore</v>
      </c>
      <c r="E743" s="7" t="str">
        <f>"+91-"&amp;RIGHT("0000000000"&amp;INDEX(Raw_Customers!$D$2:$D$101,MATCH($B743,Raw_Customers!$A$2:$A$101,0)),10)</f>
        <v>+91-7264144428</v>
      </c>
      <c r="F743" s="7" t="str">
        <f>Raw_Orders!C743</f>
        <v>53</v>
      </c>
      <c r="G743" s="7" t="str">
        <f>INDEX(Raw_Products!$B$2:$B$71,MATCH($F743,Raw_Products!$A$2:$A$71,0))</f>
        <v>Ipsam Set</v>
      </c>
      <c r="H743" s="7" t="str">
        <f>INDEX(Raw_Products!$C$2:$C$71,MATCH($F743,Raw_Products!$A$2:$A$71,0))</f>
        <v>Sweets</v>
      </c>
      <c r="I743" s="7">
        <f>VALUE(Raw_Orders!D743)</f>
        <v>5</v>
      </c>
      <c r="J743" s="11" t="str">
        <f>INDEX(Raw_Products!$D$2:$D$71,MATCH($F743,Raw_Products!$A$2:$A$71,0))</f>
        <v>1672</v>
      </c>
      <c r="K743" s="11">
        <f t="shared" si="22"/>
        <v>8360</v>
      </c>
      <c r="L743" s="12">
        <f>DATE(VALUE(RIGHT(Raw_Orders!E743,4)),VALUE(MID(Raw_Orders!E743,4,2)),VALUE(LEFT(Raw_Orders!E743,2)))</f>
        <v>45162</v>
      </c>
      <c r="M743" s="12">
        <f>DATE(VALUE(RIGHT(Raw_Orders!G743,4)),VALUE(MID(Raw_Orders!G743,4,2)),VALUE(LEFT(Raw_Orders!G743,2)))</f>
        <v>45164</v>
      </c>
      <c r="N743" s="7">
        <f t="shared" si="23"/>
        <v>2</v>
      </c>
      <c r="O743" s="7" t="str">
        <f>Raw_Orders!J743</f>
        <v>Raksha Bandhan</v>
      </c>
      <c r="P743" s="7" t="str">
        <f>Raw_Orders!I743</f>
        <v>Panchkula</v>
      </c>
    </row>
    <row r="744" spans="1:16">
      <c r="A744" s="7" t="str">
        <f>Raw_Orders!A744</f>
        <v>743</v>
      </c>
      <c r="B744" s="7" t="str">
        <f>Raw_Orders!B744</f>
        <v>C045</v>
      </c>
      <c r="C744" s="7" t="str">
        <f>INDEX(Raw_Customers!$B$2:$B$101,MATCH($B744,Raw_Customers!$A$2:$A$101,0))</f>
        <v>Divit Mahajan</v>
      </c>
      <c r="D744" s="7" t="str">
        <f>TRIM(INDEX(Raw_Customers!$C$2:$C$101,MATCH($B744,Raw_Customers!$A$2:$A$101,0)))</f>
        <v>Maheshtala</v>
      </c>
      <c r="E744" s="7" t="str">
        <f>"+91-"&amp;RIGHT("0000000000"&amp;INDEX(Raw_Customers!$D$2:$D$101,MATCH($B744,Raw_Customers!$A$2:$A$101,0)),10)</f>
        <v>+91-6789522856</v>
      </c>
      <c r="F744" s="7" t="str">
        <f>Raw_Orders!C744</f>
        <v>4</v>
      </c>
      <c r="G744" s="7" t="str">
        <f>INDEX(Raw_Products!$B$2:$B$71,MATCH($F744,Raw_Products!$A$2:$A$71,0))</f>
        <v>Accusantium Set</v>
      </c>
      <c r="H744" s="7" t="str">
        <f>INDEX(Raw_Products!$C$2:$C$71,MATCH($F744,Raw_Products!$A$2:$A$71,0))</f>
        <v>Sweets</v>
      </c>
      <c r="I744" s="7">
        <f>VALUE(Raw_Orders!D744)</f>
        <v>2</v>
      </c>
      <c r="J744" s="11" t="str">
        <f>INDEX(Raw_Products!$D$2:$D$71,MATCH($F744,Raw_Products!$A$2:$A$71,0))</f>
        <v>1199</v>
      </c>
      <c r="K744" s="11">
        <f t="shared" si="22"/>
        <v>2398</v>
      </c>
      <c r="L744" s="12">
        <f>DATE(VALUE(RIGHT(Raw_Orders!E744,4)),VALUE(MID(Raw_Orders!E744,4,2)),VALUE(LEFT(Raw_Orders!E744,2)))</f>
        <v>45239</v>
      </c>
      <c r="M744" s="12">
        <f>DATE(VALUE(RIGHT(Raw_Orders!G744,4)),VALUE(MID(Raw_Orders!G744,4,2)),VALUE(LEFT(Raw_Orders!G744,2)))</f>
        <v>45243</v>
      </c>
      <c r="N744" s="7">
        <f t="shared" si="23"/>
        <v>4</v>
      </c>
      <c r="O744" s="7" t="str">
        <f>Raw_Orders!J744</f>
        <v>Diwali</v>
      </c>
      <c r="P744" s="7" t="str">
        <f>Raw_Orders!I744</f>
        <v>Tiruppur</v>
      </c>
    </row>
    <row r="745" spans="1:16">
      <c r="A745" s="7" t="str">
        <f>Raw_Orders!A745</f>
        <v>744</v>
      </c>
      <c r="B745" s="7" t="str">
        <f>Raw_Orders!B745</f>
        <v>C023</v>
      </c>
      <c r="C745" s="7" t="str">
        <f>INDEX(Raw_Customers!$B$2:$B$101,MATCH($B745,Raw_Customers!$A$2:$A$101,0))</f>
        <v>Abram Sandhu</v>
      </c>
      <c r="D745" s="7" t="str">
        <f>TRIM(INDEX(Raw_Customers!$C$2:$C$101,MATCH($B745,Raw_Customers!$A$2:$A$101,0)))</f>
        <v>Bidhannagar</v>
      </c>
      <c r="E745" s="7" t="str">
        <f>"+91-"&amp;RIGHT("0000000000"&amp;INDEX(Raw_Customers!$D$2:$D$101,MATCH($B745,Raw_Customers!$A$2:$A$101,0)),10)</f>
        <v>+91-7196287267</v>
      </c>
      <c r="F745" s="7" t="str">
        <f>Raw_Orders!C745</f>
        <v>45</v>
      </c>
      <c r="G745" s="7" t="str">
        <f>INDEX(Raw_Products!$B$2:$B$71,MATCH($F745,Raw_Products!$A$2:$A$71,0))</f>
        <v>Iusto Set</v>
      </c>
      <c r="H745" s="7" t="str">
        <f>INDEX(Raw_Products!$C$2:$C$71,MATCH($F745,Raw_Products!$A$2:$A$71,0))</f>
        <v>Raksha Bandhan</v>
      </c>
      <c r="I745" s="7">
        <f>VALUE(Raw_Orders!D745)</f>
        <v>4</v>
      </c>
      <c r="J745" s="11" t="str">
        <f>INDEX(Raw_Products!$D$2:$D$71,MATCH($F745,Raw_Products!$A$2:$A$71,0))</f>
        <v>722</v>
      </c>
      <c r="K745" s="11">
        <f t="shared" si="22"/>
        <v>2888</v>
      </c>
      <c r="L745" s="12">
        <f>DATE(VALUE(RIGHT(Raw_Orders!E745,4)),VALUE(MID(Raw_Orders!E745,4,2)),VALUE(LEFT(Raw_Orders!E745,2)))</f>
        <v>45212</v>
      </c>
      <c r="M745" s="12">
        <f>DATE(VALUE(RIGHT(Raw_Orders!G745,4)),VALUE(MID(Raw_Orders!G745,4,2)),VALUE(LEFT(Raw_Orders!G745,2)))</f>
        <v>45213</v>
      </c>
      <c r="N745" s="7">
        <f t="shared" si="23"/>
        <v>1</v>
      </c>
      <c r="O745" s="7" t="str">
        <f>Raw_Orders!J745</f>
        <v>Birthday</v>
      </c>
      <c r="P745" s="7" t="str">
        <f>Raw_Orders!I745</f>
        <v>Junagadh</v>
      </c>
    </row>
    <row r="746" spans="1:16">
      <c r="A746" s="7" t="str">
        <f>Raw_Orders!A746</f>
        <v>745</v>
      </c>
      <c r="B746" s="7" t="str">
        <f>Raw_Orders!B746</f>
        <v>C052</v>
      </c>
      <c r="C746" s="7" t="str">
        <f>INDEX(Raw_Customers!$B$2:$B$101,MATCH($B746,Raw_Customers!$A$2:$A$101,0))</f>
        <v>Vardaniya Apte</v>
      </c>
      <c r="D746" s="7" t="str">
        <f>TRIM(INDEX(Raw_Customers!$C$2:$C$101,MATCH($B746,Raw_Customers!$A$2:$A$101,0)))</f>
        <v>Dhanbad</v>
      </c>
      <c r="E746" s="7" t="str">
        <f>"+91-"&amp;RIGHT("0000000000"&amp;INDEX(Raw_Customers!$D$2:$D$101,MATCH($B746,Raw_Customers!$A$2:$A$101,0)),10)</f>
        <v>+91-5846932069</v>
      </c>
      <c r="F746" s="7" t="str">
        <f>Raw_Orders!C746</f>
        <v>44</v>
      </c>
      <c r="G746" s="7" t="str">
        <f>INDEX(Raw_Products!$B$2:$B$71,MATCH($F746,Raw_Products!$A$2:$A$71,0))</f>
        <v>Dolorum Set</v>
      </c>
      <c r="H746" s="7" t="str">
        <f>INDEX(Raw_Products!$C$2:$C$71,MATCH($F746,Raw_Products!$A$2:$A$71,0))</f>
        <v>Plants</v>
      </c>
      <c r="I746" s="7">
        <f>VALUE(Raw_Orders!D746)</f>
        <v>1</v>
      </c>
      <c r="J746" s="11" t="str">
        <f>INDEX(Raw_Products!$D$2:$D$71,MATCH($F746,Raw_Products!$A$2:$A$71,0))</f>
        <v>794</v>
      </c>
      <c r="K746" s="11">
        <f t="shared" si="22"/>
        <v>794</v>
      </c>
      <c r="L746" s="12">
        <f>DATE(VALUE(RIGHT(Raw_Orders!E746,4)),VALUE(MID(Raw_Orders!E746,4,2)),VALUE(LEFT(Raw_Orders!E746,2)))</f>
        <v>45237</v>
      </c>
      <c r="M746" s="12">
        <f>DATE(VALUE(RIGHT(Raw_Orders!G746,4)),VALUE(MID(Raw_Orders!G746,4,2)),VALUE(LEFT(Raw_Orders!G746,2)))</f>
        <v>45239</v>
      </c>
      <c r="N746" s="7">
        <f t="shared" si="23"/>
        <v>2</v>
      </c>
      <c r="O746" s="7" t="str">
        <f>Raw_Orders!J746</f>
        <v>Diwali</v>
      </c>
      <c r="P746" s="7" t="str">
        <f>Raw_Orders!I746</f>
        <v>Kolkata</v>
      </c>
    </row>
    <row r="747" spans="1:16">
      <c r="A747" s="7" t="str">
        <f>Raw_Orders!A747</f>
        <v>746</v>
      </c>
      <c r="B747" s="7" t="str">
        <f>Raw_Orders!B747</f>
        <v>C051</v>
      </c>
      <c r="C747" s="7" t="str">
        <f>INDEX(Raw_Customers!$B$2:$B$101,MATCH($B747,Raw_Customers!$A$2:$A$101,0))</f>
        <v>Aradhya Batta</v>
      </c>
      <c r="D747" s="7" t="str">
        <f>TRIM(INDEX(Raw_Customers!$C$2:$C$101,MATCH($B747,Raw_Customers!$A$2:$A$101,0)))</f>
        <v>Kota</v>
      </c>
      <c r="E747" s="7" t="str">
        <f>"+91-"&amp;RIGHT("0000000000"&amp;INDEX(Raw_Customers!$D$2:$D$101,MATCH($B747,Raw_Customers!$A$2:$A$101,0)),10)</f>
        <v>+91-1200621501</v>
      </c>
      <c r="F747" s="7" t="str">
        <f>Raw_Orders!C747</f>
        <v>35</v>
      </c>
      <c r="G747" s="7" t="str">
        <f>INDEX(Raw_Products!$B$2:$B$71,MATCH($F747,Raw_Products!$A$2:$A$71,0))</f>
        <v>Nam Gift</v>
      </c>
      <c r="H747" s="7" t="str">
        <f>INDEX(Raw_Products!$C$2:$C$71,MATCH($F747,Raw_Products!$A$2:$A$71,0))</f>
        <v>Colors</v>
      </c>
      <c r="I747" s="7">
        <f>VALUE(Raw_Orders!D747)</f>
        <v>2</v>
      </c>
      <c r="J747" s="11" t="str">
        <f>INDEX(Raw_Products!$D$2:$D$71,MATCH($F747,Raw_Products!$A$2:$A$71,0))</f>
        <v>1865</v>
      </c>
      <c r="K747" s="11">
        <f t="shared" si="22"/>
        <v>3730</v>
      </c>
      <c r="L747" s="12">
        <f>DATE(VALUE(RIGHT(Raw_Orders!E747,4)),VALUE(MID(Raw_Orders!E747,4,2)),VALUE(LEFT(Raw_Orders!E747,2)))</f>
        <v>44987</v>
      </c>
      <c r="M747" s="12">
        <f>DATE(VALUE(RIGHT(Raw_Orders!G747,4)),VALUE(MID(Raw_Orders!G747,4,2)),VALUE(LEFT(Raw_Orders!G747,2)))</f>
        <v>44991</v>
      </c>
      <c r="N747" s="7">
        <f t="shared" si="23"/>
        <v>4</v>
      </c>
      <c r="O747" s="7" t="str">
        <f>Raw_Orders!J747</f>
        <v>Holi</v>
      </c>
      <c r="P747" s="7" t="str">
        <f>Raw_Orders!I747</f>
        <v>Parbhani</v>
      </c>
    </row>
    <row r="748" spans="1:16">
      <c r="A748" s="7" t="str">
        <f>Raw_Orders!A748</f>
        <v>747</v>
      </c>
      <c r="B748" s="7" t="str">
        <f>Raw_Orders!B748</f>
        <v>C009</v>
      </c>
      <c r="C748" s="7" t="str">
        <f>INDEX(Raw_Customers!$B$2:$B$101,MATCH($B748,Raw_Customers!$A$2:$A$101,0))</f>
        <v>Ritvik Borah</v>
      </c>
      <c r="D748" s="7" t="str">
        <f>TRIM(INDEX(Raw_Customers!$C$2:$C$101,MATCH($B748,Raw_Customers!$A$2:$A$101,0)))</f>
        <v>Madurai</v>
      </c>
      <c r="E748" s="7" t="str">
        <f>"+91-"&amp;RIGHT("0000000000"&amp;INDEX(Raw_Customers!$D$2:$D$101,MATCH($B748,Raw_Customers!$A$2:$A$101,0)),10)</f>
        <v>+91-1336765676</v>
      </c>
      <c r="F748" s="7" t="str">
        <f>Raw_Orders!C748</f>
        <v>6</v>
      </c>
      <c r="G748" s="7" t="str">
        <f>INDEX(Raw_Products!$B$2:$B$71,MATCH($F748,Raw_Products!$A$2:$A$71,0))</f>
        <v>Quos Box</v>
      </c>
      <c r="H748" s="7" t="str">
        <f>INDEX(Raw_Products!$C$2:$C$71,MATCH($F748,Raw_Products!$A$2:$A$71,0))</f>
        <v>Cake</v>
      </c>
      <c r="I748" s="7">
        <f>VALUE(Raw_Orders!D748)</f>
        <v>4</v>
      </c>
      <c r="J748" s="11" t="str">
        <f>INDEX(Raw_Products!$D$2:$D$71,MATCH($F748,Raw_Products!$A$2:$A$71,0))</f>
        <v>1112</v>
      </c>
      <c r="K748" s="11">
        <f t="shared" si="22"/>
        <v>4448</v>
      </c>
      <c r="L748" s="12">
        <f>DATE(VALUE(RIGHT(Raw_Orders!E748,4)),VALUE(MID(Raw_Orders!E748,4,2)),VALUE(LEFT(Raw_Orders!E748,2)))</f>
        <v>44991</v>
      </c>
      <c r="M748" s="12">
        <f>DATE(VALUE(RIGHT(Raw_Orders!G748,4)),VALUE(MID(Raw_Orders!G748,4,2)),VALUE(LEFT(Raw_Orders!G748,2)))</f>
        <v>44996</v>
      </c>
      <c r="N748" s="7">
        <f t="shared" si="23"/>
        <v>5</v>
      </c>
      <c r="O748" s="7" t="str">
        <f>Raw_Orders!J748</f>
        <v>Holi</v>
      </c>
      <c r="P748" s="7" t="str">
        <f>Raw_Orders!I748</f>
        <v>Dhanbad</v>
      </c>
    </row>
    <row r="749" spans="1:16">
      <c r="A749" s="7" t="str">
        <f>Raw_Orders!A749</f>
        <v>748</v>
      </c>
      <c r="B749" s="7" t="str">
        <f>Raw_Orders!B749</f>
        <v>C079</v>
      </c>
      <c r="C749" s="7" t="str">
        <f>INDEX(Raw_Customers!$B$2:$B$101,MATCH($B749,Raw_Customers!$A$2:$A$101,0))</f>
        <v>Vedika Sankaran</v>
      </c>
      <c r="D749" s="7" t="str">
        <f>TRIM(INDEX(Raw_Customers!$C$2:$C$101,MATCH($B749,Raw_Customers!$A$2:$A$101,0)))</f>
        <v>Bhilai</v>
      </c>
      <c r="E749" s="7" t="str">
        <f>"+91-"&amp;RIGHT("0000000000"&amp;INDEX(Raw_Customers!$D$2:$D$101,MATCH($B749,Raw_Customers!$A$2:$A$101,0)),10)</f>
        <v>+91-7606054646</v>
      </c>
      <c r="F749" s="7" t="str">
        <f>Raw_Orders!C749</f>
        <v>26</v>
      </c>
      <c r="G749" s="7" t="str">
        <f>INDEX(Raw_Products!$B$2:$B$71,MATCH($F749,Raw_Products!$A$2:$A$71,0))</f>
        <v>Aliquam Box</v>
      </c>
      <c r="H749" s="7" t="str">
        <f>INDEX(Raw_Products!$C$2:$C$71,MATCH($F749,Raw_Products!$A$2:$A$71,0))</f>
        <v>Colors</v>
      </c>
      <c r="I749" s="7">
        <f>VALUE(Raw_Orders!D749)</f>
        <v>1</v>
      </c>
      <c r="J749" s="11" t="str">
        <f>INDEX(Raw_Products!$D$2:$D$71,MATCH($F749,Raw_Products!$A$2:$A$71,0))</f>
        <v>289</v>
      </c>
      <c r="K749" s="11">
        <f t="shared" si="22"/>
        <v>289</v>
      </c>
      <c r="L749" s="12">
        <f>DATE(VALUE(RIGHT(Raw_Orders!E749,4)),VALUE(MID(Raw_Orders!E749,4,2)),VALUE(LEFT(Raw_Orders!E749,2)))</f>
        <v>44991</v>
      </c>
      <c r="M749" s="12">
        <f>DATE(VALUE(RIGHT(Raw_Orders!G749,4)),VALUE(MID(Raw_Orders!G749,4,2)),VALUE(LEFT(Raw_Orders!G749,2)))</f>
        <v>44992</v>
      </c>
      <c r="N749" s="7">
        <f t="shared" si="23"/>
        <v>1</v>
      </c>
      <c r="O749" s="7" t="str">
        <f>Raw_Orders!J749</f>
        <v>Holi</v>
      </c>
      <c r="P749" s="7" t="str">
        <f>Raw_Orders!I749</f>
        <v>Tenali</v>
      </c>
    </row>
    <row r="750" spans="1:16">
      <c r="A750" s="7" t="str">
        <f>Raw_Orders!A750</f>
        <v>749</v>
      </c>
      <c r="B750" s="7" t="str">
        <f>Raw_Orders!B750</f>
        <v>C099</v>
      </c>
      <c r="C750" s="7" t="str">
        <f>INDEX(Raw_Customers!$B$2:$B$101,MATCH($B750,Raw_Customers!$A$2:$A$101,0))</f>
        <v>Ranbir Loyal</v>
      </c>
      <c r="D750" s="7" t="str">
        <f>TRIM(INDEX(Raw_Customers!$C$2:$C$101,MATCH($B750,Raw_Customers!$A$2:$A$101,0)))</f>
        <v>Dhanbad</v>
      </c>
      <c r="E750" s="7" t="str">
        <f>"+91-"&amp;RIGHT("0000000000"&amp;INDEX(Raw_Customers!$D$2:$D$101,MATCH($B750,Raw_Customers!$A$2:$A$101,0)),10)</f>
        <v>+91-3621448305</v>
      </c>
      <c r="F750" s="7" t="str">
        <f>Raw_Orders!C750</f>
        <v>12</v>
      </c>
      <c r="G750" s="7" t="str">
        <f>INDEX(Raw_Products!$B$2:$B$71,MATCH($F750,Raw_Products!$A$2:$A$71,0))</f>
        <v>Non Set</v>
      </c>
      <c r="H750" s="7" t="str">
        <f>INDEX(Raw_Products!$C$2:$C$71,MATCH($F750,Raw_Products!$A$2:$A$71,0))</f>
        <v>Plants</v>
      </c>
      <c r="I750" s="7">
        <f>VALUE(Raw_Orders!D750)</f>
        <v>2</v>
      </c>
      <c r="J750" s="11" t="str">
        <f>INDEX(Raw_Products!$D$2:$D$71,MATCH($F750,Raw_Products!$A$2:$A$71,0))</f>
        <v>672</v>
      </c>
      <c r="K750" s="11">
        <f t="shared" si="22"/>
        <v>1344</v>
      </c>
      <c r="L750" s="12">
        <f>DATE(VALUE(RIGHT(Raw_Orders!E750,4)),VALUE(MID(Raw_Orders!E750,4,2)),VALUE(LEFT(Raw_Orders!E750,2)))</f>
        <v>45096</v>
      </c>
      <c r="M750" s="12">
        <f>DATE(VALUE(RIGHT(Raw_Orders!G750,4)),VALUE(MID(Raw_Orders!G750,4,2)),VALUE(LEFT(Raw_Orders!G750,2)))</f>
        <v>45101</v>
      </c>
      <c r="N750" s="7">
        <f t="shared" si="23"/>
        <v>5</v>
      </c>
      <c r="O750" s="7" t="str">
        <f>Raw_Orders!J750</f>
        <v>Anniversary</v>
      </c>
      <c r="P750" s="7" t="str">
        <f>Raw_Orders!I750</f>
        <v>Nanded</v>
      </c>
    </row>
    <row r="751" spans="1:16">
      <c r="A751" s="7" t="str">
        <f>Raw_Orders!A751</f>
        <v>750</v>
      </c>
      <c r="B751" s="7" t="str">
        <f>Raw_Orders!B751</f>
        <v>C022</v>
      </c>
      <c r="C751" s="7" t="str">
        <f>INDEX(Raw_Customers!$B$2:$B$101,MATCH($B751,Raw_Customers!$A$2:$A$101,0))</f>
        <v>Ivana Rout</v>
      </c>
      <c r="D751" s="7" t="str">
        <f>TRIM(INDEX(Raw_Customers!$C$2:$C$101,MATCH($B751,Raw_Customers!$A$2:$A$101,0)))</f>
        <v>Khandwa</v>
      </c>
      <c r="E751" s="7" t="str">
        <f>"+91-"&amp;RIGHT("0000000000"&amp;INDEX(Raw_Customers!$D$2:$D$101,MATCH($B751,Raw_Customers!$A$2:$A$101,0)),10)</f>
        <v>+91-3111711777</v>
      </c>
      <c r="F751" s="7" t="str">
        <f>Raw_Orders!C751</f>
        <v>19</v>
      </c>
      <c r="G751" s="7" t="str">
        <f>INDEX(Raw_Products!$B$2:$B$71,MATCH($F751,Raw_Products!$A$2:$A$71,0))</f>
        <v>Iure Gift</v>
      </c>
      <c r="H751" s="7" t="str">
        <f>INDEX(Raw_Products!$C$2:$C$71,MATCH($F751,Raw_Products!$A$2:$A$71,0))</f>
        <v>Mugs</v>
      </c>
      <c r="I751" s="7">
        <f>VALUE(Raw_Orders!D751)</f>
        <v>3</v>
      </c>
      <c r="J751" s="11" t="str">
        <f>INDEX(Raw_Products!$D$2:$D$71,MATCH($F751,Raw_Products!$A$2:$A$71,0))</f>
        <v>1234</v>
      </c>
      <c r="K751" s="11">
        <f t="shared" si="22"/>
        <v>3702</v>
      </c>
      <c r="L751" s="12">
        <f>DATE(VALUE(RIGHT(Raw_Orders!E751,4)),VALUE(MID(Raw_Orders!E751,4,2)),VALUE(LEFT(Raw_Orders!E751,2)))</f>
        <v>44965</v>
      </c>
      <c r="M751" s="12">
        <f>DATE(VALUE(RIGHT(Raw_Orders!G751,4)),VALUE(MID(Raw_Orders!G751,4,2)),VALUE(LEFT(Raw_Orders!G751,2)))</f>
        <v>44971</v>
      </c>
      <c r="N751" s="7">
        <f t="shared" si="23"/>
        <v>6</v>
      </c>
      <c r="O751" s="7" t="str">
        <f>Raw_Orders!J751</f>
        <v>Valentine's Day</v>
      </c>
      <c r="P751" s="7" t="str">
        <f>Raw_Orders!I751</f>
        <v>Chapra</v>
      </c>
    </row>
    <row r="752" spans="1:16">
      <c r="A752" s="7" t="str">
        <f>Raw_Orders!A752</f>
        <v>751</v>
      </c>
      <c r="B752" s="7" t="str">
        <f>Raw_Orders!B752</f>
        <v>C084</v>
      </c>
      <c r="C752" s="7" t="str">
        <f>INDEX(Raw_Customers!$B$2:$B$101,MATCH($B752,Raw_Customers!$A$2:$A$101,0))</f>
        <v>Anahita Shankar</v>
      </c>
      <c r="D752" s="7" t="str">
        <f>TRIM(INDEX(Raw_Customers!$C$2:$C$101,MATCH($B752,Raw_Customers!$A$2:$A$101,0)))</f>
        <v>Tiruchirappalli</v>
      </c>
      <c r="E752" s="7" t="str">
        <f>"+91-"&amp;RIGHT("0000000000"&amp;INDEX(Raw_Customers!$D$2:$D$101,MATCH($B752,Raw_Customers!$A$2:$A$101,0)),10)</f>
        <v>+91-2205603376</v>
      </c>
      <c r="F752" s="7" t="str">
        <f>Raw_Orders!C752</f>
        <v>23</v>
      </c>
      <c r="G752" s="7" t="str">
        <f>INDEX(Raw_Products!$B$2:$B$71,MATCH($F752,Raw_Products!$A$2:$A$71,0))</f>
        <v>Dignissimos Pack</v>
      </c>
      <c r="H752" s="7" t="str">
        <f>INDEX(Raw_Products!$C$2:$C$71,MATCH($F752,Raw_Products!$A$2:$A$71,0))</f>
        <v>Sweets</v>
      </c>
      <c r="I752" s="7">
        <f>VALUE(Raw_Orders!D752)</f>
        <v>5</v>
      </c>
      <c r="J752" s="11" t="str">
        <f>INDEX(Raw_Products!$D$2:$D$71,MATCH($F752,Raw_Products!$A$2:$A$71,0))</f>
        <v>1098</v>
      </c>
      <c r="K752" s="11">
        <f t="shared" si="22"/>
        <v>5490</v>
      </c>
      <c r="L752" s="12">
        <f>DATE(VALUE(RIGHT(Raw_Orders!E752,4)),VALUE(MID(Raw_Orders!E752,4,2)),VALUE(LEFT(Raw_Orders!E752,2)))</f>
        <v>45026</v>
      </c>
      <c r="M752" s="12">
        <f>DATE(VALUE(RIGHT(Raw_Orders!G752,4)),VALUE(MID(Raw_Orders!G752,4,2)),VALUE(LEFT(Raw_Orders!G752,2)))</f>
        <v>45031</v>
      </c>
      <c r="N752" s="7">
        <f t="shared" si="23"/>
        <v>5</v>
      </c>
      <c r="O752" s="7" t="str">
        <f>Raw_Orders!J752</f>
        <v>Anniversary</v>
      </c>
      <c r="P752" s="7" t="str">
        <f>Raw_Orders!I752</f>
        <v>Gandhidham</v>
      </c>
    </row>
    <row r="753" spans="1:16">
      <c r="A753" s="7" t="str">
        <f>Raw_Orders!A753</f>
        <v>752</v>
      </c>
      <c r="B753" s="7" t="str">
        <f>Raw_Orders!B753</f>
        <v>C034</v>
      </c>
      <c r="C753" s="7" t="str">
        <f>INDEX(Raw_Customers!$B$2:$B$101,MATCH($B753,Raw_Customers!$A$2:$A$101,0))</f>
        <v>Hridaan Sood</v>
      </c>
      <c r="D753" s="7" t="str">
        <f>TRIM(INDEX(Raw_Customers!$C$2:$C$101,MATCH($B753,Raw_Customers!$A$2:$A$101,0)))</f>
        <v>Bhatpara</v>
      </c>
      <c r="E753" s="7" t="str">
        <f>"+91-"&amp;RIGHT("0000000000"&amp;INDEX(Raw_Customers!$D$2:$D$101,MATCH($B753,Raw_Customers!$A$2:$A$101,0)),10)</f>
        <v>+91-6652710577</v>
      </c>
      <c r="F753" s="7" t="str">
        <f>Raw_Orders!C753</f>
        <v>3</v>
      </c>
      <c r="G753" s="7" t="str">
        <f>INDEX(Raw_Products!$B$2:$B$71,MATCH($F753,Raw_Products!$A$2:$A$71,0))</f>
        <v>Eius Gift</v>
      </c>
      <c r="H753" s="7" t="str">
        <f>INDEX(Raw_Products!$C$2:$C$71,MATCH($F753,Raw_Products!$A$2:$A$71,0))</f>
        <v>Colors</v>
      </c>
      <c r="I753" s="7">
        <f>VALUE(Raw_Orders!D753)</f>
        <v>5</v>
      </c>
      <c r="J753" s="11" t="str">
        <f>INDEX(Raw_Products!$D$2:$D$71,MATCH($F753,Raw_Products!$A$2:$A$71,0))</f>
        <v>1534</v>
      </c>
      <c r="K753" s="11">
        <f t="shared" si="22"/>
        <v>7670</v>
      </c>
      <c r="L753" s="12">
        <f>DATE(VALUE(RIGHT(Raw_Orders!E753,4)),VALUE(MID(Raw_Orders!E753,4,2)),VALUE(LEFT(Raw_Orders!E753,2)))</f>
        <v>44967</v>
      </c>
      <c r="M753" s="12">
        <f>DATE(VALUE(RIGHT(Raw_Orders!G753,4)),VALUE(MID(Raw_Orders!G753,4,2)),VALUE(LEFT(Raw_Orders!G753,2)))</f>
        <v>44969</v>
      </c>
      <c r="N753" s="7">
        <f t="shared" si="23"/>
        <v>2</v>
      </c>
      <c r="O753" s="7" t="str">
        <f>Raw_Orders!J753</f>
        <v>Valentine's Day</v>
      </c>
      <c r="P753" s="7" t="str">
        <f>Raw_Orders!I753</f>
        <v>Bally</v>
      </c>
    </row>
    <row r="754" spans="1:16">
      <c r="A754" s="7" t="str">
        <f>Raw_Orders!A754</f>
        <v>753</v>
      </c>
      <c r="B754" s="7" t="str">
        <f>Raw_Orders!B754</f>
        <v>C045</v>
      </c>
      <c r="C754" s="7" t="str">
        <f>INDEX(Raw_Customers!$B$2:$B$101,MATCH($B754,Raw_Customers!$A$2:$A$101,0))</f>
        <v>Divit Mahajan</v>
      </c>
      <c r="D754" s="7" t="str">
        <f>TRIM(INDEX(Raw_Customers!$C$2:$C$101,MATCH($B754,Raw_Customers!$A$2:$A$101,0)))</f>
        <v>Maheshtala</v>
      </c>
      <c r="E754" s="7" t="str">
        <f>"+91-"&amp;RIGHT("0000000000"&amp;INDEX(Raw_Customers!$D$2:$D$101,MATCH($B754,Raw_Customers!$A$2:$A$101,0)),10)</f>
        <v>+91-6789522856</v>
      </c>
      <c r="F754" s="7" t="str">
        <f>Raw_Orders!C754</f>
        <v>60</v>
      </c>
      <c r="G754" s="7" t="str">
        <f>INDEX(Raw_Products!$B$2:$B$71,MATCH($F754,Raw_Products!$A$2:$A$71,0))</f>
        <v>Ea Set</v>
      </c>
      <c r="H754" s="7" t="str">
        <f>INDEX(Raw_Products!$C$2:$C$71,MATCH($F754,Raw_Products!$A$2:$A$71,0))</f>
        <v>Sweets</v>
      </c>
      <c r="I754" s="7">
        <f>VALUE(Raw_Orders!D754)</f>
        <v>1</v>
      </c>
      <c r="J754" s="11" t="str">
        <f>INDEX(Raw_Products!$D$2:$D$71,MATCH($F754,Raw_Products!$A$2:$A$71,0))</f>
        <v>827</v>
      </c>
      <c r="K754" s="11">
        <f t="shared" si="22"/>
        <v>827</v>
      </c>
      <c r="L754" s="12">
        <f>DATE(VALUE(RIGHT(Raw_Orders!E754,4)),VALUE(MID(Raw_Orders!E754,4,2)),VALUE(LEFT(Raw_Orders!E754,2)))</f>
        <v>45236</v>
      </c>
      <c r="M754" s="12">
        <f>DATE(VALUE(RIGHT(Raw_Orders!G754,4)),VALUE(MID(Raw_Orders!G754,4,2)),VALUE(LEFT(Raw_Orders!G754,2)))</f>
        <v>45242</v>
      </c>
      <c r="N754" s="7">
        <f t="shared" si="23"/>
        <v>6</v>
      </c>
      <c r="O754" s="7" t="str">
        <f>Raw_Orders!J754</f>
        <v>Diwali</v>
      </c>
      <c r="P754" s="7" t="str">
        <f>Raw_Orders!I754</f>
        <v>Tinsukia</v>
      </c>
    </row>
    <row r="755" spans="1:16">
      <c r="A755" s="7" t="str">
        <f>Raw_Orders!A755</f>
        <v>754</v>
      </c>
      <c r="B755" s="7" t="str">
        <f>Raw_Orders!B755</f>
        <v>C083</v>
      </c>
      <c r="C755" s="7" t="str">
        <f>INDEX(Raw_Customers!$B$2:$B$101,MATCH($B755,Raw_Customers!$A$2:$A$101,0))</f>
        <v>Aaryahi Sodhi</v>
      </c>
      <c r="D755" s="7" t="str">
        <f>TRIM(INDEX(Raw_Customers!$C$2:$C$101,MATCH($B755,Raw_Customers!$A$2:$A$101,0)))</f>
        <v>Raurkela Industrial Township</v>
      </c>
      <c r="E755" s="7" t="str">
        <f>"+91-"&amp;RIGHT("0000000000"&amp;INDEX(Raw_Customers!$D$2:$D$101,MATCH($B755,Raw_Customers!$A$2:$A$101,0)),10)</f>
        <v>+91-2690208110</v>
      </c>
      <c r="F755" s="7" t="str">
        <f>Raw_Orders!C755</f>
        <v>51</v>
      </c>
      <c r="G755" s="7" t="str">
        <f>INDEX(Raw_Products!$B$2:$B$71,MATCH($F755,Raw_Products!$A$2:$A$71,0))</f>
        <v>Fugit Set</v>
      </c>
      <c r="H755" s="7" t="str">
        <f>INDEX(Raw_Products!$C$2:$C$71,MATCH($F755,Raw_Products!$A$2:$A$71,0))</f>
        <v>Soft Toys</v>
      </c>
      <c r="I755" s="7">
        <f>VALUE(Raw_Orders!D755)</f>
        <v>2</v>
      </c>
      <c r="J755" s="11" t="str">
        <f>INDEX(Raw_Products!$D$2:$D$71,MATCH($F755,Raw_Products!$A$2:$A$71,0))</f>
        <v>1084</v>
      </c>
      <c r="K755" s="11">
        <f t="shared" si="22"/>
        <v>2168</v>
      </c>
      <c r="L755" s="12">
        <f>DATE(VALUE(RIGHT(Raw_Orders!E755,4)),VALUE(MID(Raw_Orders!E755,4,2)),VALUE(LEFT(Raw_Orders!E755,2)))</f>
        <v>45231</v>
      </c>
      <c r="M755" s="12">
        <f>DATE(VALUE(RIGHT(Raw_Orders!G755,4)),VALUE(MID(Raw_Orders!G755,4,2)),VALUE(LEFT(Raw_Orders!G755,2)))</f>
        <v>45238</v>
      </c>
      <c r="N755" s="7">
        <f t="shared" si="23"/>
        <v>7</v>
      </c>
      <c r="O755" s="7" t="str">
        <f>Raw_Orders!J755</f>
        <v>All Occasions</v>
      </c>
      <c r="P755" s="7" t="str">
        <f>Raw_Orders!I755</f>
        <v>Pimpri-Chinchwad</v>
      </c>
    </row>
    <row r="756" spans="1:16">
      <c r="A756" s="7" t="str">
        <f>Raw_Orders!A756</f>
        <v>755</v>
      </c>
      <c r="B756" s="7" t="str">
        <f>Raw_Orders!B756</f>
        <v>C037</v>
      </c>
      <c r="C756" s="7" t="str">
        <f>INDEX(Raw_Customers!$B$2:$B$101,MATCH($B756,Raw_Customers!$A$2:$A$101,0))</f>
        <v>Aradhya Kumar</v>
      </c>
      <c r="D756" s="7" t="str">
        <f>TRIM(INDEX(Raw_Customers!$C$2:$C$101,MATCH($B756,Raw_Customers!$A$2:$A$101,0)))</f>
        <v>Davanagere</v>
      </c>
      <c r="E756" s="7" t="str">
        <f>"+91-"&amp;RIGHT("0000000000"&amp;INDEX(Raw_Customers!$D$2:$D$101,MATCH($B756,Raw_Customers!$A$2:$A$101,0)),10)</f>
        <v>+91-1972392634</v>
      </c>
      <c r="F756" s="7" t="str">
        <f>Raw_Orders!C756</f>
        <v>6</v>
      </c>
      <c r="G756" s="7" t="str">
        <f>INDEX(Raw_Products!$B$2:$B$71,MATCH($F756,Raw_Products!$A$2:$A$71,0))</f>
        <v>Quos Box</v>
      </c>
      <c r="H756" s="7" t="str">
        <f>INDEX(Raw_Products!$C$2:$C$71,MATCH($F756,Raw_Products!$A$2:$A$71,0))</f>
        <v>Cake</v>
      </c>
      <c r="I756" s="7">
        <f>VALUE(Raw_Orders!D756)</f>
        <v>5</v>
      </c>
      <c r="J756" s="11" t="str">
        <f>INDEX(Raw_Products!$D$2:$D$71,MATCH($F756,Raw_Products!$A$2:$A$71,0))</f>
        <v>1112</v>
      </c>
      <c r="K756" s="11">
        <f t="shared" si="22"/>
        <v>5560</v>
      </c>
      <c r="L756" s="12">
        <f>DATE(VALUE(RIGHT(Raw_Orders!E756,4)),VALUE(MID(Raw_Orders!E756,4,2)),VALUE(LEFT(Raw_Orders!E756,2)))</f>
        <v>44984</v>
      </c>
      <c r="M756" s="12">
        <f>DATE(VALUE(RIGHT(Raw_Orders!G756,4)),VALUE(MID(Raw_Orders!G756,4,2)),VALUE(LEFT(Raw_Orders!G756,2)))</f>
        <v>44991</v>
      </c>
      <c r="N756" s="7">
        <f t="shared" si="23"/>
        <v>7</v>
      </c>
      <c r="O756" s="7" t="str">
        <f>Raw_Orders!J756</f>
        <v>Holi</v>
      </c>
      <c r="P756" s="7" t="str">
        <f>Raw_Orders!I756</f>
        <v>Aurangabad</v>
      </c>
    </row>
    <row r="757" spans="1:16">
      <c r="A757" s="7" t="str">
        <f>Raw_Orders!A757</f>
        <v>756</v>
      </c>
      <c r="B757" s="7" t="str">
        <f>Raw_Orders!B757</f>
        <v>C034</v>
      </c>
      <c r="C757" s="7" t="str">
        <f>INDEX(Raw_Customers!$B$2:$B$101,MATCH($B757,Raw_Customers!$A$2:$A$101,0))</f>
        <v>Hridaan Sood</v>
      </c>
      <c r="D757" s="7" t="str">
        <f>TRIM(INDEX(Raw_Customers!$C$2:$C$101,MATCH($B757,Raw_Customers!$A$2:$A$101,0)))</f>
        <v>Bhatpara</v>
      </c>
      <c r="E757" s="7" t="str">
        <f>"+91-"&amp;RIGHT("0000000000"&amp;INDEX(Raw_Customers!$D$2:$D$101,MATCH($B757,Raw_Customers!$A$2:$A$101,0)),10)</f>
        <v>+91-6652710577</v>
      </c>
      <c r="F757" s="7" t="str">
        <f>Raw_Orders!C757</f>
        <v>51</v>
      </c>
      <c r="G757" s="7" t="str">
        <f>INDEX(Raw_Products!$B$2:$B$71,MATCH($F757,Raw_Products!$A$2:$A$71,0))</f>
        <v>Fugit Set</v>
      </c>
      <c r="H757" s="7" t="str">
        <f>INDEX(Raw_Products!$C$2:$C$71,MATCH($F757,Raw_Products!$A$2:$A$71,0))</f>
        <v>Soft Toys</v>
      </c>
      <c r="I757" s="7">
        <f>VALUE(Raw_Orders!D757)</f>
        <v>4</v>
      </c>
      <c r="J757" s="11" t="str">
        <f>INDEX(Raw_Products!$D$2:$D$71,MATCH($F757,Raw_Products!$A$2:$A$71,0))</f>
        <v>1084</v>
      </c>
      <c r="K757" s="11">
        <f t="shared" si="22"/>
        <v>4336</v>
      </c>
      <c r="L757" s="12">
        <f>DATE(VALUE(RIGHT(Raw_Orders!E757,4)),VALUE(MID(Raw_Orders!E757,4,2)),VALUE(LEFT(Raw_Orders!E757,2)))</f>
        <v>45136</v>
      </c>
      <c r="M757" s="12">
        <f>DATE(VALUE(RIGHT(Raw_Orders!G757,4)),VALUE(MID(Raw_Orders!G757,4,2)),VALUE(LEFT(Raw_Orders!G757,2)))</f>
        <v>45141</v>
      </c>
      <c r="N757" s="7">
        <f t="shared" si="23"/>
        <v>5</v>
      </c>
      <c r="O757" s="7" t="str">
        <f>Raw_Orders!J757</f>
        <v>All Occasions</v>
      </c>
      <c r="P757" s="7" t="str">
        <f>Raw_Orders!I757</f>
        <v>Buxar</v>
      </c>
    </row>
    <row r="758" spans="1:16">
      <c r="A758" s="7" t="str">
        <f>Raw_Orders!A758</f>
        <v>757</v>
      </c>
      <c r="B758" s="7" t="str">
        <f>Raw_Orders!B758</f>
        <v>C001</v>
      </c>
      <c r="C758" s="7" t="str">
        <f>INDEX(Raw_Customers!$B$2:$B$101,MATCH($B758,Raw_Customers!$A$2:$A$101,0))</f>
        <v>Tara Krishnan</v>
      </c>
      <c r="D758" s="7" t="str">
        <f>TRIM(INDEX(Raw_Customers!$C$2:$C$101,MATCH($B758,Raw_Customers!$A$2:$A$101,0)))</f>
        <v>Panchkula</v>
      </c>
      <c r="E758" s="7" t="str">
        <f>"+91-"&amp;RIGHT("0000000000"&amp;INDEX(Raw_Customers!$D$2:$D$101,MATCH($B758,Raw_Customers!$A$2:$A$101,0)),10)</f>
        <v>+91-7193971454</v>
      </c>
      <c r="F758" s="7" t="str">
        <f>Raw_Orders!C758</f>
        <v>2</v>
      </c>
      <c r="G758" s="7" t="str">
        <f>INDEX(Raw_Products!$B$2:$B$71,MATCH($F758,Raw_Products!$A$2:$A$71,0))</f>
        <v>Voluptas Box</v>
      </c>
      <c r="H758" s="7" t="str">
        <f>INDEX(Raw_Products!$C$2:$C$71,MATCH($F758,Raw_Products!$A$2:$A$71,0))</f>
        <v>Plants</v>
      </c>
      <c r="I758" s="7">
        <f>VALUE(Raw_Orders!D758)</f>
        <v>3</v>
      </c>
      <c r="J758" s="11" t="str">
        <f>INDEX(Raw_Products!$D$2:$D$71,MATCH($F758,Raw_Products!$A$2:$A$71,0))</f>
        <v>441</v>
      </c>
      <c r="K758" s="11">
        <f t="shared" si="22"/>
        <v>1323</v>
      </c>
      <c r="L758" s="12">
        <f>DATE(VALUE(RIGHT(Raw_Orders!E758,4)),VALUE(MID(Raw_Orders!E758,4,2)),VALUE(LEFT(Raw_Orders!E758,2)))</f>
        <v>44969</v>
      </c>
      <c r="M758" s="12">
        <f>DATE(VALUE(RIGHT(Raw_Orders!G758,4)),VALUE(MID(Raw_Orders!G758,4,2)),VALUE(LEFT(Raw_Orders!G758,2)))</f>
        <v>44977</v>
      </c>
      <c r="N758" s="7">
        <f t="shared" si="23"/>
        <v>8</v>
      </c>
      <c r="O758" s="7" t="str">
        <f>Raw_Orders!J758</f>
        <v>Valentine's Day</v>
      </c>
      <c r="P758" s="7" t="str">
        <f>Raw_Orders!I758</f>
        <v>Shivpuri</v>
      </c>
    </row>
    <row r="759" spans="1:16">
      <c r="A759" s="7" t="str">
        <f>Raw_Orders!A759</f>
        <v>758</v>
      </c>
      <c r="B759" s="7" t="str">
        <f>Raw_Orders!B759</f>
        <v>C043</v>
      </c>
      <c r="C759" s="7" t="str">
        <f>INDEX(Raw_Customers!$B$2:$B$101,MATCH($B759,Raw_Customers!$A$2:$A$101,0))</f>
        <v>Yasmin Sheth</v>
      </c>
      <c r="D759" s="7" t="str">
        <f>TRIM(INDEX(Raw_Customers!$C$2:$C$101,MATCH($B759,Raw_Customers!$A$2:$A$101,0)))</f>
        <v>Vellore</v>
      </c>
      <c r="E759" s="7" t="str">
        <f>"+91-"&amp;RIGHT("0000000000"&amp;INDEX(Raw_Customers!$D$2:$D$101,MATCH($B759,Raw_Customers!$A$2:$A$101,0)),10)</f>
        <v>+91-2544865070</v>
      </c>
      <c r="F759" s="7" t="str">
        <f>Raw_Orders!C759</f>
        <v>40</v>
      </c>
      <c r="G759" s="7" t="str">
        <f>INDEX(Raw_Products!$B$2:$B$71,MATCH($F759,Raw_Products!$A$2:$A$71,0))</f>
        <v>Provident Pack</v>
      </c>
      <c r="H759" s="7" t="str">
        <f>INDEX(Raw_Products!$C$2:$C$71,MATCH($F759,Raw_Products!$A$2:$A$71,0))</f>
        <v>Sweets</v>
      </c>
      <c r="I759" s="7">
        <f>VALUE(Raw_Orders!D759)</f>
        <v>5</v>
      </c>
      <c r="J759" s="11" t="str">
        <f>INDEX(Raw_Products!$D$2:$D$71,MATCH($F759,Raw_Products!$A$2:$A$71,0))</f>
        <v>1923</v>
      </c>
      <c r="K759" s="11">
        <f t="shared" si="22"/>
        <v>9615</v>
      </c>
      <c r="L759" s="12">
        <f>DATE(VALUE(RIGHT(Raw_Orders!E759,4)),VALUE(MID(Raw_Orders!E759,4,2)),VALUE(LEFT(Raw_Orders!E759,2)))</f>
        <v>45215</v>
      </c>
      <c r="M759" s="12">
        <f>DATE(VALUE(RIGHT(Raw_Orders!G759,4)),VALUE(MID(Raw_Orders!G759,4,2)),VALUE(LEFT(Raw_Orders!G759,2)))</f>
        <v>45219</v>
      </c>
      <c r="N759" s="7">
        <f t="shared" si="23"/>
        <v>4</v>
      </c>
      <c r="O759" s="7" t="str">
        <f>Raw_Orders!J759</f>
        <v>Anniversary</v>
      </c>
      <c r="P759" s="7" t="str">
        <f>Raw_Orders!I759</f>
        <v>Ajmer</v>
      </c>
    </row>
    <row r="760" spans="1:16">
      <c r="A760" s="7" t="str">
        <f>Raw_Orders!A760</f>
        <v>759</v>
      </c>
      <c r="B760" s="7" t="str">
        <f>Raw_Orders!B760</f>
        <v>C084</v>
      </c>
      <c r="C760" s="7" t="str">
        <f>INDEX(Raw_Customers!$B$2:$B$101,MATCH($B760,Raw_Customers!$A$2:$A$101,0))</f>
        <v>Anahita Shankar</v>
      </c>
      <c r="D760" s="7" t="str">
        <f>TRIM(INDEX(Raw_Customers!$C$2:$C$101,MATCH($B760,Raw_Customers!$A$2:$A$101,0)))</f>
        <v>Tiruchirappalli</v>
      </c>
      <c r="E760" s="7" t="str">
        <f>"+91-"&amp;RIGHT("0000000000"&amp;INDEX(Raw_Customers!$D$2:$D$101,MATCH($B760,Raw_Customers!$A$2:$A$101,0)),10)</f>
        <v>+91-2205603376</v>
      </c>
      <c r="F760" s="7" t="str">
        <f>Raw_Orders!C760</f>
        <v>48</v>
      </c>
      <c r="G760" s="7" t="str">
        <f>INDEX(Raw_Products!$B$2:$B$71,MATCH($F760,Raw_Products!$A$2:$A$71,0))</f>
        <v>Maiores Gift</v>
      </c>
      <c r="H760" s="7" t="str">
        <f>INDEX(Raw_Products!$C$2:$C$71,MATCH($F760,Raw_Products!$A$2:$A$71,0))</f>
        <v>Colors</v>
      </c>
      <c r="I760" s="7">
        <f>VALUE(Raw_Orders!D760)</f>
        <v>5</v>
      </c>
      <c r="J760" s="11" t="str">
        <f>INDEX(Raw_Products!$D$2:$D$71,MATCH($F760,Raw_Products!$A$2:$A$71,0))</f>
        <v>433</v>
      </c>
      <c r="K760" s="11">
        <f t="shared" si="22"/>
        <v>2165</v>
      </c>
      <c r="L760" s="12">
        <f>DATE(VALUE(RIGHT(Raw_Orders!E760,4)),VALUE(MID(Raw_Orders!E760,4,2)),VALUE(LEFT(Raw_Orders!E760,2)))</f>
        <v>45232</v>
      </c>
      <c r="M760" s="12">
        <f>DATE(VALUE(RIGHT(Raw_Orders!G760,4)),VALUE(MID(Raw_Orders!G760,4,2)),VALUE(LEFT(Raw_Orders!G760,2)))</f>
        <v>45241</v>
      </c>
      <c r="N760" s="7">
        <f t="shared" si="23"/>
        <v>9</v>
      </c>
      <c r="O760" s="7" t="str">
        <f>Raw_Orders!J760</f>
        <v>Diwali</v>
      </c>
      <c r="P760" s="7" t="str">
        <f>Raw_Orders!I760</f>
        <v>Bathinda</v>
      </c>
    </row>
    <row r="761" spans="1:16">
      <c r="A761" s="7" t="str">
        <f>Raw_Orders!A761</f>
        <v>760</v>
      </c>
      <c r="B761" s="7" t="str">
        <f>Raw_Orders!B761</f>
        <v>C043</v>
      </c>
      <c r="C761" s="7" t="str">
        <f>INDEX(Raw_Customers!$B$2:$B$101,MATCH($B761,Raw_Customers!$A$2:$A$101,0))</f>
        <v>Yasmin Sheth</v>
      </c>
      <c r="D761" s="7" t="str">
        <f>TRIM(INDEX(Raw_Customers!$C$2:$C$101,MATCH($B761,Raw_Customers!$A$2:$A$101,0)))</f>
        <v>Vellore</v>
      </c>
      <c r="E761" s="7" t="str">
        <f>"+91-"&amp;RIGHT("0000000000"&amp;INDEX(Raw_Customers!$D$2:$D$101,MATCH($B761,Raw_Customers!$A$2:$A$101,0)),10)</f>
        <v>+91-2544865070</v>
      </c>
      <c r="F761" s="7" t="str">
        <f>Raw_Orders!C761</f>
        <v>18</v>
      </c>
      <c r="G761" s="7" t="str">
        <f>INDEX(Raw_Products!$B$2:$B$71,MATCH($F761,Raw_Products!$A$2:$A$71,0))</f>
        <v>Nemo Set</v>
      </c>
      <c r="H761" s="7" t="str">
        <f>INDEX(Raw_Products!$C$2:$C$71,MATCH($F761,Raw_Products!$A$2:$A$71,0))</f>
        <v>Plants</v>
      </c>
      <c r="I761" s="7">
        <f>VALUE(Raw_Orders!D761)</f>
        <v>1</v>
      </c>
      <c r="J761" s="11" t="str">
        <f>INDEX(Raw_Products!$D$2:$D$71,MATCH($F761,Raw_Products!$A$2:$A$71,0))</f>
        <v>781</v>
      </c>
      <c r="K761" s="11">
        <f t="shared" si="22"/>
        <v>781</v>
      </c>
      <c r="L761" s="12">
        <f>DATE(VALUE(RIGHT(Raw_Orders!E761,4)),VALUE(MID(Raw_Orders!E761,4,2)),VALUE(LEFT(Raw_Orders!E761,2)))</f>
        <v>45188</v>
      </c>
      <c r="M761" s="12">
        <f>DATE(VALUE(RIGHT(Raw_Orders!G761,4)),VALUE(MID(Raw_Orders!G761,4,2)),VALUE(LEFT(Raw_Orders!G761,2)))</f>
        <v>45190</v>
      </c>
      <c r="N761" s="7">
        <f t="shared" si="23"/>
        <v>2</v>
      </c>
      <c r="O761" s="7" t="str">
        <f>Raw_Orders!J761</f>
        <v>Birthday</v>
      </c>
      <c r="P761" s="7" t="str">
        <f>Raw_Orders!I761</f>
        <v>Ghaziabad</v>
      </c>
    </row>
    <row r="762" spans="1:16">
      <c r="A762" s="7" t="str">
        <f>Raw_Orders!A762</f>
        <v>761</v>
      </c>
      <c r="B762" s="7" t="str">
        <f>Raw_Orders!B762</f>
        <v>C008</v>
      </c>
      <c r="C762" s="7" t="str">
        <f>INDEX(Raw_Customers!$B$2:$B$101,MATCH($B762,Raw_Customers!$A$2:$A$101,0))</f>
        <v>Veer Ray</v>
      </c>
      <c r="D762" s="7" t="str">
        <f>TRIM(INDEX(Raw_Customers!$C$2:$C$101,MATCH($B762,Raw_Customers!$A$2:$A$101,0)))</f>
        <v>Chinsurah</v>
      </c>
      <c r="E762" s="7" t="str">
        <f>"+91-"&amp;RIGHT("0000000000"&amp;INDEX(Raw_Customers!$D$2:$D$101,MATCH($B762,Raw_Customers!$A$2:$A$101,0)),10)</f>
        <v>+91-7138085704</v>
      </c>
      <c r="F762" s="7" t="str">
        <f>Raw_Orders!C762</f>
        <v>24</v>
      </c>
      <c r="G762" s="7" t="str">
        <f>INDEX(Raw_Products!$B$2:$B$71,MATCH($F762,Raw_Products!$A$2:$A$71,0))</f>
        <v>Ad Box</v>
      </c>
      <c r="H762" s="7" t="str">
        <f>INDEX(Raw_Products!$C$2:$C$71,MATCH($F762,Raw_Products!$A$2:$A$71,0))</f>
        <v>Mugs</v>
      </c>
      <c r="I762" s="7">
        <f>VALUE(Raw_Orders!D762)</f>
        <v>5</v>
      </c>
      <c r="J762" s="11" t="str">
        <f>INDEX(Raw_Products!$D$2:$D$71,MATCH($F762,Raw_Products!$A$2:$A$71,0))</f>
        <v>535</v>
      </c>
      <c r="K762" s="11">
        <f t="shared" si="22"/>
        <v>2675</v>
      </c>
      <c r="L762" s="12">
        <f>DATE(VALUE(RIGHT(Raw_Orders!E762,4)),VALUE(MID(Raw_Orders!E762,4,2)),VALUE(LEFT(Raw_Orders!E762,2)))</f>
        <v>45034</v>
      </c>
      <c r="M762" s="12">
        <f>DATE(VALUE(RIGHT(Raw_Orders!G762,4)),VALUE(MID(Raw_Orders!G762,4,2)),VALUE(LEFT(Raw_Orders!G762,2)))</f>
        <v>45041</v>
      </c>
      <c r="N762" s="7">
        <f t="shared" si="23"/>
        <v>7</v>
      </c>
      <c r="O762" s="7" t="str">
        <f>Raw_Orders!J762</f>
        <v>Birthday</v>
      </c>
      <c r="P762" s="7" t="str">
        <f>Raw_Orders!I762</f>
        <v>Ambala</v>
      </c>
    </row>
    <row r="763" spans="1:16">
      <c r="A763" s="7" t="str">
        <f>Raw_Orders!A763</f>
        <v>762</v>
      </c>
      <c r="B763" s="7" t="str">
        <f>Raw_Orders!B763</f>
        <v>C064</v>
      </c>
      <c r="C763" s="7" t="str">
        <f>INDEX(Raw_Customers!$B$2:$B$101,MATCH($B763,Raw_Customers!$A$2:$A$101,0))</f>
        <v>Indrajit Kale</v>
      </c>
      <c r="D763" s="7" t="str">
        <f>TRIM(INDEX(Raw_Customers!$C$2:$C$101,MATCH($B763,Raw_Customers!$A$2:$A$101,0)))</f>
        <v>Srikakulam</v>
      </c>
      <c r="E763" s="7" t="str">
        <f>"+91-"&amp;RIGHT("0000000000"&amp;INDEX(Raw_Customers!$D$2:$D$101,MATCH($B763,Raw_Customers!$A$2:$A$101,0)),10)</f>
        <v>+91-6181058210</v>
      </c>
      <c r="F763" s="7" t="str">
        <f>Raw_Orders!C763</f>
        <v>50</v>
      </c>
      <c r="G763" s="7" t="str">
        <f>INDEX(Raw_Products!$B$2:$B$71,MATCH($F763,Raw_Products!$A$2:$A$71,0))</f>
        <v>Eligendi Set</v>
      </c>
      <c r="H763" s="7" t="str">
        <f>INDEX(Raw_Products!$C$2:$C$71,MATCH($F763,Raw_Products!$A$2:$A$71,0))</f>
        <v>Plants</v>
      </c>
      <c r="I763" s="7">
        <f>VALUE(Raw_Orders!D763)</f>
        <v>1</v>
      </c>
      <c r="J763" s="11" t="str">
        <f>INDEX(Raw_Products!$D$2:$D$71,MATCH($F763,Raw_Products!$A$2:$A$71,0))</f>
        <v>422</v>
      </c>
      <c r="K763" s="11">
        <f t="shared" si="22"/>
        <v>422</v>
      </c>
      <c r="L763" s="12">
        <f>DATE(VALUE(RIGHT(Raw_Orders!E763,4)),VALUE(MID(Raw_Orders!E763,4,2)),VALUE(LEFT(Raw_Orders!E763,2)))</f>
        <v>44983</v>
      </c>
      <c r="M763" s="12">
        <f>DATE(VALUE(RIGHT(Raw_Orders!G763,4)),VALUE(MID(Raw_Orders!G763,4,2)),VALUE(LEFT(Raw_Orders!G763,2)))</f>
        <v>44986</v>
      </c>
      <c r="N763" s="7">
        <f t="shared" si="23"/>
        <v>3</v>
      </c>
      <c r="O763" s="7" t="str">
        <f>Raw_Orders!J763</f>
        <v>Holi</v>
      </c>
      <c r="P763" s="7" t="str">
        <f>Raw_Orders!I763</f>
        <v>Bangalore</v>
      </c>
    </row>
    <row r="764" spans="1:16">
      <c r="A764" s="7" t="str">
        <f>Raw_Orders!A764</f>
        <v>763</v>
      </c>
      <c r="B764" s="7" t="str">
        <f>Raw_Orders!B764</f>
        <v>C070</v>
      </c>
      <c r="C764" s="7" t="str">
        <f>INDEX(Raw_Customers!$B$2:$B$101,MATCH($B764,Raw_Customers!$A$2:$A$101,0))</f>
        <v>Emir Gokhale</v>
      </c>
      <c r="D764" s="7" t="str">
        <f>TRIM(INDEX(Raw_Customers!$C$2:$C$101,MATCH($B764,Raw_Customers!$A$2:$A$101,0)))</f>
        <v>Bhatpara</v>
      </c>
      <c r="E764" s="7" t="str">
        <f>"+91-"&amp;RIGHT("0000000000"&amp;INDEX(Raw_Customers!$D$2:$D$101,MATCH($B764,Raw_Customers!$A$2:$A$101,0)),10)</f>
        <v>+91-3859920805</v>
      </c>
      <c r="F764" s="7" t="str">
        <f>Raw_Orders!C764</f>
        <v>29</v>
      </c>
      <c r="G764" s="7" t="str">
        <f>INDEX(Raw_Products!$B$2:$B$71,MATCH($F764,Raw_Products!$A$2:$A$71,0))</f>
        <v>In Set</v>
      </c>
      <c r="H764" s="7" t="str">
        <f>INDEX(Raw_Products!$C$2:$C$71,MATCH($F764,Raw_Products!$A$2:$A$71,0))</f>
        <v>Colors</v>
      </c>
      <c r="I764" s="7">
        <f>VALUE(Raw_Orders!D764)</f>
        <v>4</v>
      </c>
      <c r="J764" s="11" t="str">
        <f>INDEX(Raw_Products!$D$2:$D$71,MATCH($F764,Raw_Products!$A$2:$A$71,0))</f>
        <v>1252</v>
      </c>
      <c r="K764" s="11">
        <f t="shared" si="22"/>
        <v>5008</v>
      </c>
      <c r="L764" s="12">
        <f>DATE(VALUE(RIGHT(Raw_Orders!E764,4)),VALUE(MID(Raw_Orders!E764,4,2)),VALUE(LEFT(Raw_Orders!E764,2)))</f>
        <v>44987</v>
      </c>
      <c r="M764" s="12">
        <f>DATE(VALUE(RIGHT(Raw_Orders!G764,4)),VALUE(MID(Raw_Orders!G764,4,2)),VALUE(LEFT(Raw_Orders!G764,2)))</f>
        <v>44989</v>
      </c>
      <c r="N764" s="7">
        <f t="shared" si="23"/>
        <v>2</v>
      </c>
      <c r="O764" s="7" t="str">
        <f>Raw_Orders!J764</f>
        <v>Holi</v>
      </c>
      <c r="P764" s="7" t="str">
        <f>Raw_Orders!I764</f>
        <v>Nellore</v>
      </c>
    </row>
    <row r="765" spans="1:16">
      <c r="A765" s="7" t="str">
        <f>Raw_Orders!A765</f>
        <v>764</v>
      </c>
      <c r="B765" s="7" t="str">
        <f>Raw_Orders!B765</f>
        <v>C039</v>
      </c>
      <c r="C765" s="7" t="str">
        <f>INDEX(Raw_Customers!$B$2:$B$101,MATCH($B765,Raw_Customers!$A$2:$A$101,0))</f>
        <v>Kaira Bahl</v>
      </c>
      <c r="D765" s="7" t="str">
        <f>TRIM(INDEX(Raw_Customers!$C$2:$C$101,MATCH($B765,Raw_Customers!$A$2:$A$101,0)))</f>
        <v>Kamarhati</v>
      </c>
      <c r="E765" s="7" t="str">
        <f>"+91-"&amp;RIGHT("0000000000"&amp;INDEX(Raw_Customers!$D$2:$D$101,MATCH($B765,Raw_Customers!$A$2:$A$101,0)),10)</f>
        <v>+91-8804850295</v>
      </c>
      <c r="F765" s="7" t="str">
        <f>Raw_Orders!C765</f>
        <v>65</v>
      </c>
      <c r="G765" s="7" t="str">
        <f>INDEX(Raw_Products!$B$2:$B$71,MATCH($F765,Raw_Products!$A$2:$A$71,0))</f>
        <v>Error Gift</v>
      </c>
      <c r="H765" s="7" t="str">
        <f>INDEX(Raw_Products!$C$2:$C$71,MATCH($F765,Raw_Products!$A$2:$A$71,0))</f>
        <v>Raksha Bandhan</v>
      </c>
      <c r="I765" s="7">
        <f>VALUE(Raw_Orders!D765)</f>
        <v>3</v>
      </c>
      <c r="J765" s="11" t="str">
        <f>INDEX(Raw_Products!$D$2:$D$71,MATCH($F765,Raw_Products!$A$2:$A$71,0))</f>
        <v>1895</v>
      </c>
      <c r="K765" s="11">
        <f t="shared" si="22"/>
        <v>5685</v>
      </c>
      <c r="L765" s="12">
        <f>DATE(VALUE(RIGHT(Raw_Orders!E765,4)),VALUE(MID(Raw_Orders!E765,4,2)),VALUE(LEFT(Raw_Orders!E765,2)))</f>
        <v>45139</v>
      </c>
      <c r="M765" s="12">
        <f>DATE(VALUE(RIGHT(Raw_Orders!G765,4)),VALUE(MID(Raw_Orders!G765,4,2)),VALUE(LEFT(Raw_Orders!G765,2)))</f>
        <v>45143</v>
      </c>
      <c r="N765" s="7">
        <f t="shared" si="23"/>
        <v>4</v>
      </c>
      <c r="O765" s="7" t="str">
        <f>Raw_Orders!J765</f>
        <v>All Occasions</v>
      </c>
      <c r="P765" s="7" t="str">
        <f>Raw_Orders!I765</f>
        <v>Berhampur</v>
      </c>
    </row>
    <row r="766" spans="1:16">
      <c r="A766" s="7" t="str">
        <f>Raw_Orders!A766</f>
        <v>765</v>
      </c>
      <c r="B766" s="7" t="str">
        <f>Raw_Orders!B766</f>
        <v>C055</v>
      </c>
      <c r="C766" s="7" t="str">
        <f>INDEX(Raw_Customers!$B$2:$B$101,MATCH($B766,Raw_Customers!$A$2:$A$101,0))</f>
        <v>Umang Luthra</v>
      </c>
      <c r="D766" s="7" t="str">
        <f>TRIM(INDEX(Raw_Customers!$C$2:$C$101,MATCH($B766,Raw_Customers!$A$2:$A$101,0)))</f>
        <v>Imphal</v>
      </c>
      <c r="E766" s="7" t="str">
        <f>"+91-"&amp;RIGHT("0000000000"&amp;INDEX(Raw_Customers!$D$2:$D$101,MATCH($B766,Raw_Customers!$A$2:$A$101,0)),10)</f>
        <v>+91-2007986762</v>
      </c>
      <c r="F766" s="7" t="str">
        <f>Raw_Orders!C766</f>
        <v>41</v>
      </c>
      <c r="G766" s="7" t="str">
        <f>INDEX(Raw_Products!$B$2:$B$71,MATCH($F766,Raw_Products!$A$2:$A$71,0))</f>
        <v>Aut Box</v>
      </c>
      <c r="H766" s="7" t="str">
        <f>INDEX(Raw_Products!$C$2:$C$71,MATCH($F766,Raw_Products!$A$2:$A$71,0))</f>
        <v>Sweets</v>
      </c>
      <c r="I766" s="7">
        <f>VALUE(Raw_Orders!D766)</f>
        <v>2</v>
      </c>
      <c r="J766" s="11" t="str">
        <f>INDEX(Raw_Products!$D$2:$D$71,MATCH($F766,Raw_Products!$A$2:$A$71,0))</f>
        <v>1977</v>
      </c>
      <c r="K766" s="11">
        <f t="shared" si="22"/>
        <v>3954</v>
      </c>
      <c r="L766" s="12">
        <f>DATE(VALUE(RIGHT(Raw_Orders!E766,4)),VALUE(MID(Raw_Orders!E766,4,2)),VALUE(LEFT(Raw_Orders!E766,2)))</f>
        <v>45233</v>
      </c>
      <c r="M766" s="12">
        <f>DATE(VALUE(RIGHT(Raw_Orders!G766,4)),VALUE(MID(Raw_Orders!G766,4,2)),VALUE(LEFT(Raw_Orders!G766,2)))</f>
        <v>45236</v>
      </c>
      <c r="N766" s="7">
        <f t="shared" si="23"/>
        <v>3</v>
      </c>
      <c r="O766" s="7" t="str">
        <f>Raw_Orders!J766</f>
        <v>Diwali</v>
      </c>
      <c r="P766" s="7" t="str">
        <f>Raw_Orders!I766</f>
        <v>Ambala</v>
      </c>
    </row>
    <row r="767" spans="1:16">
      <c r="A767" s="7" t="str">
        <f>Raw_Orders!A767</f>
        <v>766</v>
      </c>
      <c r="B767" s="7" t="str">
        <f>Raw_Orders!B767</f>
        <v>C077</v>
      </c>
      <c r="C767" s="7" t="str">
        <f>INDEX(Raw_Customers!$B$2:$B$101,MATCH($B767,Raw_Customers!$A$2:$A$101,0))</f>
        <v>Gokul Ahluwalia</v>
      </c>
      <c r="D767" s="7" t="str">
        <f>TRIM(INDEX(Raw_Customers!$C$2:$C$101,MATCH($B767,Raw_Customers!$A$2:$A$101,0)))</f>
        <v>Panchkula</v>
      </c>
      <c r="E767" s="7" t="str">
        <f>"+91-"&amp;RIGHT("0000000000"&amp;INDEX(Raw_Customers!$D$2:$D$101,MATCH($B767,Raw_Customers!$A$2:$A$101,0)),10)</f>
        <v>+91-0413737551</v>
      </c>
      <c r="F767" s="7" t="str">
        <f>Raw_Orders!C767</f>
        <v>1</v>
      </c>
      <c r="G767" s="7" t="str">
        <f>INDEX(Raw_Products!$B$2:$B$71,MATCH($F767,Raw_Products!$A$2:$A$71,0))</f>
        <v>Magnam Set</v>
      </c>
      <c r="H767" s="7" t="str">
        <f>INDEX(Raw_Products!$C$2:$C$71,MATCH($F767,Raw_Products!$A$2:$A$71,0))</f>
        <v>Soft Toys</v>
      </c>
      <c r="I767" s="7">
        <f>VALUE(Raw_Orders!D767)</f>
        <v>4</v>
      </c>
      <c r="J767" s="11" t="str">
        <f>INDEX(Raw_Products!$D$2:$D$71,MATCH($F767,Raw_Products!$A$2:$A$71,0))</f>
        <v>1935</v>
      </c>
      <c r="K767" s="11">
        <f t="shared" si="22"/>
        <v>7740</v>
      </c>
      <c r="L767" s="12">
        <f>DATE(VALUE(RIGHT(Raw_Orders!E767,4)),VALUE(MID(Raw_Orders!E767,4,2)),VALUE(LEFT(Raw_Orders!E767,2)))</f>
        <v>45109</v>
      </c>
      <c r="M767" s="12">
        <f>DATE(VALUE(RIGHT(Raw_Orders!G767,4)),VALUE(MID(Raw_Orders!G767,4,2)),VALUE(LEFT(Raw_Orders!G767,2)))</f>
        <v>45114</v>
      </c>
      <c r="N767" s="7">
        <f t="shared" si="23"/>
        <v>5</v>
      </c>
      <c r="O767" s="7" t="str">
        <f>Raw_Orders!J767</f>
        <v>All Occasions</v>
      </c>
      <c r="P767" s="7" t="str">
        <f>Raw_Orders!I767</f>
        <v>Hospet</v>
      </c>
    </row>
    <row r="768" spans="1:16">
      <c r="A768" s="7" t="str">
        <f>Raw_Orders!A768</f>
        <v>767</v>
      </c>
      <c r="B768" s="7" t="str">
        <f>Raw_Orders!B768</f>
        <v>C077</v>
      </c>
      <c r="C768" s="7" t="str">
        <f>INDEX(Raw_Customers!$B$2:$B$101,MATCH($B768,Raw_Customers!$A$2:$A$101,0))</f>
        <v>Gokul Ahluwalia</v>
      </c>
      <c r="D768" s="7" t="str">
        <f>TRIM(INDEX(Raw_Customers!$C$2:$C$101,MATCH($B768,Raw_Customers!$A$2:$A$101,0)))</f>
        <v>Panchkula</v>
      </c>
      <c r="E768" s="7" t="str">
        <f>"+91-"&amp;RIGHT("0000000000"&amp;INDEX(Raw_Customers!$D$2:$D$101,MATCH($B768,Raw_Customers!$A$2:$A$101,0)),10)</f>
        <v>+91-0413737551</v>
      </c>
      <c r="F768" s="7" t="str">
        <f>Raw_Orders!C768</f>
        <v>13</v>
      </c>
      <c r="G768" s="7" t="str">
        <f>INDEX(Raw_Products!$B$2:$B$71,MATCH($F768,Raw_Products!$A$2:$A$71,0))</f>
        <v>Et Set</v>
      </c>
      <c r="H768" s="7" t="str">
        <f>INDEX(Raw_Products!$C$2:$C$71,MATCH($F768,Raw_Products!$A$2:$A$71,0))</f>
        <v>Mugs</v>
      </c>
      <c r="I768" s="7">
        <f>VALUE(Raw_Orders!D768)</f>
        <v>2</v>
      </c>
      <c r="J768" s="11" t="str">
        <f>INDEX(Raw_Products!$D$2:$D$71,MATCH($F768,Raw_Products!$A$2:$A$71,0))</f>
        <v>1141</v>
      </c>
      <c r="K768" s="11">
        <f t="shared" si="22"/>
        <v>2282</v>
      </c>
      <c r="L768" s="12">
        <f>DATE(VALUE(RIGHT(Raw_Orders!E768,4)),VALUE(MID(Raw_Orders!E768,4,2)),VALUE(LEFT(Raw_Orders!E768,2)))</f>
        <v>44988</v>
      </c>
      <c r="M768" s="12">
        <f>DATE(VALUE(RIGHT(Raw_Orders!G768,4)),VALUE(MID(Raw_Orders!G768,4,2)),VALUE(LEFT(Raw_Orders!G768,2)))</f>
        <v>44989</v>
      </c>
      <c r="N768" s="7">
        <f t="shared" si="23"/>
        <v>1</v>
      </c>
      <c r="O768" s="7" t="str">
        <f>Raw_Orders!J768</f>
        <v>Holi</v>
      </c>
      <c r="P768" s="7" t="str">
        <f>Raw_Orders!I768</f>
        <v>Rohtak</v>
      </c>
    </row>
    <row r="769" spans="1:16">
      <c r="A769" s="7" t="str">
        <f>Raw_Orders!A769</f>
        <v>768</v>
      </c>
      <c r="B769" s="7" t="str">
        <f>Raw_Orders!B769</f>
        <v>C087</v>
      </c>
      <c r="C769" s="7" t="str">
        <f>INDEX(Raw_Customers!$B$2:$B$101,MATCH($B769,Raw_Customers!$A$2:$A$101,0))</f>
        <v>Rania Bhatt</v>
      </c>
      <c r="D769" s="7" t="str">
        <f>TRIM(INDEX(Raw_Customers!$C$2:$C$101,MATCH($B769,Raw_Customers!$A$2:$A$101,0)))</f>
        <v>North Dumdum</v>
      </c>
      <c r="E769" s="7" t="str">
        <f>"+91-"&amp;RIGHT("0000000000"&amp;INDEX(Raw_Customers!$D$2:$D$101,MATCH($B769,Raw_Customers!$A$2:$A$101,0)),10)</f>
        <v>+91-2112404207</v>
      </c>
      <c r="F769" s="7" t="str">
        <f>Raw_Orders!C769</f>
        <v>1</v>
      </c>
      <c r="G769" s="7" t="str">
        <f>INDEX(Raw_Products!$B$2:$B$71,MATCH($F769,Raw_Products!$A$2:$A$71,0))</f>
        <v>Magnam Set</v>
      </c>
      <c r="H769" s="7" t="str">
        <f>INDEX(Raw_Products!$C$2:$C$71,MATCH($F769,Raw_Products!$A$2:$A$71,0))</f>
        <v>Soft Toys</v>
      </c>
      <c r="I769" s="7">
        <f>VALUE(Raw_Orders!D769)</f>
        <v>1</v>
      </c>
      <c r="J769" s="11" t="str">
        <f>INDEX(Raw_Products!$D$2:$D$71,MATCH($F769,Raw_Products!$A$2:$A$71,0))</f>
        <v>1935</v>
      </c>
      <c r="K769" s="11">
        <f t="shared" si="22"/>
        <v>1935</v>
      </c>
      <c r="L769" s="12">
        <f>DATE(VALUE(RIGHT(Raw_Orders!E769,4)),VALUE(MID(Raw_Orders!E769,4,2)),VALUE(LEFT(Raw_Orders!E769,2)))</f>
        <v>45241</v>
      </c>
      <c r="M769" s="12">
        <f>DATE(VALUE(RIGHT(Raw_Orders!G769,4)),VALUE(MID(Raw_Orders!G769,4,2)),VALUE(LEFT(Raw_Orders!G769,2)))</f>
        <v>45246</v>
      </c>
      <c r="N769" s="7">
        <f t="shared" si="23"/>
        <v>5</v>
      </c>
      <c r="O769" s="7" t="str">
        <f>Raw_Orders!J769</f>
        <v>All Occasions</v>
      </c>
      <c r="P769" s="7" t="str">
        <f>Raw_Orders!I769</f>
        <v>Howrah</v>
      </c>
    </row>
    <row r="770" spans="1:16">
      <c r="A770" s="7" t="str">
        <f>Raw_Orders!A770</f>
        <v>769</v>
      </c>
      <c r="B770" s="7" t="str">
        <f>Raw_Orders!B770</f>
        <v>C029</v>
      </c>
      <c r="C770" s="7" t="str">
        <f>INDEX(Raw_Customers!$B$2:$B$101,MATCH($B770,Raw_Customers!$A$2:$A$101,0))</f>
        <v>Badal Sathe</v>
      </c>
      <c r="D770" s="7" t="str">
        <f>TRIM(INDEX(Raw_Customers!$C$2:$C$101,MATCH($B770,Raw_Customers!$A$2:$A$101,0)))</f>
        <v>Haridwar</v>
      </c>
      <c r="E770" s="7" t="str">
        <f>"+91-"&amp;RIGHT("0000000000"&amp;INDEX(Raw_Customers!$D$2:$D$101,MATCH($B770,Raw_Customers!$A$2:$A$101,0)),10)</f>
        <v>+91-2454360885</v>
      </c>
      <c r="F770" s="7" t="str">
        <f>Raw_Orders!C770</f>
        <v>28</v>
      </c>
      <c r="G770" s="7" t="str">
        <f>INDEX(Raw_Products!$B$2:$B$71,MATCH($F770,Raw_Products!$A$2:$A$71,0))</f>
        <v>Velit Set</v>
      </c>
      <c r="H770" s="7" t="str">
        <f>INDEX(Raw_Products!$C$2:$C$71,MATCH($F770,Raw_Products!$A$2:$A$71,0))</f>
        <v>Sweets</v>
      </c>
      <c r="I770" s="7">
        <f>VALUE(Raw_Orders!D770)</f>
        <v>2</v>
      </c>
      <c r="J770" s="11" t="str">
        <f>INDEX(Raw_Products!$D$2:$D$71,MATCH($F770,Raw_Products!$A$2:$A$71,0))</f>
        <v>1778</v>
      </c>
      <c r="K770" s="11">
        <f t="shared" ref="K770:K833" si="24">I770*J770</f>
        <v>3556</v>
      </c>
      <c r="L770" s="12">
        <f>DATE(VALUE(RIGHT(Raw_Orders!E770,4)),VALUE(MID(Raw_Orders!E770,4,2)),VALUE(LEFT(Raw_Orders!E770,2)))</f>
        <v>45163</v>
      </c>
      <c r="M770" s="12">
        <f>DATE(VALUE(RIGHT(Raw_Orders!G770,4)),VALUE(MID(Raw_Orders!G770,4,2)),VALUE(LEFT(Raw_Orders!G770,2)))</f>
        <v>45171</v>
      </c>
      <c r="N770" s="7">
        <f t="shared" ref="N770:N833" si="25">M770-L770</f>
        <v>8</v>
      </c>
      <c r="O770" s="7" t="str">
        <f>Raw_Orders!J770</f>
        <v>Raksha Bandhan</v>
      </c>
      <c r="P770" s="7" t="str">
        <f>Raw_Orders!I770</f>
        <v>Ongole</v>
      </c>
    </row>
    <row r="771" spans="1:16">
      <c r="A771" s="7" t="str">
        <f>Raw_Orders!A771</f>
        <v>770</v>
      </c>
      <c r="B771" s="7" t="str">
        <f>Raw_Orders!B771</f>
        <v>C080</v>
      </c>
      <c r="C771" s="7" t="str">
        <f>INDEX(Raw_Customers!$B$2:$B$101,MATCH($B771,Raw_Customers!$A$2:$A$101,0))</f>
        <v>Mohanlal Garde</v>
      </c>
      <c r="D771" s="7" t="str">
        <f>TRIM(INDEX(Raw_Customers!$C$2:$C$101,MATCH($B771,Raw_Customers!$A$2:$A$101,0)))</f>
        <v>Bhopal</v>
      </c>
      <c r="E771" s="7" t="str">
        <f>"+91-"&amp;RIGHT("0000000000"&amp;INDEX(Raw_Customers!$D$2:$D$101,MATCH($B771,Raw_Customers!$A$2:$A$101,0)),10)</f>
        <v>+91-8448890371</v>
      </c>
      <c r="F771" s="7" t="str">
        <f>Raw_Orders!C771</f>
        <v>25</v>
      </c>
      <c r="G771" s="7" t="str">
        <f>INDEX(Raw_Products!$B$2:$B$71,MATCH($F771,Raw_Products!$A$2:$A$71,0))</f>
        <v>Qui Gift</v>
      </c>
      <c r="H771" s="7" t="str">
        <f>INDEX(Raw_Products!$C$2:$C$71,MATCH($F771,Raw_Products!$A$2:$A$71,0))</f>
        <v>Plants</v>
      </c>
      <c r="I771" s="7">
        <f>VALUE(Raw_Orders!D771)</f>
        <v>3</v>
      </c>
      <c r="J771" s="11" t="str">
        <f>INDEX(Raw_Products!$D$2:$D$71,MATCH($F771,Raw_Products!$A$2:$A$71,0))</f>
        <v>1202</v>
      </c>
      <c r="K771" s="11">
        <f t="shared" si="24"/>
        <v>3606</v>
      </c>
      <c r="L771" s="12">
        <f>DATE(VALUE(RIGHT(Raw_Orders!E771,4)),VALUE(MID(Raw_Orders!E771,4,2)),VALUE(LEFT(Raw_Orders!E771,2)))</f>
        <v>45075</v>
      </c>
      <c r="M771" s="12">
        <f>DATE(VALUE(RIGHT(Raw_Orders!G771,4)),VALUE(MID(Raw_Orders!G771,4,2)),VALUE(LEFT(Raw_Orders!G771,2)))</f>
        <v>45084</v>
      </c>
      <c r="N771" s="7">
        <f t="shared" si="25"/>
        <v>9</v>
      </c>
      <c r="O771" s="7" t="str">
        <f>Raw_Orders!J771</f>
        <v>Anniversary</v>
      </c>
      <c r="P771" s="7" t="str">
        <f>Raw_Orders!I771</f>
        <v>Pallavaram</v>
      </c>
    </row>
    <row r="772" spans="1:16">
      <c r="A772" s="7" t="str">
        <f>Raw_Orders!A772</f>
        <v>771</v>
      </c>
      <c r="B772" s="7" t="str">
        <f>Raw_Orders!B772</f>
        <v>C056</v>
      </c>
      <c r="C772" s="7" t="str">
        <f>INDEX(Raw_Customers!$B$2:$B$101,MATCH($B772,Raw_Customers!$A$2:$A$101,0))</f>
        <v>Pihu Choudhury</v>
      </c>
      <c r="D772" s="7" t="str">
        <f>TRIM(INDEX(Raw_Customers!$C$2:$C$101,MATCH($B772,Raw_Customers!$A$2:$A$101,0)))</f>
        <v>Haridwar</v>
      </c>
      <c r="E772" s="7" t="str">
        <f>"+91-"&amp;RIGHT("0000000000"&amp;INDEX(Raw_Customers!$D$2:$D$101,MATCH($B772,Raw_Customers!$A$2:$A$101,0)),10)</f>
        <v>+91-9732644810</v>
      </c>
      <c r="F772" s="7" t="str">
        <f>Raw_Orders!C772</f>
        <v>9</v>
      </c>
      <c r="G772" s="7" t="str">
        <f>INDEX(Raw_Products!$B$2:$B$71,MATCH($F772,Raw_Products!$A$2:$A$71,0))</f>
        <v>Aperiam Box</v>
      </c>
      <c r="H772" s="7" t="str">
        <f>INDEX(Raw_Products!$C$2:$C$71,MATCH($F772,Raw_Products!$A$2:$A$71,0))</f>
        <v>Colors</v>
      </c>
      <c r="I772" s="7">
        <f>VALUE(Raw_Orders!D772)</f>
        <v>2</v>
      </c>
      <c r="J772" s="11" t="str">
        <f>INDEX(Raw_Products!$D$2:$D$71,MATCH($F772,Raw_Products!$A$2:$A$71,0))</f>
        <v>1605</v>
      </c>
      <c r="K772" s="11">
        <f t="shared" si="24"/>
        <v>3210</v>
      </c>
      <c r="L772" s="12">
        <f>DATE(VALUE(RIGHT(Raw_Orders!E772,4)),VALUE(MID(Raw_Orders!E772,4,2)),VALUE(LEFT(Raw_Orders!E772,2)))</f>
        <v>45164</v>
      </c>
      <c r="M772" s="12">
        <f>DATE(VALUE(RIGHT(Raw_Orders!G772,4)),VALUE(MID(Raw_Orders!G772,4,2)),VALUE(LEFT(Raw_Orders!G772,2)))</f>
        <v>45170</v>
      </c>
      <c r="N772" s="7">
        <f t="shared" si="25"/>
        <v>6</v>
      </c>
      <c r="O772" s="7" t="str">
        <f>Raw_Orders!J772</f>
        <v>Raksha Bandhan</v>
      </c>
      <c r="P772" s="7" t="str">
        <f>Raw_Orders!I772</f>
        <v>Vijayanagaram</v>
      </c>
    </row>
    <row r="773" spans="1:16">
      <c r="A773" s="7" t="str">
        <f>Raw_Orders!A773</f>
        <v>772</v>
      </c>
      <c r="B773" s="7" t="str">
        <f>Raw_Orders!B773</f>
        <v>C085</v>
      </c>
      <c r="C773" s="7" t="str">
        <f>INDEX(Raw_Customers!$B$2:$B$101,MATCH($B773,Raw_Customers!$A$2:$A$101,0))</f>
        <v>Bhamini Johal</v>
      </c>
      <c r="D773" s="7" t="str">
        <f>TRIM(INDEX(Raw_Customers!$C$2:$C$101,MATCH($B773,Raw_Customers!$A$2:$A$101,0)))</f>
        <v>Raipur</v>
      </c>
      <c r="E773" s="7" t="str">
        <f>"+91-"&amp;RIGHT("0000000000"&amp;INDEX(Raw_Customers!$D$2:$D$101,MATCH($B773,Raw_Customers!$A$2:$A$101,0)),10)</f>
        <v>+91-3129106402</v>
      </c>
      <c r="F773" s="7" t="str">
        <f>Raw_Orders!C773</f>
        <v>35</v>
      </c>
      <c r="G773" s="7" t="str">
        <f>INDEX(Raw_Products!$B$2:$B$71,MATCH($F773,Raw_Products!$A$2:$A$71,0))</f>
        <v>Nam Gift</v>
      </c>
      <c r="H773" s="7" t="str">
        <f>INDEX(Raw_Products!$C$2:$C$71,MATCH($F773,Raw_Products!$A$2:$A$71,0))</f>
        <v>Colors</v>
      </c>
      <c r="I773" s="7">
        <f>VALUE(Raw_Orders!D773)</f>
        <v>5</v>
      </c>
      <c r="J773" s="11" t="str">
        <f>INDEX(Raw_Products!$D$2:$D$71,MATCH($F773,Raw_Products!$A$2:$A$71,0))</f>
        <v>1865</v>
      </c>
      <c r="K773" s="11">
        <f t="shared" si="24"/>
        <v>9325</v>
      </c>
      <c r="L773" s="12">
        <f>DATE(VALUE(RIGHT(Raw_Orders!E773,4)),VALUE(MID(Raw_Orders!E773,4,2)),VALUE(LEFT(Raw_Orders!E773,2)))</f>
        <v>44986</v>
      </c>
      <c r="M773" s="12">
        <f>DATE(VALUE(RIGHT(Raw_Orders!G773,4)),VALUE(MID(Raw_Orders!G773,4,2)),VALUE(LEFT(Raw_Orders!G773,2)))</f>
        <v>44989</v>
      </c>
      <c r="N773" s="7">
        <f t="shared" si="25"/>
        <v>3</v>
      </c>
      <c r="O773" s="7" t="str">
        <f>Raw_Orders!J773</f>
        <v>Holi</v>
      </c>
      <c r="P773" s="7" t="str">
        <f>Raw_Orders!I773</f>
        <v>Machilipatnam</v>
      </c>
    </row>
    <row r="774" spans="1:16">
      <c r="A774" s="7" t="str">
        <f>Raw_Orders!A774</f>
        <v>773</v>
      </c>
      <c r="B774" s="7" t="str">
        <f>Raw_Orders!B774</f>
        <v>C031</v>
      </c>
      <c r="C774" s="7" t="str">
        <f>INDEX(Raw_Customers!$B$2:$B$101,MATCH($B774,Raw_Customers!$A$2:$A$101,0))</f>
        <v>Madhup Wable</v>
      </c>
      <c r="D774" s="7" t="str">
        <f>TRIM(INDEX(Raw_Customers!$C$2:$C$101,MATCH($B774,Raw_Customers!$A$2:$A$101,0)))</f>
        <v>Sasaram</v>
      </c>
      <c r="E774" s="7" t="str">
        <f>"+91-"&amp;RIGHT("0000000000"&amp;INDEX(Raw_Customers!$D$2:$D$101,MATCH($B774,Raw_Customers!$A$2:$A$101,0)),10)</f>
        <v>+91-0135745753</v>
      </c>
      <c r="F774" s="7" t="str">
        <f>Raw_Orders!C774</f>
        <v>39</v>
      </c>
      <c r="G774" s="7" t="str">
        <f>INDEX(Raw_Products!$B$2:$B$71,MATCH($F774,Raw_Products!$A$2:$A$71,0))</f>
        <v>Voluptate Set</v>
      </c>
      <c r="H774" s="7" t="str">
        <f>INDEX(Raw_Products!$C$2:$C$71,MATCH($F774,Raw_Products!$A$2:$A$71,0))</f>
        <v>Mugs</v>
      </c>
      <c r="I774" s="7">
        <f>VALUE(Raw_Orders!D774)</f>
        <v>4</v>
      </c>
      <c r="J774" s="11" t="str">
        <f>INDEX(Raw_Products!$D$2:$D$71,MATCH($F774,Raw_Products!$A$2:$A$71,0))</f>
        <v>387</v>
      </c>
      <c r="K774" s="11">
        <f t="shared" si="24"/>
        <v>1548</v>
      </c>
      <c r="L774" s="12">
        <f>DATE(VALUE(RIGHT(Raw_Orders!E774,4)),VALUE(MID(Raw_Orders!E774,4,2)),VALUE(LEFT(Raw_Orders!E774,2)))</f>
        <v>44933</v>
      </c>
      <c r="M774" s="12">
        <f>DATE(VALUE(RIGHT(Raw_Orders!G774,4)),VALUE(MID(Raw_Orders!G774,4,2)),VALUE(LEFT(Raw_Orders!G774,2)))</f>
        <v>44939</v>
      </c>
      <c r="N774" s="7">
        <f t="shared" si="25"/>
        <v>6</v>
      </c>
      <c r="O774" s="7" t="str">
        <f>Raw_Orders!J774</f>
        <v>All Occasions</v>
      </c>
      <c r="P774" s="7" t="str">
        <f>Raw_Orders!I774</f>
        <v>Karaikudi</v>
      </c>
    </row>
    <row r="775" spans="1:16">
      <c r="A775" s="7" t="str">
        <f>Raw_Orders!A775</f>
        <v>774</v>
      </c>
      <c r="B775" s="7" t="str">
        <f>Raw_Orders!B775</f>
        <v>C051</v>
      </c>
      <c r="C775" s="7" t="str">
        <f>INDEX(Raw_Customers!$B$2:$B$101,MATCH($B775,Raw_Customers!$A$2:$A$101,0))</f>
        <v>Aradhya Batta</v>
      </c>
      <c r="D775" s="7" t="str">
        <f>TRIM(INDEX(Raw_Customers!$C$2:$C$101,MATCH($B775,Raw_Customers!$A$2:$A$101,0)))</f>
        <v>Kota</v>
      </c>
      <c r="E775" s="7" t="str">
        <f>"+91-"&amp;RIGHT("0000000000"&amp;INDEX(Raw_Customers!$D$2:$D$101,MATCH($B775,Raw_Customers!$A$2:$A$101,0)),10)</f>
        <v>+91-1200621501</v>
      </c>
      <c r="F775" s="7" t="str">
        <f>Raw_Orders!C775</f>
        <v>65</v>
      </c>
      <c r="G775" s="7" t="str">
        <f>INDEX(Raw_Products!$B$2:$B$71,MATCH($F775,Raw_Products!$A$2:$A$71,0))</f>
        <v>Error Gift</v>
      </c>
      <c r="H775" s="7" t="str">
        <f>INDEX(Raw_Products!$C$2:$C$71,MATCH($F775,Raw_Products!$A$2:$A$71,0))</f>
        <v>Raksha Bandhan</v>
      </c>
      <c r="I775" s="7">
        <f>VALUE(Raw_Orders!D775)</f>
        <v>5</v>
      </c>
      <c r="J775" s="11" t="str">
        <f>INDEX(Raw_Products!$D$2:$D$71,MATCH($F775,Raw_Products!$A$2:$A$71,0))</f>
        <v>1895</v>
      </c>
      <c r="K775" s="11">
        <f t="shared" si="24"/>
        <v>9475</v>
      </c>
      <c r="L775" s="12">
        <f>DATE(VALUE(RIGHT(Raw_Orders!E775,4)),VALUE(MID(Raw_Orders!E775,4,2)),VALUE(LEFT(Raw_Orders!E775,2)))</f>
        <v>45094</v>
      </c>
      <c r="M775" s="12">
        <f>DATE(VALUE(RIGHT(Raw_Orders!G775,4)),VALUE(MID(Raw_Orders!G775,4,2)),VALUE(LEFT(Raw_Orders!G775,2)))</f>
        <v>45104</v>
      </c>
      <c r="N775" s="7">
        <f t="shared" si="25"/>
        <v>10</v>
      </c>
      <c r="O775" s="7" t="str">
        <f>Raw_Orders!J775</f>
        <v>All Occasions</v>
      </c>
      <c r="P775" s="7" t="str">
        <f>Raw_Orders!I775</f>
        <v>Begusarai</v>
      </c>
    </row>
    <row r="776" spans="1:16">
      <c r="A776" s="7" t="str">
        <f>Raw_Orders!A776</f>
        <v>775</v>
      </c>
      <c r="B776" s="7" t="str">
        <f>Raw_Orders!B776</f>
        <v>C077</v>
      </c>
      <c r="C776" s="7" t="str">
        <f>INDEX(Raw_Customers!$B$2:$B$101,MATCH($B776,Raw_Customers!$A$2:$A$101,0))</f>
        <v>Gokul Ahluwalia</v>
      </c>
      <c r="D776" s="7" t="str">
        <f>TRIM(INDEX(Raw_Customers!$C$2:$C$101,MATCH($B776,Raw_Customers!$A$2:$A$101,0)))</f>
        <v>Panchkula</v>
      </c>
      <c r="E776" s="7" t="str">
        <f>"+91-"&amp;RIGHT("0000000000"&amp;INDEX(Raw_Customers!$D$2:$D$101,MATCH($B776,Raw_Customers!$A$2:$A$101,0)),10)</f>
        <v>+91-0413737551</v>
      </c>
      <c r="F776" s="7" t="str">
        <f>Raw_Orders!C776</f>
        <v>45</v>
      </c>
      <c r="G776" s="7" t="str">
        <f>INDEX(Raw_Products!$B$2:$B$71,MATCH($F776,Raw_Products!$A$2:$A$71,0))</f>
        <v>Iusto Set</v>
      </c>
      <c r="H776" s="7" t="str">
        <f>INDEX(Raw_Products!$C$2:$C$71,MATCH($F776,Raw_Products!$A$2:$A$71,0))</f>
        <v>Raksha Bandhan</v>
      </c>
      <c r="I776" s="7">
        <f>VALUE(Raw_Orders!D776)</f>
        <v>1</v>
      </c>
      <c r="J776" s="11" t="str">
        <f>INDEX(Raw_Products!$D$2:$D$71,MATCH($F776,Raw_Products!$A$2:$A$71,0))</f>
        <v>722</v>
      </c>
      <c r="K776" s="11">
        <f t="shared" si="24"/>
        <v>722</v>
      </c>
      <c r="L776" s="12">
        <f>DATE(VALUE(RIGHT(Raw_Orders!E776,4)),VALUE(MID(Raw_Orders!E776,4,2)),VALUE(LEFT(Raw_Orders!E776,2)))</f>
        <v>44976</v>
      </c>
      <c r="M776" s="12">
        <f>DATE(VALUE(RIGHT(Raw_Orders!G776,4)),VALUE(MID(Raw_Orders!G776,4,2)),VALUE(LEFT(Raw_Orders!G776,2)))</f>
        <v>44981</v>
      </c>
      <c r="N776" s="7">
        <f t="shared" si="25"/>
        <v>5</v>
      </c>
      <c r="O776" s="7" t="str">
        <f>Raw_Orders!J776</f>
        <v>Birthday</v>
      </c>
      <c r="P776" s="7" t="str">
        <f>Raw_Orders!I776</f>
        <v>Anand</v>
      </c>
    </row>
    <row r="777" spans="1:16">
      <c r="A777" s="7" t="str">
        <f>Raw_Orders!A777</f>
        <v>776</v>
      </c>
      <c r="B777" s="7" t="str">
        <f>Raw_Orders!B777</f>
        <v>C051</v>
      </c>
      <c r="C777" s="7" t="str">
        <f>INDEX(Raw_Customers!$B$2:$B$101,MATCH($B777,Raw_Customers!$A$2:$A$101,0))</f>
        <v>Aradhya Batta</v>
      </c>
      <c r="D777" s="7" t="str">
        <f>TRIM(INDEX(Raw_Customers!$C$2:$C$101,MATCH($B777,Raw_Customers!$A$2:$A$101,0)))</f>
        <v>Kota</v>
      </c>
      <c r="E777" s="7" t="str">
        <f>"+91-"&amp;RIGHT("0000000000"&amp;INDEX(Raw_Customers!$D$2:$D$101,MATCH($B777,Raw_Customers!$A$2:$A$101,0)),10)</f>
        <v>+91-1200621501</v>
      </c>
      <c r="F777" s="7" t="str">
        <f>Raw_Orders!C777</f>
        <v>43</v>
      </c>
      <c r="G777" s="7" t="str">
        <f>INDEX(Raw_Products!$B$2:$B$71,MATCH($F777,Raw_Products!$A$2:$A$71,0))</f>
        <v>Quisquam Pack</v>
      </c>
      <c r="H777" s="7" t="str">
        <f>INDEX(Raw_Products!$C$2:$C$71,MATCH($F777,Raw_Products!$A$2:$A$71,0))</f>
        <v>Raksha Bandhan</v>
      </c>
      <c r="I777" s="7">
        <f>VALUE(Raw_Orders!D777)</f>
        <v>1</v>
      </c>
      <c r="J777" s="11" t="str">
        <f>INDEX(Raw_Products!$D$2:$D$71,MATCH($F777,Raw_Products!$A$2:$A$71,0))</f>
        <v>750</v>
      </c>
      <c r="K777" s="11">
        <f t="shared" si="24"/>
        <v>750</v>
      </c>
      <c r="L777" s="12">
        <f>DATE(VALUE(RIGHT(Raw_Orders!E777,4)),VALUE(MID(Raw_Orders!E777,4,2)),VALUE(LEFT(Raw_Orders!E777,2)))</f>
        <v>45239</v>
      </c>
      <c r="M777" s="12">
        <f>DATE(VALUE(RIGHT(Raw_Orders!G777,4)),VALUE(MID(Raw_Orders!G777,4,2)),VALUE(LEFT(Raw_Orders!G777,2)))</f>
        <v>45242</v>
      </c>
      <c r="N777" s="7">
        <f t="shared" si="25"/>
        <v>3</v>
      </c>
      <c r="O777" s="7" t="str">
        <f>Raw_Orders!J777</f>
        <v>Diwali</v>
      </c>
      <c r="P777" s="7" t="str">
        <f>Raw_Orders!I777</f>
        <v>Alwar</v>
      </c>
    </row>
    <row r="778" spans="1:16">
      <c r="A778" s="7" t="str">
        <f>Raw_Orders!A778</f>
        <v>777</v>
      </c>
      <c r="B778" s="7" t="str">
        <f>Raw_Orders!B778</f>
        <v>C016</v>
      </c>
      <c r="C778" s="7" t="str">
        <f>INDEX(Raw_Customers!$B$2:$B$101,MATCH($B778,Raw_Customers!$A$2:$A$101,0))</f>
        <v>Amani Ganesh</v>
      </c>
      <c r="D778" s="7" t="str">
        <f>TRIM(INDEX(Raw_Customers!$C$2:$C$101,MATCH($B778,Raw_Customers!$A$2:$A$101,0)))</f>
        <v>Tenali</v>
      </c>
      <c r="E778" s="7" t="str">
        <f>"+91-"&amp;RIGHT("0000000000"&amp;INDEX(Raw_Customers!$D$2:$D$101,MATCH($B778,Raw_Customers!$A$2:$A$101,0)),10)</f>
        <v>+91-8482992702</v>
      </c>
      <c r="F778" s="7" t="str">
        <f>Raw_Orders!C778</f>
        <v>70</v>
      </c>
      <c r="G778" s="7" t="str">
        <f>INDEX(Raw_Products!$B$2:$B$71,MATCH($F778,Raw_Products!$A$2:$A$71,0))</f>
        <v>Error Gift</v>
      </c>
      <c r="H778" s="7" t="str">
        <f>INDEX(Raw_Products!$C$2:$C$71,MATCH($F778,Raw_Products!$A$2:$A$71,0))</f>
        <v>Sweets</v>
      </c>
      <c r="I778" s="7">
        <f>VALUE(Raw_Orders!D778)</f>
        <v>3</v>
      </c>
      <c r="J778" s="11" t="str">
        <f>INDEX(Raw_Products!$D$2:$D$71,MATCH($F778,Raw_Products!$A$2:$A$71,0))</f>
        <v>866</v>
      </c>
      <c r="K778" s="11">
        <f t="shared" si="24"/>
        <v>2598</v>
      </c>
      <c r="L778" s="12">
        <f>DATE(VALUE(RIGHT(Raw_Orders!E778,4)),VALUE(MID(Raw_Orders!E778,4,2)),VALUE(LEFT(Raw_Orders!E778,2)))</f>
        <v>44981</v>
      </c>
      <c r="M778" s="12">
        <f>DATE(VALUE(RIGHT(Raw_Orders!G778,4)),VALUE(MID(Raw_Orders!G778,4,2)),VALUE(LEFT(Raw_Orders!G778,2)))</f>
        <v>44984</v>
      </c>
      <c r="N778" s="7">
        <f t="shared" si="25"/>
        <v>3</v>
      </c>
      <c r="O778" s="7" t="str">
        <f>Raw_Orders!J778</f>
        <v>Birthday</v>
      </c>
      <c r="P778" s="7" t="str">
        <f>Raw_Orders!I778</f>
        <v>Bhusawal</v>
      </c>
    </row>
    <row r="779" spans="1:16">
      <c r="A779" s="7" t="str">
        <f>Raw_Orders!A779</f>
        <v>778</v>
      </c>
      <c r="B779" s="7" t="str">
        <f>Raw_Orders!B779</f>
        <v>C033</v>
      </c>
      <c r="C779" s="7" t="str">
        <f>INDEX(Raw_Customers!$B$2:$B$101,MATCH($B779,Raw_Customers!$A$2:$A$101,0))</f>
        <v>Suhana Kurian</v>
      </c>
      <c r="D779" s="7" t="str">
        <f>TRIM(INDEX(Raw_Customers!$C$2:$C$101,MATCH($B779,Raw_Customers!$A$2:$A$101,0)))</f>
        <v>Indore</v>
      </c>
      <c r="E779" s="7" t="str">
        <f>"+91-"&amp;RIGHT("0000000000"&amp;INDEX(Raw_Customers!$D$2:$D$101,MATCH($B779,Raw_Customers!$A$2:$A$101,0)),10)</f>
        <v>+91-5713958095</v>
      </c>
      <c r="F779" s="7" t="str">
        <f>Raw_Orders!C779</f>
        <v>61</v>
      </c>
      <c r="G779" s="7" t="str">
        <f>INDEX(Raw_Products!$B$2:$B$71,MATCH($F779,Raw_Products!$A$2:$A$71,0))</f>
        <v>Iusto Box</v>
      </c>
      <c r="H779" s="7" t="str">
        <f>INDEX(Raw_Products!$C$2:$C$71,MATCH($F779,Raw_Products!$A$2:$A$71,0))</f>
        <v>Plants</v>
      </c>
      <c r="I779" s="7">
        <f>VALUE(Raw_Orders!D779)</f>
        <v>4</v>
      </c>
      <c r="J779" s="11" t="str">
        <f>INDEX(Raw_Products!$D$2:$D$71,MATCH($F779,Raw_Products!$A$2:$A$71,0))</f>
        <v>810</v>
      </c>
      <c r="K779" s="11">
        <f t="shared" si="24"/>
        <v>3240</v>
      </c>
      <c r="L779" s="12">
        <f>DATE(VALUE(RIGHT(Raw_Orders!E779,4)),VALUE(MID(Raw_Orders!E779,4,2)),VALUE(LEFT(Raw_Orders!E779,2)))</f>
        <v>45056</v>
      </c>
      <c r="M779" s="12">
        <f>DATE(VALUE(RIGHT(Raw_Orders!G779,4)),VALUE(MID(Raw_Orders!G779,4,2)),VALUE(LEFT(Raw_Orders!G779,2)))</f>
        <v>45059</v>
      </c>
      <c r="N779" s="7">
        <f t="shared" si="25"/>
        <v>3</v>
      </c>
      <c r="O779" s="7" t="str">
        <f>Raw_Orders!J779</f>
        <v>Anniversary</v>
      </c>
      <c r="P779" s="7" t="str">
        <f>Raw_Orders!I779</f>
        <v>Raebareli</v>
      </c>
    </row>
    <row r="780" spans="1:16">
      <c r="A780" s="7" t="str">
        <f>Raw_Orders!A780</f>
        <v>779</v>
      </c>
      <c r="B780" s="7" t="str">
        <f>Raw_Orders!B780</f>
        <v>C052</v>
      </c>
      <c r="C780" s="7" t="str">
        <f>INDEX(Raw_Customers!$B$2:$B$101,MATCH($B780,Raw_Customers!$A$2:$A$101,0))</f>
        <v>Vardaniya Apte</v>
      </c>
      <c r="D780" s="7" t="str">
        <f>TRIM(INDEX(Raw_Customers!$C$2:$C$101,MATCH($B780,Raw_Customers!$A$2:$A$101,0)))</f>
        <v>Dhanbad</v>
      </c>
      <c r="E780" s="7" t="str">
        <f>"+91-"&amp;RIGHT("0000000000"&amp;INDEX(Raw_Customers!$D$2:$D$101,MATCH($B780,Raw_Customers!$A$2:$A$101,0)),10)</f>
        <v>+91-5846932069</v>
      </c>
      <c r="F780" s="7" t="str">
        <f>Raw_Orders!C780</f>
        <v>3</v>
      </c>
      <c r="G780" s="7" t="str">
        <f>INDEX(Raw_Products!$B$2:$B$71,MATCH($F780,Raw_Products!$A$2:$A$71,0))</f>
        <v>Eius Gift</v>
      </c>
      <c r="H780" s="7" t="str">
        <f>INDEX(Raw_Products!$C$2:$C$71,MATCH($F780,Raw_Products!$A$2:$A$71,0))</f>
        <v>Colors</v>
      </c>
      <c r="I780" s="7">
        <f>VALUE(Raw_Orders!D780)</f>
        <v>1</v>
      </c>
      <c r="J780" s="11" t="str">
        <f>INDEX(Raw_Products!$D$2:$D$71,MATCH($F780,Raw_Products!$A$2:$A$71,0))</f>
        <v>1534</v>
      </c>
      <c r="K780" s="11">
        <f t="shared" si="24"/>
        <v>1534</v>
      </c>
      <c r="L780" s="12">
        <f>DATE(VALUE(RIGHT(Raw_Orders!E780,4)),VALUE(MID(Raw_Orders!E780,4,2)),VALUE(LEFT(Raw_Orders!E780,2)))</f>
        <v>44963</v>
      </c>
      <c r="M780" s="12">
        <f>DATE(VALUE(RIGHT(Raw_Orders!G780,4)),VALUE(MID(Raw_Orders!G780,4,2)),VALUE(LEFT(Raw_Orders!G780,2)))</f>
        <v>44965</v>
      </c>
      <c r="N780" s="7">
        <f t="shared" si="25"/>
        <v>2</v>
      </c>
      <c r="O780" s="7" t="str">
        <f>Raw_Orders!J780</f>
        <v>Valentine's Day</v>
      </c>
      <c r="P780" s="7" t="str">
        <f>Raw_Orders!I780</f>
        <v>Durgapur</v>
      </c>
    </row>
    <row r="781" spans="1:16">
      <c r="A781" s="7" t="str">
        <f>Raw_Orders!A781</f>
        <v>780</v>
      </c>
      <c r="B781" s="7" t="str">
        <f>Raw_Orders!B781</f>
        <v>C070</v>
      </c>
      <c r="C781" s="7" t="str">
        <f>INDEX(Raw_Customers!$B$2:$B$101,MATCH($B781,Raw_Customers!$A$2:$A$101,0))</f>
        <v>Emir Gokhale</v>
      </c>
      <c r="D781" s="7" t="str">
        <f>TRIM(INDEX(Raw_Customers!$C$2:$C$101,MATCH($B781,Raw_Customers!$A$2:$A$101,0)))</f>
        <v>Bhatpara</v>
      </c>
      <c r="E781" s="7" t="str">
        <f>"+91-"&amp;RIGHT("0000000000"&amp;INDEX(Raw_Customers!$D$2:$D$101,MATCH($B781,Raw_Customers!$A$2:$A$101,0)),10)</f>
        <v>+91-3859920805</v>
      </c>
      <c r="F781" s="7" t="str">
        <f>Raw_Orders!C781</f>
        <v>33</v>
      </c>
      <c r="G781" s="7" t="str">
        <f>INDEX(Raw_Products!$B$2:$B$71,MATCH($F781,Raw_Products!$A$2:$A$71,0))</f>
        <v>Earum Set</v>
      </c>
      <c r="H781" s="7" t="str">
        <f>INDEX(Raw_Products!$C$2:$C$71,MATCH($F781,Raw_Products!$A$2:$A$71,0))</f>
        <v>Colors</v>
      </c>
      <c r="I781" s="7">
        <f>VALUE(Raw_Orders!D781)</f>
        <v>2</v>
      </c>
      <c r="J781" s="11" t="str">
        <f>INDEX(Raw_Products!$D$2:$D$71,MATCH($F781,Raw_Products!$A$2:$A$71,0))</f>
        <v>314</v>
      </c>
      <c r="K781" s="11">
        <f t="shared" si="24"/>
        <v>628</v>
      </c>
      <c r="L781" s="12">
        <f>DATE(VALUE(RIGHT(Raw_Orders!E781,4)),VALUE(MID(Raw_Orders!E781,4,2)),VALUE(LEFT(Raw_Orders!E781,2)))</f>
        <v>44967</v>
      </c>
      <c r="M781" s="12">
        <f>DATE(VALUE(RIGHT(Raw_Orders!G781,4)),VALUE(MID(Raw_Orders!G781,4,2)),VALUE(LEFT(Raw_Orders!G781,2)))</f>
        <v>44970</v>
      </c>
      <c r="N781" s="7">
        <f t="shared" si="25"/>
        <v>3</v>
      </c>
      <c r="O781" s="7" t="str">
        <f>Raw_Orders!J781</f>
        <v>Valentine's Day</v>
      </c>
      <c r="P781" s="7" t="str">
        <f>Raw_Orders!I781</f>
        <v>Bikaner</v>
      </c>
    </row>
    <row r="782" spans="1:16">
      <c r="A782" s="7" t="str">
        <f>Raw_Orders!A782</f>
        <v>781</v>
      </c>
      <c r="B782" s="7" t="str">
        <f>Raw_Orders!B782</f>
        <v>C084</v>
      </c>
      <c r="C782" s="7" t="str">
        <f>INDEX(Raw_Customers!$B$2:$B$101,MATCH($B782,Raw_Customers!$A$2:$A$101,0))</f>
        <v>Anahita Shankar</v>
      </c>
      <c r="D782" s="7" t="str">
        <f>TRIM(INDEX(Raw_Customers!$C$2:$C$101,MATCH($B782,Raw_Customers!$A$2:$A$101,0)))</f>
        <v>Tiruchirappalli</v>
      </c>
      <c r="E782" s="7" t="str">
        <f>"+91-"&amp;RIGHT("0000000000"&amp;INDEX(Raw_Customers!$D$2:$D$101,MATCH($B782,Raw_Customers!$A$2:$A$101,0)),10)</f>
        <v>+91-2205603376</v>
      </c>
      <c r="F782" s="7" t="str">
        <f>Raw_Orders!C782</f>
        <v>40</v>
      </c>
      <c r="G782" s="7" t="str">
        <f>INDEX(Raw_Products!$B$2:$B$71,MATCH($F782,Raw_Products!$A$2:$A$71,0))</f>
        <v>Provident Pack</v>
      </c>
      <c r="H782" s="7" t="str">
        <f>INDEX(Raw_Products!$C$2:$C$71,MATCH($F782,Raw_Products!$A$2:$A$71,0))</f>
        <v>Sweets</v>
      </c>
      <c r="I782" s="7">
        <f>VALUE(Raw_Orders!D782)</f>
        <v>2</v>
      </c>
      <c r="J782" s="11" t="str">
        <f>INDEX(Raw_Products!$D$2:$D$71,MATCH($F782,Raw_Products!$A$2:$A$71,0))</f>
        <v>1923</v>
      </c>
      <c r="K782" s="11">
        <f t="shared" si="24"/>
        <v>3846</v>
      </c>
      <c r="L782" s="12">
        <f>DATE(VALUE(RIGHT(Raw_Orders!E782,4)),VALUE(MID(Raw_Orders!E782,4,2)),VALUE(LEFT(Raw_Orders!E782,2)))</f>
        <v>45196</v>
      </c>
      <c r="M782" s="12">
        <f>DATE(VALUE(RIGHT(Raw_Orders!G782,4)),VALUE(MID(Raw_Orders!G782,4,2)),VALUE(LEFT(Raw_Orders!G782,2)))</f>
        <v>45204</v>
      </c>
      <c r="N782" s="7">
        <f t="shared" si="25"/>
        <v>8</v>
      </c>
      <c r="O782" s="7" t="str">
        <f>Raw_Orders!J782</f>
        <v>Anniversary</v>
      </c>
      <c r="P782" s="7" t="str">
        <f>Raw_Orders!I782</f>
        <v>Muzaffarnagar</v>
      </c>
    </row>
    <row r="783" spans="1:16">
      <c r="A783" s="7" t="str">
        <f>Raw_Orders!A783</f>
        <v>782</v>
      </c>
      <c r="B783" s="7" t="str">
        <f>Raw_Orders!B783</f>
        <v>C087</v>
      </c>
      <c r="C783" s="7" t="str">
        <f>INDEX(Raw_Customers!$B$2:$B$101,MATCH($B783,Raw_Customers!$A$2:$A$101,0))</f>
        <v>Rania Bhatt</v>
      </c>
      <c r="D783" s="7" t="str">
        <f>TRIM(INDEX(Raw_Customers!$C$2:$C$101,MATCH($B783,Raw_Customers!$A$2:$A$101,0)))</f>
        <v>North Dumdum</v>
      </c>
      <c r="E783" s="7" t="str">
        <f>"+91-"&amp;RIGHT("0000000000"&amp;INDEX(Raw_Customers!$D$2:$D$101,MATCH($B783,Raw_Customers!$A$2:$A$101,0)),10)</f>
        <v>+91-2112404207</v>
      </c>
      <c r="F783" s="7" t="str">
        <f>Raw_Orders!C783</f>
        <v>22</v>
      </c>
      <c r="G783" s="7" t="str">
        <f>INDEX(Raw_Products!$B$2:$B$71,MATCH($F783,Raw_Products!$A$2:$A$71,0))</f>
        <v>Exercitationem Pack</v>
      </c>
      <c r="H783" s="7" t="str">
        <f>INDEX(Raw_Products!$C$2:$C$71,MATCH($F783,Raw_Products!$A$2:$A$71,0))</f>
        <v>Soft Toys</v>
      </c>
      <c r="I783" s="7">
        <f>VALUE(Raw_Orders!D783)</f>
        <v>4</v>
      </c>
      <c r="J783" s="11" t="str">
        <f>INDEX(Raw_Products!$D$2:$D$71,MATCH($F783,Raw_Products!$A$2:$A$71,0))</f>
        <v>1639</v>
      </c>
      <c r="K783" s="11">
        <f t="shared" si="24"/>
        <v>6556</v>
      </c>
      <c r="L783" s="12">
        <f>DATE(VALUE(RIGHT(Raw_Orders!E783,4)),VALUE(MID(Raw_Orders!E783,4,2)),VALUE(LEFT(Raw_Orders!E783,2)))</f>
        <v>45034</v>
      </c>
      <c r="M783" s="12">
        <f>DATE(VALUE(RIGHT(Raw_Orders!G783,4)),VALUE(MID(Raw_Orders!G783,4,2)),VALUE(LEFT(Raw_Orders!G783,2)))</f>
        <v>45042</v>
      </c>
      <c r="N783" s="7">
        <f t="shared" si="25"/>
        <v>8</v>
      </c>
      <c r="O783" s="7" t="str">
        <f>Raw_Orders!J783</f>
        <v>All Occasions</v>
      </c>
      <c r="P783" s="7" t="str">
        <f>Raw_Orders!I783</f>
        <v>Shimoga</v>
      </c>
    </row>
    <row r="784" spans="1:16">
      <c r="A784" s="7" t="str">
        <f>Raw_Orders!A784</f>
        <v>783</v>
      </c>
      <c r="B784" s="7" t="str">
        <f>Raw_Orders!B784</f>
        <v>C024</v>
      </c>
      <c r="C784" s="7" t="str">
        <f>INDEX(Raw_Customers!$B$2:$B$101,MATCH($B784,Raw_Customers!$A$2:$A$101,0))</f>
        <v>Jhanvi Chowdhury</v>
      </c>
      <c r="D784" s="7" t="str">
        <f>TRIM(INDEX(Raw_Customers!$C$2:$C$101,MATCH($B784,Raw_Customers!$A$2:$A$101,0)))</f>
        <v>Kavali</v>
      </c>
      <c r="E784" s="7" t="str">
        <f>"+91-"&amp;RIGHT("0000000000"&amp;INDEX(Raw_Customers!$D$2:$D$101,MATCH($B784,Raw_Customers!$A$2:$A$101,0)),10)</f>
        <v>+91-0316756360</v>
      </c>
      <c r="F784" s="7" t="str">
        <f>Raw_Orders!C784</f>
        <v>55</v>
      </c>
      <c r="G784" s="7" t="str">
        <f>INDEX(Raw_Products!$B$2:$B$71,MATCH($F784,Raw_Products!$A$2:$A$71,0))</f>
        <v>Dolores Gift</v>
      </c>
      <c r="H784" s="7" t="str">
        <f>INDEX(Raw_Products!$C$2:$C$71,MATCH($F784,Raw_Products!$A$2:$A$71,0))</f>
        <v>Soft Toys</v>
      </c>
      <c r="I784" s="7">
        <f>VALUE(Raw_Orders!D784)</f>
        <v>5</v>
      </c>
      <c r="J784" s="11" t="str">
        <f>INDEX(Raw_Products!$D$2:$D$71,MATCH($F784,Raw_Products!$A$2:$A$71,0))</f>
        <v>1904</v>
      </c>
      <c r="K784" s="11">
        <f t="shared" si="24"/>
        <v>9520</v>
      </c>
      <c r="L784" s="12">
        <f>DATE(VALUE(RIGHT(Raw_Orders!E784,4)),VALUE(MID(Raw_Orders!E784,4,2)),VALUE(LEFT(Raw_Orders!E784,2)))</f>
        <v>45166</v>
      </c>
      <c r="M784" s="12">
        <f>DATE(VALUE(RIGHT(Raw_Orders!G784,4)),VALUE(MID(Raw_Orders!G784,4,2)),VALUE(LEFT(Raw_Orders!G784,2)))</f>
        <v>45167</v>
      </c>
      <c r="N784" s="7">
        <f t="shared" si="25"/>
        <v>1</v>
      </c>
      <c r="O784" s="7" t="str">
        <f>Raw_Orders!J784</f>
        <v>Raksha Bandhan</v>
      </c>
      <c r="P784" s="7" t="str">
        <f>Raw_Orders!I784</f>
        <v>Visakhapatnam</v>
      </c>
    </row>
    <row r="785" spans="1:16">
      <c r="A785" s="7" t="str">
        <f>Raw_Orders!A785</f>
        <v>784</v>
      </c>
      <c r="B785" s="7" t="str">
        <f>Raw_Orders!B785</f>
        <v>C042</v>
      </c>
      <c r="C785" s="7" t="str">
        <f>INDEX(Raw_Customers!$B$2:$B$101,MATCH($B785,Raw_Customers!$A$2:$A$101,0))</f>
        <v>Eshani Sharma</v>
      </c>
      <c r="D785" s="7" t="str">
        <f>TRIM(INDEX(Raw_Customers!$C$2:$C$101,MATCH($B785,Raw_Customers!$A$2:$A$101,0)))</f>
        <v>Ajmer</v>
      </c>
      <c r="E785" s="7" t="str">
        <f>"+91-"&amp;RIGHT("0000000000"&amp;INDEX(Raw_Customers!$D$2:$D$101,MATCH($B785,Raw_Customers!$A$2:$A$101,0)),10)</f>
        <v>+91-6843169694</v>
      </c>
      <c r="F785" s="7" t="str">
        <f>Raw_Orders!C785</f>
        <v>56</v>
      </c>
      <c r="G785" s="7" t="str">
        <f>INDEX(Raw_Products!$B$2:$B$71,MATCH($F785,Raw_Products!$A$2:$A$71,0))</f>
        <v>Quia Gift</v>
      </c>
      <c r="H785" s="7" t="str">
        <f>INDEX(Raw_Products!$C$2:$C$71,MATCH($F785,Raw_Products!$A$2:$A$71,0))</f>
        <v>Raksha Bandhan</v>
      </c>
      <c r="I785" s="7">
        <f>VALUE(Raw_Orders!D785)</f>
        <v>2</v>
      </c>
      <c r="J785" s="11" t="str">
        <f>INDEX(Raw_Products!$D$2:$D$71,MATCH($F785,Raw_Products!$A$2:$A$71,0))</f>
        <v>1272</v>
      </c>
      <c r="K785" s="11">
        <f t="shared" si="24"/>
        <v>2544</v>
      </c>
      <c r="L785" s="12">
        <f>DATE(VALUE(RIGHT(Raw_Orders!E785,4)),VALUE(MID(Raw_Orders!E785,4,2)),VALUE(LEFT(Raw_Orders!E785,2)))</f>
        <v>45079</v>
      </c>
      <c r="M785" s="12">
        <f>DATE(VALUE(RIGHT(Raw_Orders!G785,4)),VALUE(MID(Raw_Orders!G785,4,2)),VALUE(LEFT(Raw_Orders!G785,2)))</f>
        <v>45084</v>
      </c>
      <c r="N785" s="7">
        <f t="shared" si="25"/>
        <v>5</v>
      </c>
      <c r="O785" s="7" t="str">
        <f>Raw_Orders!J785</f>
        <v>Anniversary</v>
      </c>
      <c r="P785" s="7" t="str">
        <f>Raw_Orders!I785</f>
        <v>Bhalswa Jahangir Pur</v>
      </c>
    </row>
    <row r="786" spans="1:16">
      <c r="A786" s="7" t="str">
        <f>Raw_Orders!A786</f>
        <v>785</v>
      </c>
      <c r="B786" s="7" t="str">
        <f>Raw_Orders!B786</f>
        <v>C052</v>
      </c>
      <c r="C786" s="7" t="str">
        <f>INDEX(Raw_Customers!$B$2:$B$101,MATCH($B786,Raw_Customers!$A$2:$A$101,0))</f>
        <v>Vardaniya Apte</v>
      </c>
      <c r="D786" s="7" t="str">
        <f>TRIM(INDEX(Raw_Customers!$C$2:$C$101,MATCH($B786,Raw_Customers!$A$2:$A$101,0)))</f>
        <v>Dhanbad</v>
      </c>
      <c r="E786" s="7" t="str">
        <f>"+91-"&amp;RIGHT("0000000000"&amp;INDEX(Raw_Customers!$D$2:$D$101,MATCH($B786,Raw_Customers!$A$2:$A$101,0)),10)</f>
        <v>+91-5846932069</v>
      </c>
      <c r="F786" s="7" t="str">
        <f>Raw_Orders!C786</f>
        <v>47</v>
      </c>
      <c r="G786" s="7" t="str">
        <f>INDEX(Raw_Products!$B$2:$B$71,MATCH($F786,Raw_Products!$A$2:$A$71,0))</f>
        <v>Harum Pack</v>
      </c>
      <c r="H786" s="7" t="str">
        <f>INDEX(Raw_Products!$C$2:$C$71,MATCH($F786,Raw_Products!$A$2:$A$71,0))</f>
        <v>Colors</v>
      </c>
      <c r="I786" s="7">
        <f>VALUE(Raw_Orders!D786)</f>
        <v>5</v>
      </c>
      <c r="J786" s="11" t="str">
        <f>INDEX(Raw_Products!$D$2:$D$71,MATCH($F786,Raw_Products!$A$2:$A$71,0))</f>
        <v>1638</v>
      </c>
      <c r="K786" s="11">
        <f t="shared" si="24"/>
        <v>8190</v>
      </c>
      <c r="L786" s="12">
        <f>DATE(VALUE(RIGHT(Raw_Orders!E786,4)),VALUE(MID(Raw_Orders!E786,4,2)),VALUE(LEFT(Raw_Orders!E786,2)))</f>
        <v>44983</v>
      </c>
      <c r="M786" s="12">
        <f>DATE(VALUE(RIGHT(Raw_Orders!G786,4)),VALUE(MID(Raw_Orders!G786,4,2)),VALUE(LEFT(Raw_Orders!G786,2)))</f>
        <v>44986</v>
      </c>
      <c r="N786" s="7">
        <f t="shared" si="25"/>
        <v>3</v>
      </c>
      <c r="O786" s="7" t="str">
        <f>Raw_Orders!J786</f>
        <v>Holi</v>
      </c>
      <c r="P786" s="7" t="str">
        <f>Raw_Orders!I786</f>
        <v>Jodhpur</v>
      </c>
    </row>
    <row r="787" spans="1:16">
      <c r="A787" s="7" t="str">
        <f>Raw_Orders!A787</f>
        <v>786</v>
      </c>
      <c r="B787" s="7" t="str">
        <f>Raw_Orders!B787</f>
        <v>C003</v>
      </c>
      <c r="C787" s="7" t="str">
        <f>INDEX(Raw_Customers!$B$2:$B$101,MATCH($B787,Raw_Customers!$A$2:$A$101,0))</f>
        <v>Jayesh Lanka</v>
      </c>
      <c r="D787" s="7" t="str">
        <f>TRIM(INDEX(Raw_Customers!$C$2:$C$101,MATCH($B787,Raw_Customers!$A$2:$A$101,0)))</f>
        <v>Bilaspur</v>
      </c>
      <c r="E787" s="7" t="str">
        <f>"+91-"&amp;RIGHT("0000000000"&amp;INDEX(Raw_Customers!$D$2:$D$101,MATCH($B787,Raw_Customers!$A$2:$A$101,0)),10)</f>
        <v>+91-7400208126</v>
      </c>
      <c r="F787" s="7" t="str">
        <f>Raw_Orders!C787</f>
        <v>47</v>
      </c>
      <c r="G787" s="7" t="str">
        <f>INDEX(Raw_Products!$B$2:$B$71,MATCH($F787,Raw_Products!$A$2:$A$71,0))</f>
        <v>Harum Pack</v>
      </c>
      <c r="H787" s="7" t="str">
        <f>INDEX(Raw_Products!$C$2:$C$71,MATCH($F787,Raw_Products!$A$2:$A$71,0))</f>
        <v>Colors</v>
      </c>
      <c r="I787" s="7">
        <f>VALUE(Raw_Orders!D787)</f>
        <v>1</v>
      </c>
      <c r="J787" s="11" t="str">
        <f>INDEX(Raw_Products!$D$2:$D$71,MATCH($F787,Raw_Products!$A$2:$A$71,0))</f>
        <v>1638</v>
      </c>
      <c r="K787" s="11">
        <f t="shared" si="24"/>
        <v>1638</v>
      </c>
      <c r="L787" s="12">
        <f>DATE(VALUE(RIGHT(Raw_Orders!E787,4)),VALUE(MID(Raw_Orders!E787,4,2)),VALUE(LEFT(Raw_Orders!E787,2)))</f>
        <v>44990</v>
      </c>
      <c r="M787" s="12">
        <f>DATE(VALUE(RIGHT(Raw_Orders!G787,4)),VALUE(MID(Raw_Orders!G787,4,2)),VALUE(LEFT(Raw_Orders!G787,2)))</f>
        <v>44992</v>
      </c>
      <c r="N787" s="7">
        <f t="shared" si="25"/>
        <v>2</v>
      </c>
      <c r="O787" s="7" t="str">
        <f>Raw_Orders!J787</f>
        <v>Holi</v>
      </c>
      <c r="P787" s="7" t="str">
        <f>Raw_Orders!I787</f>
        <v>Kirari Suleman Nagar</v>
      </c>
    </row>
    <row r="788" spans="1:16">
      <c r="A788" s="7" t="str">
        <f>Raw_Orders!A788</f>
        <v>787</v>
      </c>
      <c r="B788" s="7" t="str">
        <f>Raw_Orders!B788</f>
        <v>C069</v>
      </c>
      <c r="C788" s="7" t="str">
        <f>INDEX(Raw_Customers!$B$2:$B$101,MATCH($B788,Raw_Customers!$A$2:$A$101,0))</f>
        <v>Hunar Tripathi</v>
      </c>
      <c r="D788" s="7" t="str">
        <f>TRIM(INDEX(Raw_Customers!$C$2:$C$101,MATCH($B788,Raw_Customers!$A$2:$A$101,0)))</f>
        <v>Madhyamgram</v>
      </c>
      <c r="E788" s="7" t="str">
        <f>"+91-"&amp;RIGHT("0000000000"&amp;INDEX(Raw_Customers!$D$2:$D$101,MATCH($B788,Raw_Customers!$A$2:$A$101,0)),10)</f>
        <v>+91-1440411271</v>
      </c>
      <c r="F788" s="7" t="str">
        <f>Raw_Orders!C788</f>
        <v>9</v>
      </c>
      <c r="G788" s="7" t="str">
        <f>INDEX(Raw_Products!$B$2:$B$71,MATCH($F788,Raw_Products!$A$2:$A$71,0))</f>
        <v>Aperiam Box</v>
      </c>
      <c r="H788" s="7" t="str">
        <f>INDEX(Raw_Products!$C$2:$C$71,MATCH($F788,Raw_Products!$A$2:$A$71,0))</f>
        <v>Colors</v>
      </c>
      <c r="I788" s="7">
        <f>VALUE(Raw_Orders!D788)</f>
        <v>1</v>
      </c>
      <c r="J788" s="11" t="str">
        <f>INDEX(Raw_Products!$D$2:$D$71,MATCH($F788,Raw_Products!$A$2:$A$71,0))</f>
        <v>1605</v>
      </c>
      <c r="K788" s="11">
        <f t="shared" si="24"/>
        <v>1605</v>
      </c>
      <c r="L788" s="12">
        <f>DATE(VALUE(RIGHT(Raw_Orders!E788,4)),VALUE(MID(Raw_Orders!E788,4,2)),VALUE(LEFT(Raw_Orders!E788,2)))</f>
        <v>45163</v>
      </c>
      <c r="M788" s="12">
        <f>DATE(VALUE(RIGHT(Raw_Orders!G788,4)),VALUE(MID(Raw_Orders!G788,4,2)),VALUE(LEFT(Raw_Orders!G788,2)))</f>
        <v>45165</v>
      </c>
      <c r="N788" s="7">
        <f t="shared" si="25"/>
        <v>2</v>
      </c>
      <c r="O788" s="7" t="str">
        <f>Raw_Orders!J788</f>
        <v>Raksha Bandhan</v>
      </c>
      <c r="P788" s="7" t="str">
        <f>Raw_Orders!I788</f>
        <v>Ambarnath</v>
      </c>
    </row>
    <row r="789" spans="1:16">
      <c r="A789" s="7" t="str">
        <f>Raw_Orders!A789</f>
        <v>788</v>
      </c>
      <c r="B789" s="7" t="str">
        <f>Raw_Orders!B789</f>
        <v>C099</v>
      </c>
      <c r="C789" s="7" t="str">
        <f>INDEX(Raw_Customers!$B$2:$B$101,MATCH($B789,Raw_Customers!$A$2:$A$101,0))</f>
        <v>Ranbir Loyal</v>
      </c>
      <c r="D789" s="7" t="str">
        <f>TRIM(INDEX(Raw_Customers!$C$2:$C$101,MATCH($B789,Raw_Customers!$A$2:$A$101,0)))</f>
        <v>Dhanbad</v>
      </c>
      <c r="E789" s="7" t="str">
        <f>"+91-"&amp;RIGHT("0000000000"&amp;INDEX(Raw_Customers!$D$2:$D$101,MATCH($B789,Raw_Customers!$A$2:$A$101,0)),10)</f>
        <v>+91-3621448305</v>
      </c>
      <c r="F789" s="7" t="str">
        <f>Raw_Orders!C789</f>
        <v>53</v>
      </c>
      <c r="G789" s="7" t="str">
        <f>INDEX(Raw_Products!$B$2:$B$71,MATCH($F789,Raw_Products!$A$2:$A$71,0))</f>
        <v>Ipsam Set</v>
      </c>
      <c r="H789" s="7" t="str">
        <f>INDEX(Raw_Products!$C$2:$C$71,MATCH($F789,Raw_Products!$A$2:$A$71,0))</f>
        <v>Sweets</v>
      </c>
      <c r="I789" s="7">
        <f>VALUE(Raw_Orders!D789)</f>
        <v>3</v>
      </c>
      <c r="J789" s="11" t="str">
        <f>INDEX(Raw_Products!$D$2:$D$71,MATCH($F789,Raw_Products!$A$2:$A$71,0))</f>
        <v>1672</v>
      </c>
      <c r="K789" s="11">
        <f t="shared" si="24"/>
        <v>5016</v>
      </c>
      <c r="L789" s="12">
        <f>DATE(VALUE(RIGHT(Raw_Orders!E789,4)),VALUE(MID(Raw_Orders!E789,4,2)),VALUE(LEFT(Raw_Orders!E789,2)))</f>
        <v>45162</v>
      </c>
      <c r="M789" s="12">
        <f>DATE(VALUE(RIGHT(Raw_Orders!G789,4)),VALUE(MID(Raw_Orders!G789,4,2)),VALUE(LEFT(Raw_Orders!G789,2)))</f>
        <v>45165</v>
      </c>
      <c r="N789" s="7">
        <f t="shared" si="25"/>
        <v>3</v>
      </c>
      <c r="O789" s="7" t="str">
        <f>Raw_Orders!J789</f>
        <v>Raksha Bandhan</v>
      </c>
      <c r="P789" s="7" t="str">
        <f>Raw_Orders!I789</f>
        <v>Durgapur</v>
      </c>
    </row>
    <row r="790" spans="1:16">
      <c r="A790" s="7" t="str">
        <f>Raw_Orders!A790</f>
        <v>789</v>
      </c>
      <c r="B790" s="7" t="str">
        <f>Raw_Orders!B790</f>
        <v>C048</v>
      </c>
      <c r="C790" s="7" t="str">
        <f>INDEX(Raw_Customers!$B$2:$B$101,MATCH($B790,Raw_Customers!$A$2:$A$101,0))</f>
        <v>Aradhya Kale</v>
      </c>
      <c r="D790" s="7" t="str">
        <f>TRIM(INDEX(Raw_Customers!$C$2:$C$101,MATCH($B790,Raw_Customers!$A$2:$A$101,0)))</f>
        <v>Guntakal</v>
      </c>
      <c r="E790" s="7" t="str">
        <f>"+91-"&amp;RIGHT("0000000000"&amp;INDEX(Raw_Customers!$D$2:$D$101,MATCH($B790,Raw_Customers!$A$2:$A$101,0)),10)</f>
        <v>+91-7979926231</v>
      </c>
      <c r="F790" s="7" t="str">
        <f>Raw_Orders!C790</f>
        <v>58</v>
      </c>
      <c r="G790" s="7" t="str">
        <f>INDEX(Raw_Products!$B$2:$B$71,MATCH($F790,Raw_Products!$A$2:$A$71,0))</f>
        <v>Sed Pack</v>
      </c>
      <c r="H790" s="7" t="str">
        <f>INDEX(Raw_Products!$C$2:$C$71,MATCH($F790,Raw_Products!$A$2:$A$71,0))</f>
        <v>Cake</v>
      </c>
      <c r="I790" s="7">
        <f>VALUE(Raw_Orders!D790)</f>
        <v>4</v>
      </c>
      <c r="J790" s="11" t="str">
        <f>INDEX(Raw_Products!$D$2:$D$71,MATCH($F790,Raw_Products!$A$2:$A$71,0))</f>
        <v>1492</v>
      </c>
      <c r="K790" s="11">
        <f t="shared" si="24"/>
        <v>5968</v>
      </c>
      <c r="L790" s="12">
        <f>DATE(VALUE(RIGHT(Raw_Orders!E790,4)),VALUE(MID(Raw_Orders!E790,4,2)),VALUE(LEFT(Raw_Orders!E790,2)))</f>
        <v>44965</v>
      </c>
      <c r="M790" s="12">
        <f>DATE(VALUE(RIGHT(Raw_Orders!G790,4)),VALUE(MID(Raw_Orders!G790,4,2)),VALUE(LEFT(Raw_Orders!G790,2)))</f>
        <v>44972</v>
      </c>
      <c r="N790" s="7">
        <f t="shared" si="25"/>
        <v>7</v>
      </c>
      <c r="O790" s="7" t="str">
        <f>Raw_Orders!J790</f>
        <v>Valentine's Day</v>
      </c>
      <c r="P790" s="7" t="str">
        <f>Raw_Orders!I790</f>
        <v>Bally</v>
      </c>
    </row>
    <row r="791" spans="1:16">
      <c r="A791" s="7" t="str">
        <f>Raw_Orders!A791</f>
        <v>790</v>
      </c>
      <c r="B791" s="7" t="str">
        <f>Raw_Orders!B791</f>
        <v>C046</v>
      </c>
      <c r="C791" s="7" t="str">
        <f>INDEX(Raw_Customers!$B$2:$B$101,MATCH($B791,Raw_Customers!$A$2:$A$101,0))</f>
        <v>Tara Kannan</v>
      </c>
      <c r="D791" s="7" t="str">
        <f>TRIM(INDEX(Raw_Customers!$C$2:$C$101,MATCH($B791,Raw_Customers!$A$2:$A$101,0)))</f>
        <v>Guna</v>
      </c>
      <c r="E791" s="7" t="str">
        <f>"+91-"&amp;RIGHT("0000000000"&amp;INDEX(Raw_Customers!$D$2:$D$101,MATCH($B791,Raw_Customers!$A$2:$A$101,0)),10)</f>
        <v>+91-7543187237</v>
      </c>
      <c r="F791" s="7" t="str">
        <f>Raw_Orders!C791</f>
        <v>26</v>
      </c>
      <c r="G791" s="7" t="str">
        <f>INDEX(Raw_Products!$B$2:$B$71,MATCH($F791,Raw_Products!$A$2:$A$71,0))</f>
        <v>Aliquam Box</v>
      </c>
      <c r="H791" s="7" t="str">
        <f>INDEX(Raw_Products!$C$2:$C$71,MATCH($F791,Raw_Products!$A$2:$A$71,0))</f>
        <v>Colors</v>
      </c>
      <c r="I791" s="7">
        <f>VALUE(Raw_Orders!D791)</f>
        <v>2</v>
      </c>
      <c r="J791" s="11" t="str">
        <f>INDEX(Raw_Products!$D$2:$D$71,MATCH($F791,Raw_Products!$A$2:$A$71,0))</f>
        <v>289</v>
      </c>
      <c r="K791" s="11">
        <f t="shared" si="24"/>
        <v>578</v>
      </c>
      <c r="L791" s="12">
        <f>DATE(VALUE(RIGHT(Raw_Orders!E791,4)),VALUE(MID(Raw_Orders!E791,4,2)),VALUE(LEFT(Raw_Orders!E791,2)))</f>
        <v>44985</v>
      </c>
      <c r="M791" s="12">
        <f>DATE(VALUE(RIGHT(Raw_Orders!G791,4)),VALUE(MID(Raw_Orders!G791,4,2)),VALUE(LEFT(Raw_Orders!G791,2)))</f>
        <v>44993</v>
      </c>
      <c r="N791" s="7">
        <f t="shared" si="25"/>
        <v>8</v>
      </c>
      <c r="O791" s="7" t="str">
        <f>Raw_Orders!J791</f>
        <v>Holi</v>
      </c>
      <c r="P791" s="7" t="str">
        <f>Raw_Orders!I791</f>
        <v>Chennai</v>
      </c>
    </row>
    <row r="792" spans="1:16">
      <c r="A792" s="7" t="str">
        <f>Raw_Orders!A792</f>
        <v>791</v>
      </c>
      <c r="B792" s="7" t="str">
        <f>Raw_Orders!B792</f>
        <v>C093</v>
      </c>
      <c r="C792" s="7" t="str">
        <f>INDEX(Raw_Customers!$B$2:$B$101,MATCH($B792,Raw_Customers!$A$2:$A$101,0))</f>
        <v>Mamooty Bawa</v>
      </c>
      <c r="D792" s="7" t="str">
        <f>TRIM(INDEX(Raw_Customers!$C$2:$C$101,MATCH($B792,Raw_Customers!$A$2:$A$101,0)))</f>
        <v>Tumkur</v>
      </c>
      <c r="E792" s="7" t="str">
        <f>"+91-"&amp;RIGHT("0000000000"&amp;INDEX(Raw_Customers!$D$2:$D$101,MATCH($B792,Raw_Customers!$A$2:$A$101,0)),10)</f>
        <v>+91-2783169130</v>
      </c>
      <c r="F792" s="7" t="str">
        <f>Raw_Orders!C792</f>
        <v>51</v>
      </c>
      <c r="G792" s="7" t="str">
        <f>INDEX(Raw_Products!$B$2:$B$71,MATCH($F792,Raw_Products!$A$2:$A$71,0))</f>
        <v>Fugit Set</v>
      </c>
      <c r="H792" s="7" t="str">
        <f>INDEX(Raw_Products!$C$2:$C$71,MATCH($F792,Raw_Products!$A$2:$A$71,0))</f>
        <v>Soft Toys</v>
      </c>
      <c r="I792" s="7">
        <f>VALUE(Raw_Orders!D792)</f>
        <v>2</v>
      </c>
      <c r="J792" s="11" t="str">
        <f>INDEX(Raw_Products!$D$2:$D$71,MATCH($F792,Raw_Products!$A$2:$A$71,0))</f>
        <v>1084</v>
      </c>
      <c r="K792" s="11">
        <f t="shared" si="24"/>
        <v>2168</v>
      </c>
      <c r="L792" s="12">
        <f>DATE(VALUE(RIGHT(Raw_Orders!E792,4)),VALUE(MID(Raw_Orders!E792,4,2)),VALUE(LEFT(Raw_Orders!E792,2)))</f>
        <v>45052</v>
      </c>
      <c r="M792" s="12">
        <f>DATE(VALUE(RIGHT(Raw_Orders!G792,4)),VALUE(MID(Raw_Orders!G792,4,2)),VALUE(LEFT(Raw_Orders!G792,2)))</f>
        <v>45055</v>
      </c>
      <c r="N792" s="7">
        <f t="shared" si="25"/>
        <v>3</v>
      </c>
      <c r="O792" s="7" t="str">
        <f>Raw_Orders!J792</f>
        <v>All Occasions</v>
      </c>
      <c r="P792" s="7" t="str">
        <f>Raw_Orders!I792</f>
        <v>Bhubaneswar</v>
      </c>
    </row>
    <row r="793" spans="1:16">
      <c r="A793" s="7" t="str">
        <f>Raw_Orders!A793</f>
        <v>792</v>
      </c>
      <c r="B793" s="7" t="str">
        <f>Raw_Orders!B793</f>
        <v>C015</v>
      </c>
      <c r="C793" s="7" t="str">
        <f>INDEX(Raw_Customers!$B$2:$B$101,MATCH($B793,Raw_Customers!$A$2:$A$101,0))</f>
        <v>Romil Bajwa</v>
      </c>
      <c r="D793" s="7" t="str">
        <f>TRIM(INDEX(Raw_Customers!$C$2:$C$101,MATCH($B793,Raw_Customers!$A$2:$A$101,0)))</f>
        <v>Kolkata</v>
      </c>
      <c r="E793" s="7" t="str">
        <f>"+91-"&amp;RIGHT("0000000000"&amp;INDEX(Raw_Customers!$D$2:$D$101,MATCH($B793,Raw_Customers!$A$2:$A$101,0)),10)</f>
        <v>+91-8664164910</v>
      </c>
      <c r="F793" s="7" t="str">
        <f>Raw_Orders!C793</f>
        <v>43</v>
      </c>
      <c r="G793" s="7" t="str">
        <f>INDEX(Raw_Products!$B$2:$B$71,MATCH($F793,Raw_Products!$A$2:$A$71,0))</f>
        <v>Quisquam Pack</v>
      </c>
      <c r="H793" s="7" t="str">
        <f>INDEX(Raw_Products!$C$2:$C$71,MATCH($F793,Raw_Products!$A$2:$A$71,0))</f>
        <v>Raksha Bandhan</v>
      </c>
      <c r="I793" s="7">
        <f>VALUE(Raw_Orders!D793)</f>
        <v>2</v>
      </c>
      <c r="J793" s="11" t="str">
        <f>INDEX(Raw_Products!$D$2:$D$71,MATCH($F793,Raw_Products!$A$2:$A$71,0))</f>
        <v>750</v>
      </c>
      <c r="K793" s="11">
        <f t="shared" si="24"/>
        <v>1500</v>
      </c>
      <c r="L793" s="12">
        <f>DATE(VALUE(RIGHT(Raw_Orders!E793,4)),VALUE(MID(Raw_Orders!E793,4,2)),VALUE(LEFT(Raw_Orders!E793,2)))</f>
        <v>45239</v>
      </c>
      <c r="M793" s="12">
        <f>DATE(VALUE(RIGHT(Raw_Orders!G793,4)),VALUE(MID(Raw_Orders!G793,4,2)),VALUE(LEFT(Raw_Orders!G793,2)))</f>
        <v>45240</v>
      </c>
      <c r="N793" s="7">
        <f t="shared" si="25"/>
        <v>1</v>
      </c>
      <c r="O793" s="7" t="str">
        <f>Raw_Orders!J793</f>
        <v>Diwali</v>
      </c>
      <c r="P793" s="7" t="str">
        <f>Raw_Orders!I793</f>
        <v>Munger</v>
      </c>
    </row>
    <row r="794" spans="1:16">
      <c r="A794" s="7" t="str">
        <f>Raw_Orders!A794</f>
        <v>793</v>
      </c>
      <c r="B794" s="7" t="str">
        <f>Raw_Orders!B794</f>
        <v>C095</v>
      </c>
      <c r="C794" s="7" t="str">
        <f>INDEX(Raw_Customers!$B$2:$B$101,MATCH($B794,Raw_Customers!$A$2:$A$101,0))</f>
        <v>Mahika Cherian</v>
      </c>
      <c r="D794" s="7" t="str">
        <f>TRIM(INDEX(Raw_Customers!$C$2:$C$101,MATCH($B794,Raw_Customers!$A$2:$A$101,0)))</f>
        <v>Warangal</v>
      </c>
      <c r="E794" s="7" t="str">
        <f>"+91-"&amp;RIGHT("0000000000"&amp;INDEX(Raw_Customers!$D$2:$D$101,MATCH($B794,Raw_Customers!$A$2:$A$101,0)),10)</f>
        <v>+91-2769457161</v>
      </c>
      <c r="F794" s="7" t="str">
        <f>Raw_Orders!C794</f>
        <v>58</v>
      </c>
      <c r="G794" s="7" t="str">
        <f>INDEX(Raw_Products!$B$2:$B$71,MATCH($F794,Raw_Products!$A$2:$A$71,0))</f>
        <v>Sed Pack</v>
      </c>
      <c r="H794" s="7" t="str">
        <f>INDEX(Raw_Products!$C$2:$C$71,MATCH($F794,Raw_Products!$A$2:$A$71,0))</f>
        <v>Cake</v>
      </c>
      <c r="I794" s="7">
        <f>VALUE(Raw_Orders!D794)</f>
        <v>5</v>
      </c>
      <c r="J794" s="11" t="str">
        <f>INDEX(Raw_Products!$D$2:$D$71,MATCH($F794,Raw_Products!$A$2:$A$71,0))</f>
        <v>1492</v>
      </c>
      <c r="K794" s="11">
        <f t="shared" si="24"/>
        <v>7460</v>
      </c>
      <c r="L794" s="12">
        <f>DATE(VALUE(RIGHT(Raw_Orders!E794,4)),VALUE(MID(Raw_Orders!E794,4,2)),VALUE(LEFT(Raw_Orders!E794,2)))</f>
        <v>44962</v>
      </c>
      <c r="M794" s="12">
        <f>DATE(VALUE(RIGHT(Raw_Orders!G794,4)),VALUE(MID(Raw_Orders!G794,4,2)),VALUE(LEFT(Raw_Orders!G794,2)))</f>
        <v>44972</v>
      </c>
      <c r="N794" s="7">
        <f t="shared" si="25"/>
        <v>10</v>
      </c>
      <c r="O794" s="7" t="str">
        <f>Raw_Orders!J794</f>
        <v>Valentine's Day</v>
      </c>
      <c r="P794" s="7" t="str">
        <f>Raw_Orders!I794</f>
        <v>Mirzapur</v>
      </c>
    </row>
    <row r="795" spans="1:16">
      <c r="A795" s="7" t="str">
        <f>Raw_Orders!A795</f>
        <v>794</v>
      </c>
      <c r="B795" s="7" t="str">
        <f>Raw_Orders!B795</f>
        <v>C079</v>
      </c>
      <c r="C795" s="7" t="str">
        <f>INDEX(Raw_Customers!$B$2:$B$101,MATCH($B795,Raw_Customers!$A$2:$A$101,0))</f>
        <v>Vedika Sankaran</v>
      </c>
      <c r="D795" s="7" t="str">
        <f>TRIM(INDEX(Raw_Customers!$C$2:$C$101,MATCH($B795,Raw_Customers!$A$2:$A$101,0)))</f>
        <v>Bhilai</v>
      </c>
      <c r="E795" s="7" t="str">
        <f>"+91-"&amp;RIGHT("0000000000"&amp;INDEX(Raw_Customers!$D$2:$D$101,MATCH($B795,Raw_Customers!$A$2:$A$101,0)),10)</f>
        <v>+91-7606054646</v>
      </c>
      <c r="F795" s="7" t="str">
        <f>Raw_Orders!C795</f>
        <v>13</v>
      </c>
      <c r="G795" s="7" t="str">
        <f>INDEX(Raw_Products!$B$2:$B$71,MATCH($F795,Raw_Products!$A$2:$A$71,0))</f>
        <v>Et Set</v>
      </c>
      <c r="H795" s="7" t="str">
        <f>INDEX(Raw_Products!$C$2:$C$71,MATCH($F795,Raw_Products!$A$2:$A$71,0))</f>
        <v>Mugs</v>
      </c>
      <c r="I795" s="7">
        <f>VALUE(Raw_Orders!D795)</f>
        <v>4</v>
      </c>
      <c r="J795" s="11" t="str">
        <f>INDEX(Raw_Products!$D$2:$D$71,MATCH($F795,Raw_Products!$A$2:$A$71,0))</f>
        <v>1141</v>
      </c>
      <c r="K795" s="11">
        <f t="shared" si="24"/>
        <v>4564</v>
      </c>
      <c r="L795" s="12">
        <f>DATE(VALUE(RIGHT(Raw_Orders!E795,4)),VALUE(MID(Raw_Orders!E795,4,2)),VALUE(LEFT(Raw_Orders!E795,2)))</f>
        <v>44989</v>
      </c>
      <c r="M795" s="12">
        <f>DATE(VALUE(RIGHT(Raw_Orders!G795,4)),VALUE(MID(Raw_Orders!G795,4,2)),VALUE(LEFT(Raw_Orders!G795,2)))</f>
        <v>44994</v>
      </c>
      <c r="N795" s="7">
        <f t="shared" si="25"/>
        <v>5</v>
      </c>
      <c r="O795" s="7" t="str">
        <f>Raw_Orders!J795</f>
        <v>Holi</v>
      </c>
      <c r="P795" s="7" t="str">
        <f>Raw_Orders!I795</f>
        <v>Shimoga</v>
      </c>
    </row>
    <row r="796" spans="1:16">
      <c r="A796" s="7" t="str">
        <f>Raw_Orders!A796</f>
        <v>795</v>
      </c>
      <c r="B796" s="7" t="str">
        <f>Raw_Orders!B796</f>
        <v>C070</v>
      </c>
      <c r="C796" s="7" t="str">
        <f>INDEX(Raw_Customers!$B$2:$B$101,MATCH($B796,Raw_Customers!$A$2:$A$101,0))</f>
        <v>Emir Gokhale</v>
      </c>
      <c r="D796" s="7" t="str">
        <f>TRIM(INDEX(Raw_Customers!$C$2:$C$101,MATCH($B796,Raw_Customers!$A$2:$A$101,0)))</f>
        <v>Bhatpara</v>
      </c>
      <c r="E796" s="7" t="str">
        <f>"+91-"&amp;RIGHT("0000000000"&amp;INDEX(Raw_Customers!$D$2:$D$101,MATCH($B796,Raw_Customers!$A$2:$A$101,0)),10)</f>
        <v>+91-3859920805</v>
      </c>
      <c r="F796" s="7" t="str">
        <f>Raw_Orders!C796</f>
        <v>7</v>
      </c>
      <c r="G796" s="7" t="str">
        <f>INDEX(Raw_Products!$B$2:$B$71,MATCH($F796,Raw_Products!$A$2:$A$71,0))</f>
        <v>Quos Set</v>
      </c>
      <c r="H796" s="7" t="str">
        <f>INDEX(Raw_Products!$C$2:$C$71,MATCH($F796,Raw_Products!$A$2:$A$71,0))</f>
        <v>Soft Toys</v>
      </c>
      <c r="I796" s="7">
        <f>VALUE(Raw_Orders!D796)</f>
        <v>1</v>
      </c>
      <c r="J796" s="11" t="str">
        <f>INDEX(Raw_Products!$D$2:$D$71,MATCH($F796,Raw_Products!$A$2:$A$71,0))</f>
        <v>409</v>
      </c>
      <c r="K796" s="11">
        <f t="shared" si="24"/>
        <v>409</v>
      </c>
      <c r="L796" s="12">
        <f>DATE(VALUE(RIGHT(Raw_Orders!E796,4)),VALUE(MID(Raw_Orders!E796,4,2)),VALUE(LEFT(Raw_Orders!E796,2)))</f>
        <v>44988</v>
      </c>
      <c r="M796" s="12">
        <f>DATE(VALUE(RIGHT(Raw_Orders!G796,4)),VALUE(MID(Raw_Orders!G796,4,2)),VALUE(LEFT(Raw_Orders!G796,2)))</f>
        <v>44992</v>
      </c>
      <c r="N796" s="7">
        <f t="shared" si="25"/>
        <v>4</v>
      </c>
      <c r="O796" s="7" t="str">
        <f>Raw_Orders!J796</f>
        <v>Holi</v>
      </c>
      <c r="P796" s="7" t="str">
        <f>Raw_Orders!I796</f>
        <v>Ujjain</v>
      </c>
    </row>
    <row r="797" spans="1:16">
      <c r="A797" s="7" t="str">
        <f>Raw_Orders!A797</f>
        <v>796</v>
      </c>
      <c r="B797" s="7" t="str">
        <f>Raw_Orders!B797</f>
        <v>C002</v>
      </c>
      <c r="C797" s="7" t="str">
        <f>INDEX(Raw_Customers!$B$2:$B$101,MATCH($B797,Raw_Customers!$A$2:$A$101,0))</f>
        <v>Myra Edwin</v>
      </c>
      <c r="D797" s="7" t="str">
        <f>TRIM(INDEX(Raw_Customers!$C$2:$C$101,MATCH($B797,Raw_Customers!$A$2:$A$101,0)))</f>
        <v>Bulandshahr</v>
      </c>
      <c r="E797" s="7" t="str">
        <f>"+91-"&amp;RIGHT("0000000000"&amp;INDEX(Raw_Customers!$D$2:$D$101,MATCH($B797,Raw_Customers!$A$2:$A$101,0)),10)</f>
        <v>+91-8915420519</v>
      </c>
      <c r="F797" s="7" t="str">
        <f>Raw_Orders!C797</f>
        <v>61</v>
      </c>
      <c r="G797" s="7" t="str">
        <f>INDEX(Raw_Products!$B$2:$B$71,MATCH($F797,Raw_Products!$A$2:$A$71,0))</f>
        <v>Iusto Box</v>
      </c>
      <c r="H797" s="7" t="str">
        <f>INDEX(Raw_Products!$C$2:$C$71,MATCH($F797,Raw_Products!$A$2:$A$71,0))</f>
        <v>Plants</v>
      </c>
      <c r="I797" s="7">
        <f>VALUE(Raw_Orders!D797)</f>
        <v>4</v>
      </c>
      <c r="J797" s="11" t="str">
        <f>INDEX(Raw_Products!$D$2:$D$71,MATCH($F797,Raw_Products!$A$2:$A$71,0))</f>
        <v>810</v>
      </c>
      <c r="K797" s="11">
        <f t="shared" si="24"/>
        <v>3240</v>
      </c>
      <c r="L797" s="12">
        <f>DATE(VALUE(RIGHT(Raw_Orders!E797,4)),VALUE(MID(Raw_Orders!E797,4,2)),VALUE(LEFT(Raw_Orders!E797,2)))</f>
        <v>45051</v>
      </c>
      <c r="M797" s="12">
        <f>DATE(VALUE(RIGHT(Raw_Orders!G797,4)),VALUE(MID(Raw_Orders!G797,4,2)),VALUE(LEFT(Raw_Orders!G797,2)))</f>
        <v>45060</v>
      </c>
      <c r="N797" s="7">
        <f t="shared" si="25"/>
        <v>9</v>
      </c>
      <c r="O797" s="7" t="str">
        <f>Raw_Orders!J797</f>
        <v>Anniversary</v>
      </c>
      <c r="P797" s="7" t="str">
        <f>Raw_Orders!I797</f>
        <v>Rajkot</v>
      </c>
    </row>
    <row r="798" spans="1:16">
      <c r="A798" s="7" t="str">
        <f>Raw_Orders!A798</f>
        <v>797</v>
      </c>
      <c r="B798" s="7" t="str">
        <f>Raw_Orders!B798</f>
        <v>C047</v>
      </c>
      <c r="C798" s="7" t="str">
        <f>INDEX(Raw_Customers!$B$2:$B$101,MATCH($B798,Raw_Customers!$A$2:$A$101,0))</f>
        <v>Bhamini Ravi</v>
      </c>
      <c r="D798" s="7" t="str">
        <f>TRIM(INDEX(Raw_Customers!$C$2:$C$101,MATCH($B798,Raw_Customers!$A$2:$A$101,0)))</f>
        <v>Jorhat</v>
      </c>
      <c r="E798" s="7" t="str">
        <f>"+91-"&amp;RIGHT("0000000000"&amp;INDEX(Raw_Customers!$D$2:$D$101,MATCH($B798,Raw_Customers!$A$2:$A$101,0)),10)</f>
        <v>+91-0798274175</v>
      </c>
      <c r="F798" s="7" t="str">
        <f>Raw_Orders!C798</f>
        <v>13</v>
      </c>
      <c r="G798" s="7" t="str">
        <f>INDEX(Raw_Products!$B$2:$B$71,MATCH($F798,Raw_Products!$A$2:$A$71,0))</f>
        <v>Et Set</v>
      </c>
      <c r="H798" s="7" t="str">
        <f>INDEX(Raw_Products!$C$2:$C$71,MATCH($F798,Raw_Products!$A$2:$A$71,0))</f>
        <v>Mugs</v>
      </c>
      <c r="I798" s="7">
        <f>VALUE(Raw_Orders!D798)</f>
        <v>2</v>
      </c>
      <c r="J798" s="11" t="str">
        <f>INDEX(Raw_Products!$D$2:$D$71,MATCH($F798,Raw_Products!$A$2:$A$71,0))</f>
        <v>1141</v>
      </c>
      <c r="K798" s="11">
        <f t="shared" si="24"/>
        <v>2282</v>
      </c>
      <c r="L798" s="12">
        <f>DATE(VALUE(RIGHT(Raw_Orders!E798,4)),VALUE(MID(Raw_Orders!E798,4,2)),VALUE(LEFT(Raw_Orders!E798,2)))</f>
        <v>44988</v>
      </c>
      <c r="M798" s="12">
        <f>DATE(VALUE(RIGHT(Raw_Orders!G798,4)),VALUE(MID(Raw_Orders!G798,4,2)),VALUE(LEFT(Raw_Orders!G798,2)))</f>
        <v>44995</v>
      </c>
      <c r="N798" s="7">
        <f t="shared" si="25"/>
        <v>7</v>
      </c>
      <c r="O798" s="7" t="str">
        <f>Raw_Orders!J798</f>
        <v>Holi</v>
      </c>
      <c r="P798" s="7" t="str">
        <f>Raw_Orders!I798</f>
        <v>Tiruvottiyur</v>
      </c>
    </row>
    <row r="799" spans="1:16">
      <c r="A799" s="7" t="str">
        <f>Raw_Orders!A799</f>
        <v>798</v>
      </c>
      <c r="B799" s="7" t="str">
        <f>Raw_Orders!B799</f>
        <v>C043</v>
      </c>
      <c r="C799" s="7" t="str">
        <f>INDEX(Raw_Customers!$B$2:$B$101,MATCH($B799,Raw_Customers!$A$2:$A$101,0))</f>
        <v>Yasmin Sheth</v>
      </c>
      <c r="D799" s="7" t="str">
        <f>TRIM(INDEX(Raw_Customers!$C$2:$C$101,MATCH($B799,Raw_Customers!$A$2:$A$101,0)))</f>
        <v>Vellore</v>
      </c>
      <c r="E799" s="7" t="str">
        <f>"+91-"&amp;RIGHT("0000000000"&amp;INDEX(Raw_Customers!$D$2:$D$101,MATCH($B799,Raw_Customers!$A$2:$A$101,0)),10)</f>
        <v>+91-2544865070</v>
      </c>
      <c r="F799" s="7" t="str">
        <f>Raw_Orders!C799</f>
        <v>30</v>
      </c>
      <c r="G799" s="7" t="str">
        <f>INDEX(Raw_Products!$B$2:$B$71,MATCH($F799,Raw_Products!$A$2:$A$71,0))</f>
        <v>Recusandae Pack</v>
      </c>
      <c r="H799" s="7" t="str">
        <f>INDEX(Raw_Products!$C$2:$C$71,MATCH($F799,Raw_Products!$A$2:$A$71,0))</f>
        <v>Colors</v>
      </c>
      <c r="I799" s="7">
        <f>VALUE(Raw_Orders!D799)</f>
        <v>5</v>
      </c>
      <c r="J799" s="11" t="str">
        <f>INDEX(Raw_Products!$D$2:$D$71,MATCH($F799,Raw_Products!$A$2:$A$71,0))</f>
        <v>751</v>
      </c>
      <c r="K799" s="11">
        <f t="shared" si="24"/>
        <v>3755</v>
      </c>
      <c r="L799" s="12">
        <f>DATE(VALUE(RIGHT(Raw_Orders!E799,4)),VALUE(MID(Raw_Orders!E799,4,2)),VALUE(LEFT(Raw_Orders!E799,2)))</f>
        <v>45277</v>
      </c>
      <c r="M799" s="12">
        <f>DATE(VALUE(RIGHT(Raw_Orders!G799,4)),VALUE(MID(Raw_Orders!G799,4,2)),VALUE(LEFT(Raw_Orders!G799,2)))</f>
        <v>45286</v>
      </c>
      <c r="N799" s="7">
        <f t="shared" si="25"/>
        <v>9</v>
      </c>
      <c r="O799" s="7" t="str">
        <f>Raw_Orders!J799</f>
        <v>Anniversary</v>
      </c>
      <c r="P799" s="7" t="str">
        <f>Raw_Orders!I799</f>
        <v>Sultan Pur Majra</v>
      </c>
    </row>
    <row r="800" spans="1:16">
      <c r="A800" s="7" t="str">
        <f>Raw_Orders!A800</f>
        <v>799</v>
      </c>
      <c r="B800" s="7" t="str">
        <f>Raw_Orders!B800</f>
        <v>C084</v>
      </c>
      <c r="C800" s="7" t="str">
        <f>INDEX(Raw_Customers!$B$2:$B$101,MATCH($B800,Raw_Customers!$A$2:$A$101,0))</f>
        <v>Anahita Shankar</v>
      </c>
      <c r="D800" s="7" t="str">
        <f>TRIM(INDEX(Raw_Customers!$C$2:$C$101,MATCH($B800,Raw_Customers!$A$2:$A$101,0)))</f>
        <v>Tiruchirappalli</v>
      </c>
      <c r="E800" s="7" t="str">
        <f>"+91-"&amp;RIGHT("0000000000"&amp;INDEX(Raw_Customers!$D$2:$D$101,MATCH($B800,Raw_Customers!$A$2:$A$101,0)),10)</f>
        <v>+91-2205603376</v>
      </c>
      <c r="F800" s="7" t="str">
        <f>Raw_Orders!C800</f>
        <v>32</v>
      </c>
      <c r="G800" s="7" t="str">
        <f>INDEX(Raw_Products!$B$2:$B$71,MATCH($F800,Raw_Products!$A$2:$A$71,0))</f>
        <v>Fuga Set</v>
      </c>
      <c r="H800" s="7" t="str">
        <f>INDEX(Raw_Products!$C$2:$C$71,MATCH($F800,Raw_Products!$A$2:$A$71,0))</f>
        <v>Soft Toys</v>
      </c>
      <c r="I800" s="7">
        <f>VALUE(Raw_Orders!D800)</f>
        <v>5</v>
      </c>
      <c r="J800" s="11" t="str">
        <f>INDEX(Raw_Products!$D$2:$D$71,MATCH($F800,Raw_Products!$A$2:$A$71,0))</f>
        <v>1792</v>
      </c>
      <c r="K800" s="11">
        <f t="shared" si="24"/>
        <v>8960</v>
      </c>
      <c r="L800" s="12">
        <f>DATE(VALUE(RIGHT(Raw_Orders!E800,4)),VALUE(MID(Raw_Orders!E800,4,2)),VALUE(LEFT(Raw_Orders!E800,2)))</f>
        <v>45221</v>
      </c>
      <c r="M800" s="12">
        <f>DATE(VALUE(RIGHT(Raw_Orders!G800,4)),VALUE(MID(Raw_Orders!G800,4,2)),VALUE(LEFT(Raw_Orders!G800,2)))</f>
        <v>45231</v>
      </c>
      <c r="N800" s="7">
        <f t="shared" si="25"/>
        <v>10</v>
      </c>
      <c r="O800" s="7" t="str">
        <f>Raw_Orders!J800</f>
        <v>Birthday</v>
      </c>
      <c r="P800" s="7" t="str">
        <f>Raw_Orders!I800</f>
        <v>Patna</v>
      </c>
    </row>
    <row r="801" spans="1:16">
      <c r="A801" s="7" t="str">
        <f>Raw_Orders!A801</f>
        <v>800</v>
      </c>
      <c r="B801" s="7" t="str">
        <f>Raw_Orders!B801</f>
        <v>C014</v>
      </c>
      <c r="C801" s="7" t="str">
        <f>INDEX(Raw_Customers!$B$2:$B$101,MATCH($B801,Raw_Customers!$A$2:$A$101,0))</f>
        <v>Indrans Shukla</v>
      </c>
      <c r="D801" s="7" t="str">
        <f>TRIM(INDEX(Raw_Customers!$C$2:$C$101,MATCH($B801,Raw_Customers!$A$2:$A$101,0)))</f>
        <v>Panvel</v>
      </c>
      <c r="E801" s="7" t="str">
        <f>"+91-"&amp;RIGHT("0000000000"&amp;INDEX(Raw_Customers!$D$2:$D$101,MATCH($B801,Raw_Customers!$A$2:$A$101,0)),10)</f>
        <v>+91-2717671919</v>
      </c>
      <c r="F801" s="7" t="str">
        <f>Raw_Orders!C801</f>
        <v>24</v>
      </c>
      <c r="G801" s="7" t="str">
        <f>INDEX(Raw_Products!$B$2:$B$71,MATCH($F801,Raw_Products!$A$2:$A$71,0))</f>
        <v>Ad Box</v>
      </c>
      <c r="H801" s="7" t="str">
        <f>INDEX(Raw_Products!$C$2:$C$71,MATCH($F801,Raw_Products!$A$2:$A$71,0))</f>
        <v>Mugs</v>
      </c>
      <c r="I801" s="7">
        <f>VALUE(Raw_Orders!D801)</f>
        <v>5</v>
      </c>
      <c r="J801" s="11" t="str">
        <f>INDEX(Raw_Products!$D$2:$D$71,MATCH($F801,Raw_Products!$A$2:$A$71,0))</f>
        <v>535</v>
      </c>
      <c r="K801" s="11">
        <f t="shared" si="24"/>
        <v>2675</v>
      </c>
      <c r="L801" s="12">
        <f>DATE(VALUE(RIGHT(Raw_Orders!E801,4)),VALUE(MID(Raw_Orders!E801,4,2)),VALUE(LEFT(Raw_Orders!E801,2)))</f>
        <v>45094</v>
      </c>
      <c r="M801" s="12">
        <f>DATE(VALUE(RIGHT(Raw_Orders!G801,4)),VALUE(MID(Raw_Orders!G801,4,2)),VALUE(LEFT(Raw_Orders!G801,2)))</f>
        <v>45098</v>
      </c>
      <c r="N801" s="7">
        <f t="shared" si="25"/>
        <v>4</v>
      </c>
      <c r="O801" s="7" t="str">
        <f>Raw_Orders!J801</f>
        <v>Birthday</v>
      </c>
      <c r="P801" s="7" t="str">
        <f>Raw_Orders!I801</f>
        <v>Machilipatnam</v>
      </c>
    </row>
    <row r="802" spans="1:16">
      <c r="A802" s="7" t="str">
        <f>Raw_Orders!A802</f>
        <v>801</v>
      </c>
      <c r="B802" s="7" t="str">
        <f>Raw_Orders!B802</f>
        <v>C058</v>
      </c>
      <c r="C802" s="7" t="str">
        <f>INDEX(Raw_Customers!$B$2:$B$101,MATCH($B802,Raw_Customers!$A$2:$A$101,0))</f>
        <v>Charvi Kanda</v>
      </c>
      <c r="D802" s="7" t="str">
        <f>TRIM(INDEX(Raw_Customers!$C$2:$C$101,MATCH($B802,Raw_Customers!$A$2:$A$101,0)))</f>
        <v>Guntakal</v>
      </c>
      <c r="E802" s="7" t="str">
        <f>"+91-"&amp;RIGHT("0000000000"&amp;INDEX(Raw_Customers!$D$2:$D$101,MATCH($B802,Raw_Customers!$A$2:$A$101,0)),10)</f>
        <v>+91-9771604920</v>
      </c>
      <c r="F802" s="7" t="str">
        <f>Raw_Orders!C802</f>
        <v>35</v>
      </c>
      <c r="G802" s="7" t="str">
        <f>INDEX(Raw_Products!$B$2:$B$71,MATCH($F802,Raw_Products!$A$2:$A$71,0))</f>
        <v>Nam Gift</v>
      </c>
      <c r="H802" s="7" t="str">
        <f>INDEX(Raw_Products!$C$2:$C$71,MATCH($F802,Raw_Products!$A$2:$A$71,0))</f>
        <v>Colors</v>
      </c>
      <c r="I802" s="7">
        <f>VALUE(Raw_Orders!D802)</f>
        <v>1</v>
      </c>
      <c r="J802" s="11" t="str">
        <f>INDEX(Raw_Products!$D$2:$D$71,MATCH($F802,Raw_Products!$A$2:$A$71,0))</f>
        <v>1865</v>
      </c>
      <c r="K802" s="11">
        <f t="shared" si="24"/>
        <v>1865</v>
      </c>
      <c r="L802" s="12">
        <f>DATE(VALUE(RIGHT(Raw_Orders!E802,4)),VALUE(MID(Raw_Orders!E802,4,2)),VALUE(LEFT(Raw_Orders!E802,2)))</f>
        <v>44992</v>
      </c>
      <c r="M802" s="12">
        <f>DATE(VALUE(RIGHT(Raw_Orders!G802,4)),VALUE(MID(Raw_Orders!G802,4,2)),VALUE(LEFT(Raw_Orders!G802,2)))</f>
        <v>45000</v>
      </c>
      <c r="N802" s="7">
        <f t="shared" si="25"/>
        <v>8</v>
      </c>
      <c r="O802" s="7" t="str">
        <f>Raw_Orders!J802</f>
        <v>Holi</v>
      </c>
      <c r="P802" s="7" t="str">
        <f>Raw_Orders!I802</f>
        <v>Dindigul</v>
      </c>
    </row>
    <row r="803" spans="1:16">
      <c r="A803" s="7" t="str">
        <f>Raw_Orders!A803</f>
        <v>802</v>
      </c>
      <c r="B803" s="7" t="str">
        <f>Raw_Orders!B803</f>
        <v>C097</v>
      </c>
      <c r="C803" s="7" t="str">
        <f>INDEX(Raw_Customers!$B$2:$B$101,MATCH($B803,Raw_Customers!$A$2:$A$101,0))</f>
        <v>Nakul Randhawa</v>
      </c>
      <c r="D803" s="7" t="str">
        <f>TRIM(INDEX(Raw_Customers!$C$2:$C$101,MATCH($B803,Raw_Customers!$A$2:$A$101,0)))</f>
        <v>Sri Ganganagar</v>
      </c>
      <c r="E803" s="7" t="str">
        <f>"+91-"&amp;RIGHT("0000000000"&amp;INDEX(Raw_Customers!$D$2:$D$101,MATCH($B803,Raw_Customers!$A$2:$A$101,0)),10)</f>
        <v>+91-0456900126</v>
      </c>
      <c r="F803" s="7" t="str">
        <f>Raw_Orders!C803</f>
        <v>45</v>
      </c>
      <c r="G803" s="7" t="str">
        <f>INDEX(Raw_Products!$B$2:$B$71,MATCH($F803,Raw_Products!$A$2:$A$71,0))</f>
        <v>Iusto Set</v>
      </c>
      <c r="H803" s="7" t="str">
        <f>INDEX(Raw_Products!$C$2:$C$71,MATCH($F803,Raw_Products!$A$2:$A$71,0))</f>
        <v>Raksha Bandhan</v>
      </c>
      <c r="I803" s="7">
        <f>VALUE(Raw_Orders!D803)</f>
        <v>3</v>
      </c>
      <c r="J803" s="11" t="str">
        <f>INDEX(Raw_Products!$D$2:$D$71,MATCH($F803,Raw_Products!$A$2:$A$71,0))</f>
        <v>722</v>
      </c>
      <c r="K803" s="11">
        <f t="shared" si="24"/>
        <v>2166</v>
      </c>
      <c r="L803" s="12">
        <f>DATE(VALUE(RIGHT(Raw_Orders!E803,4)),VALUE(MID(Raw_Orders!E803,4,2)),VALUE(LEFT(Raw_Orders!E803,2)))</f>
        <v>45008</v>
      </c>
      <c r="M803" s="12">
        <f>DATE(VALUE(RIGHT(Raw_Orders!G803,4)),VALUE(MID(Raw_Orders!G803,4,2)),VALUE(LEFT(Raw_Orders!G803,2)))</f>
        <v>45011</v>
      </c>
      <c r="N803" s="7">
        <f t="shared" si="25"/>
        <v>3</v>
      </c>
      <c r="O803" s="7" t="str">
        <f>Raw_Orders!J803</f>
        <v>Birthday</v>
      </c>
      <c r="P803" s="7" t="str">
        <f>Raw_Orders!I803</f>
        <v>Dibrugarh</v>
      </c>
    </row>
    <row r="804" spans="1:16">
      <c r="A804" s="7" t="str">
        <f>Raw_Orders!A804</f>
        <v>803</v>
      </c>
      <c r="B804" s="7" t="str">
        <f>Raw_Orders!B804</f>
        <v>C040</v>
      </c>
      <c r="C804" s="7" t="str">
        <f>INDEX(Raw_Customers!$B$2:$B$101,MATCH($B804,Raw_Customers!$A$2:$A$101,0))</f>
        <v>Hazel Mangat</v>
      </c>
      <c r="D804" s="7" t="str">
        <f>TRIM(INDEX(Raw_Customers!$C$2:$C$101,MATCH($B804,Raw_Customers!$A$2:$A$101,0)))</f>
        <v>Pallavaram</v>
      </c>
      <c r="E804" s="7" t="str">
        <f>"+91-"&amp;RIGHT("0000000000"&amp;INDEX(Raw_Customers!$D$2:$D$101,MATCH($B804,Raw_Customers!$A$2:$A$101,0)),10)</f>
        <v>+91-8810621361</v>
      </c>
      <c r="F804" s="7" t="str">
        <f>Raw_Orders!C804</f>
        <v>26</v>
      </c>
      <c r="G804" s="7" t="str">
        <f>INDEX(Raw_Products!$B$2:$B$71,MATCH($F804,Raw_Products!$A$2:$A$71,0))</f>
        <v>Aliquam Box</v>
      </c>
      <c r="H804" s="7" t="str">
        <f>INDEX(Raw_Products!$C$2:$C$71,MATCH($F804,Raw_Products!$A$2:$A$71,0))</f>
        <v>Colors</v>
      </c>
      <c r="I804" s="7">
        <f>VALUE(Raw_Orders!D804)</f>
        <v>1</v>
      </c>
      <c r="J804" s="11" t="str">
        <f>INDEX(Raw_Products!$D$2:$D$71,MATCH($F804,Raw_Products!$A$2:$A$71,0))</f>
        <v>289</v>
      </c>
      <c r="K804" s="11">
        <f t="shared" si="24"/>
        <v>289</v>
      </c>
      <c r="L804" s="12">
        <f>DATE(VALUE(RIGHT(Raw_Orders!E804,4)),VALUE(MID(Raw_Orders!E804,4,2)),VALUE(LEFT(Raw_Orders!E804,2)))</f>
        <v>44988</v>
      </c>
      <c r="M804" s="12">
        <f>DATE(VALUE(RIGHT(Raw_Orders!G804,4)),VALUE(MID(Raw_Orders!G804,4,2)),VALUE(LEFT(Raw_Orders!G804,2)))</f>
        <v>44995</v>
      </c>
      <c r="N804" s="7">
        <f t="shared" si="25"/>
        <v>7</v>
      </c>
      <c r="O804" s="7" t="str">
        <f>Raw_Orders!J804</f>
        <v>Holi</v>
      </c>
      <c r="P804" s="7" t="str">
        <f>Raw_Orders!I804</f>
        <v>Sambalpur</v>
      </c>
    </row>
    <row r="805" spans="1:16">
      <c r="A805" s="7" t="str">
        <f>Raw_Orders!A805</f>
        <v>804</v>
      </c>
      <c r="B805" s="7" t="str">
        <f>Raw_Orders!B805</f>
        <v>C009</v>
      </c>
      <c r="C805" s="7" t="str">
        <f>INDEX(Raw_Customers!$B$2:$B$101,MATCH($B805,Raw_Customers!$A$2:$A$101,0))</f>
        <v>Ritvik Borah</v>
      </c>
      <c r="D805" s="7" t="str">
        <f>TRIM(INDEX(Raw_Customers!$C$2:$C$101,MATCH($B805,Raw_Customers!$A$2:$A$101,0)))</f>
        <v>Madurai</v>
      </c>
      <c r="E805" s="7" t="str">
        <f>"+91-"&amp;RIGHT("0000000000"&amp;INDEX(Raw_Customers!$D$2:$D$101,MATCH($B805,Raw_Customers!$A$2:$A$101,0)),10)</f>
        <v>+91-1336765676</v>
      </c>
      <c r="F805" s="7" t="str">
        <f>Raw_Orders!C805</f>
        <v>3</v>
      </c>
      <c r="G805" s="7" t="str">
        <f>INDEX(Raw_Products!$B$2:$B$71,MATCH($F805,Raw_Products!$A$2:$A$71,0))</f>
        <v>Eius Gift</v>
      </c>
      <c r="H805" s="7" t="str">
        <f>INDEX(Raw_Products!$C$2:$C$71,MATCH($F805,Raw_Products!$A$2:$A$71,0))</f>
        <v>Colors</v>
      </c>
      <c r="I805" s="7">
        <f>VALUE(Raw_Orders!D805)</f>
        <v>3</v>
      </c>
      <c r="J805" s="11" t="str">
        <f>INDEX(Raw_Products!$D$2:$D$71,MATCH($F805,Raw_Products!$A$2:$A$71,0))</f>
        <v>1534</v>
      </c>
      <c r="K805" s="11">
        <f t="shared" si="24"/>
        <v>4602</v>
      </c>
      <c r="L805" s="12">
        <f>DATE(VALUE(RIGHT(Raw_Orders!E805,4)),VALUE(MID(Raw_Orders!E805,4,2)),VALUE(LEFT(Raw_Orders!E805,2)))</f>
        <v>44962</v>
      </c>
      <c r="M805" s="12">
        <f>DATE(VALUE(RIGHT(Raw_Orders!G805,4)),VALUE(MID(Raw_Orders!G805,4,2)),VALUE(LEFT(Raw_Orders!G805,2)))</f>
        <v>44964</v>
      </c>
      <c r="N805" s="7">
        <f t="shared" si="25"/>
        <v>2</v>
      </c>
      <c r="O805" s="7" t="str">
        <f>Raw_Orders!J805</f>
        <v>Valentine's Day</v>
      </c>
      <c r="P805" s="7" t="str">
        <f>Raw_Orders!I805</f>
        <v>Deoghar</v>
      </c>
    </row>
    <row r="806" spans="1:16">
      <c r="A806" s="7" t="str">
        <f>Raw_Orders!A806</f>
        <v>805</v>
      </c>
      <c r="B806" s="7" t="str">
        <f>Raw_Orders!B806</f>
        <v>C028</v>
      </c>
      <c r="C806" s="7" t="str">
        <f>INDEX(Raw_Customers!$B$2:$B$101,MATCH($B806,Raw_Customers!$A$2:$A$101,0))</f>
        <v>Hridaan Rajagopalan</v>
      </c>
      <c r="D806" s="7" t="str">
        <f>TRIM(INDEX(Raw_Customers!$C$2:$C$101,MATCH($B806,Raw_Customers!$A$2:$A$101,0)))</f>
        <v>Noida</v>
      </c>
      <c r="E806" s="7" t="str">
        <f>"+91-"&amp;RIGHT("0000000000"&amp;INDEX(Raw_Customers!$D$2:$D$101,MATCH($B806,Raw_Customers!$A$2:$A$101,0)),10)</f>
        <v>+91-2539728317</v>
      </c>
      <c r="F806" s="7" t="str">
        <f>Raw_Orders!C806</f>
        <v>24</v>
      </c>
      <c r="G806" s="7" t="str">
        <f>INDEX(Raw_Products!$B$2:$B$71,MATCH($F806,Raw_Products!$A$2:$A$71,0))</f>
        <v>Ad Box</v>
      </c>
      <c r="H806" s="7" t="str">
        <f>INDEX(Raw_Products!$C$2:$C$71,MATCH($F806,Raw_Products!$A$2:$A$71,0))</f>
        <v>Mugs</v>
      </c>
      <c r="I806" s="7">
        <f>VALUE(Raw_Orders!D806)</f>
        <v>3</v>
      </c>
      <c r="J806" s="11" t="str">
        <f>INDEX(Raw_Products!$D$2:$D$71,MATCH($F806,Raw_Products!$A$2:$A$71,0))</f>
        <v>535</v>
      </c>
      <c r="K806" s="11">
        <f t="shared" si="24"/>
        <v>1605</v>
      </c>
      <c r="L806" s="12">
        <f>DATE(VALUE(RIGHT(Raw_Orders!E806,4)),VALUE(MID(Raw_Orders!E806,4,2)),VALUE(LEFT(Raw_Orders!E806,2)))</f>
        <v>45088</v>
      </c>
      <c r="M806" s="12">
        <f>DATE(VALUE(RIGHT(Raw_Orders!G806,4)),VALUE(MID(Raw_Orders!G806,4,2)),VALUE(LEFT(Raw_Orders!G806,2)))</f>
        <v>45091</v>
      </c>
      <c r="N806" s="7">
        <f t="shared" si="25"/>
        <v>3</v>
      </c>
      <c r="O806" s="7" t="str">
        <f>Raw_Orders!J806</f>
        <v>Birthday</v>
      </c>
      <c r="P806" s="7" t="str">
        <f>Raw_Orders!I806</f>
        <v>Bareilly</v>
      </c>
    </row>
    <row r="807" spans="1:16">
      <c r="A807" s="7" t="str">
        <f>Raw_Orders!A807</f>
        <v>806</v>
      </c>
      <c r="B807" s="7" t="str">
        <f>Raw_Orders!B807</f>
        <v>C088</v>
      </c>
      <c r="C807" s="7" t="str">
        <f>INDEX(Raw_Customers!$B$2:$B$101,MATCH($B807,Raw_Customers!$A$2:$A$101,0))</f>
        <v>Shalv Kulkarni</v>
      </c>
      <c r="D807" s="7" t="str">
        <f>TRIM(INDEX(Raw_Customers!$C$2:$C$101,MATCH($B807,Raw_Customers!$A$2:$A$101,0)))</f>
        <v>Khora</v>
      </c>
      <c r="E807" s="7" t="str">
        <f>"+91-"&amp;RIGHT("0000000000"&amp;INDEX(Raw_Customers!$D$2:$D$101,MATCH($B807,Raw_Customers!$A$2:$A$101,0)),10)</f>
        <v>+91-9113488461</v>
      </c>
      <c r="F807" s="7" t="str">
        <f>Raw_Orders!C807</f>
        <v>29</v>
      </c>
      <c r="G807" s="7" t="str">
        <f>INDEX(Raw_Products!$B$2:$B$71,MATCH($F807,Raw_Products!$A$2:$A$71,0))</f>
        <v>In Set</v>
      </c>
      <c r="H807" s="7" t="str">
        <f>INDEX(Raw_Products!$C$2:$C$71,MATCH($F807,Raw_Products!$A$2:$A$71,0))</f>
        <v>Colors</v>
      </c>
      <c r="I807" s="7">
        <f>VALUE(Raw_Orders!D807)</f>
        <v>2</v>
      </c>
      <c r="J807" s="11" t="str">
        <f>INDEX(Raw_Products!$D$2:$D$71,MATCH($F807,Raw_Products!$A$2:$A$71,0))</f>
        <v>1252</v>
      </c>
      <c r="K807" s="11">
        <f t="shared" si="24"/>
        <v>2504</v>
      </c>
      <c r="L807" s="12">
        <f>DATE(VALUE(RIGHT(Raw_Orders!E807,4)),VALUE(MID(Raw_Orders!E807,4,2)),VALUE(LEFT(Raw_Orders!E807,2)))</f>
        <v>44985</v>
      </c>
      <c r="M807" s="12">
        <f>DATE(VALUE(RIGHT(Raw_Orders!G807,4)),VALUE(MID(Raw_Orders!G807,4,2)),VALUE(LEFT(Raw_Orders!G807,2)))</f>
        <v>44993</v>
      </c>
      <c r="N807" s="7">
        <f t="shared" si="25"/>
        <v>8</v>
      </c>
      <c r="O807" s="7" t="str">
        <f>Raw_Orders!J807</f>
        <v>Holi</v>
      </c>
      <c r="P807" s="7" t="str">
        <f>Raw_Orders!I807</f>
        <v>Jhansi</v>
      </c>
    </row>
    <row r="808" spans="1:16">
      <c r="A808" s="7" t="str">
        <f>Raw_Orders!A808</f>
        <v>807</v>
      </c>
      <c r="B808" s="7" t="str">
        <f>Raw_Orders!B808</f>
        <v>C006</v>
      </c>
      <c r="C808" s="7" t="str">
        <f>INDEX(Raw_Customers!$B$2:$B$101,MATCH($B808,Raw_Customers!$A$2:$A$101,0))</f>
        <v>Rania Mann</v>
      </c>
      <c r="D808" s="7" t="str">
        <f>TRIM(INDEX(Raw_Customers!$C$2:$C$101,MATCH($B808,Raw_Customers!$A$2:$A$101,0)))</f>
        <v>Karimnagar</v>
      </c>
      <c r="E808" s="7" t="str">
        <f>"+91-"&amp;RIGHT("0000000000"&amp;INDEX(Raw_Customers!$D$2:$D$101,MATCH($B808,Raw_Customers!$A$2:$A$101,0)),10)</f>
        <v>+91-9363577179</v>
      </c>
      <c r="F808" s="7" t="str">
        <f>Raw_Orders!C808</f>
        <v>40</v>
      </c>
      <c r="G808" s="7" t="str">
        <f>INDEX(Raw_Products!$B$2:$B$71,MATCH($F808,Raw_Products!$A$2:$A$71,0))</f>
        <v>Provident Pack</v>
      </c>
      <c r="H808" s="7" t="str">
        <f>INDEX(Raw_Products!$C$2:$C$71,MATCH($F808,Raw_Products!$A$2:$A$71,0))</f>
        <v>Sweets</v>
      </c>
      <c r="I808" s="7">
        <f>VALUE(Raw_Orders!D808)</f>
        <v>4</v>
      </c>
      <c r="J808" s="11" t="str">
        <f>INDEX(Raw_Products!$D$2:$D$71,MATCH($F808,Raw_Products!$A$2:$A$71,0))</f>
        <v>1923</v>
      </c>
      <c r="K808" s="11">
        <f t="shared" si="24"/>
        <v>7692</v>
      </c>
      <c r="L808" s="12">
        <f>DATE(VALUE(RIGHT(Raw_Orders!E808,4)),VALUE(MID(Raw_Orders!E808,4,2)),VALUE(LEFT(Raw_Orders!E808,2)))</f>
        <v>45259</v>
      </c>
      <c r="M808" s="12">
        <f>DATE(VALUE(RIGHT(Raw_Orders!G808,4)),VALUE(MID(Raw_Orders!G808,4,2)),VALUE(LEFT(Raw_Orders!G808,2)))</f>
        <v>45269</v>
      </c>
      <c r="N808" s="7">
        <f t="shared" si="25"/>
        <v>10</v>
      </c>
      <c r="O808" s="7" t="str">
        <f>Raw_Orders!J808</f>
        <v>Anniversary</v>
      </c>
      <c r="P808" s="7" t="str">
        <f>Raw_Orders!I808</f>
        <v>Bhopal</v>
      </c>
    </row>
    <row r="809" spans="1:16">
      <c r="A809" s="7" t="str">
        <f>Raw_Orders!A809</f>
        <v>808</v>
      </c>
      <c r="B809" s="7" t="str">
        <f>Raw_Orders!B809</f>
        <v>C002</v>
      </c>
      <c r="C809" s="7" t="str">
        <f>INDEX(Raw_Customers!$B$2:$B$101,MATCH($B809,Raw_Customers!$A$2:$A$101,0))</f>
        <v>Myra Edwin</v>
      </c>
      <c r="D809" s="7" t="str">
        <f>TRIM(INDEX(Raw_Customers!$C$2:$C$101,MATCH($B809,Raw_Customers!$A$2:$A$101,0)))</f>
        <v>Bulandshahr</v>
      </c>
      <c r="E809" s="7" t="str">
        <f>"+91-"&amp;RIGHT("0000000000"&amp;INDEX(Raw_Customers!$D$2:$D$101,MATCH($B809,Raw_Customers!$A$2:$A$101,0)),10)</f>
        <v>+91-8915420519</v>
      </c>
      <c r="F809" s="7" t="str">
        <f>Raw_Orders!C809</f>
        <v>9</v>
      </c>
      <c r="G809" s="7" t="str">
        <f>INDEX(Raw_Products!$B$2:$B$71,MATCH($F809,Raw_Products!$A$2:$A$71,0))</f>
        <v>Aperiam Box</v>
      </c>
      <c r="H809" s="7" t="str">
        <f>INDEX(Raw_Products!$C$2:$C$71,MATCH($F809,Raw_Products!$A$2:$A$71,0))</f>
        <v>Colors</v>
      </c>
      <c r="I809" s="7">
        <f>VALUE(Raw_Orders!D809)</f>
        <v>2</v>
      </c>
      <c r="J809" s="11" t="str">
        <f>INDEX(Raw_Products!$D$2:$D$71,MATCH($F809,Raw_Products!$A$2:$A$71,0))</f>
        <v>1605</v>
      </c>
      <c r="K809" s="11">
        <f t="shared" si="24"/>
        <v>3210</v>
      </c>
      <c r="L809" s="12">
        <f>DATE(VALUE(RIGHT(Raw_Orders!E809,4)),VALUE(MID(Raw_Orders!E809,4,2)),VALUE(LEFT(Raw_Orders!E809,2)))</f>
        <v>45167</v>
      </c>
      <c r="M809" s="12">
        <f>DATE(VALUE(RIGHT(Raw_Orders!G809,4)),VALUE(MID(Raw_Orders!G809,4,2)),VALUE(LEFT(Raw_Orders!G809,2)))</f>
        <v>45168</v>
      </c>
      <c r="N809" s="7">
        <f t="shared" si="25"/>
        <v>1</v>
      </c>
      <c r="O809" s="7" t="str">
        <f>Raw_Orders!J809</f>
        <v>Raksha Bandhan</v>
      </c>
      <c r="P809" s="7" t="str">
        <f>Raw_Orders!I809</f>
        <v>Raurkela Industrial Township</v>
      </c>
    </row>
    <row r="810" spans="1:16">
      <c r="A810" s="7" t="str">
        <f>Raw_Orders!A810</f>
        <v>809</v>
      </c>
      <c r="B810" s="7" t="str">
        <f>Raw_Orders!B810</f>
        <v>C062</v>
      </c>
      <c r="C810" s="7" t="str">
        <f>INDEX(Raw_Customers!$B$2:$B$101,MATCH($B810,Raw_Customers!$A$2:$A$101,0))</f>
        <v>Inaaya  Sarraf</v>
      </c>
      <c r="D810" s="7" t="str">
        <f>TRIM(INDEX(Raw_Customers!$C$2:$C$101,MATCH($B810,Raw_Customers!$A$2:$A$101,0)))</f>
        <v>Nagpur</v>
      </c>
      <c r="E810" s="7" t="str">
        <f>"+91-"&amp;RIGHT("0000000000"&amp;INDEX(Raw_Customers!$D$2:$D$101,MATCH($B810,Raw_Customers!$A$2:$A$101,0)),10)</f>
        <v>+91-5915082470</v>
      </c>
      <c r="F810" s="7" t="str">
        <f>Raw_Orders!C810</f>
        <v>35</v>
      </c>
      <c r="G810" s="7" t="str">
        <f>INDEX(Raw_Products!$B$2:$B$71,MATCH($F810,Raw_Products!$A$2:$A$71,0))</f>
        <v>Nam Gift</v>
      </c>
      <c r="H810" s="7" t="str">
        <f>INDEX(Raw_Products!$C$2:$C$71,MATCH($F810,Raw_Products!$A$2:$A$71,0))</f>
        <v>Colors</v>
      </c>
      <c r="I810" s="7">
        <f>VALUE(Raw_Orders!D810)</f>
        <v>1</v>
      </c>
      <c r="J810" s="11" t="str">
        <f>INDEX(Raw_Products!$D$2:$D$71,MATCH($F810,Raw_Products!$A$2:$A$71,0))</f>
        <v>1865</v>
      </c>
      <c r="K810" s="11">
        <f t="shared" si="24"/>
        <v>1865</v>
      </c>
      <c r="L810" s="12">
        <f>DATE(VALUE(RIGHT(Raw_Orders!E810,4)),VALUE(MID(Raw_Orders!E810,4,2)),VALUE(LEFT(Raw_Orders!E810,2)))</f>
        <v>44992</v>
      </c>
      <c r="M810" s="12">
        <f>DATE(VALUE(RIGHT(Raw_Orders!G810,4)),VALUE(MID(Raw_Orders!G810,4,2)),VALUE(LEFT(Raw_Orders!G810,2)))</f>
        <v>45002</v>
      </c>
      <c r="N810" s="7">
        <f t="shared" si="25"/>
        <v>10</v>
      </c>
      <c r="O810" s="7" t="str">
        <f>Raw_Orders!J810</f>
        <v>Holi</v>
      </c>
      <c r="P810" s="7" t="str">
        <f>Raw_Orders!I810</f>
        <v>Ludhiana</v>
      </c>
    </row>
    <row r="811" spans="1:16">
      <c r="A811" s="7" t="str">
        <f>Raw_Orders!A811</f>
        <v>810</v>
      </c>
      <c r="B811" s="7" t="str">
        <f>Raw_Orders!B811</f>
        <v>C059</v>
      </c>
      <c r="C811" s="7" t="str">
        <f>INDEX(Raw_Customers!$B$2:$B$101,MATCH($B811,Raw_Customers!$A$2:$A$101,0))</f>
        <v>Nirvi Wagle</v>
      </c>
      <c r="D811" s="7" t="str">
        <f>TRIM(INDEX(Raw_Customers!$C$2:$C$101,MATCH($B811,Raw_Customers!$A$2:$A$101,0)))</f>
        <v>Kalyan-Dombivli</v>
      </c>
      <c r="E811" s="7" t="str">
        <f>"+91-"&amp;RIGHT("0000000000"&amp;INDEX(Raw_Customers!$D$2:$D$101,MATCH($B811,Raw_Customers!$A$2:$A$101,0)),10)</f>
        <v>+91-5869821393</v>
      </c>
      <c r="F811" s="7" t="str">
        <f>Raw_Orders!C811</f>
        <v>24</v>
      </c>
      <c r="G811" s="7" t="str">
        <f>INDEX(Raw_Products!$B$2:$B$71,MATCH($F811,Raw_Products!$A$2:$A$71,0))</f>
        <v>Ad Box</v>
      </c>
      <c r="H811" s="7" t="str">
        <f>INDEX(Raw_Products!$C$2:$C$71,MATCH($F811,Raw_Products!$A$2:$A$71,0))</f>
        <v>Mugs</v>
      </c>
      <c r="I811" s="7">
        <f>VALUE(Raw_Orders!D811)</f>
        <v>3</v>
      </c>
      <c r="J811" s="11" t="str">
        <f>INDEX(Raw_Products!$D$2:$D$71,MATCH($F811,Raw_Products!$A$2:$A$71,0))</f>
        <v>535</v>
      </c>
      <c r="K811" s="11">
        <f t="shared" si="24"/>
        <v>1605</v>
      </c>
      <c r="L811" s="12">
        <f>DATE(VALUE(RIGHT(Raw_Orders!E811,4)),VALUE(MID(Raw_Orders!E811,4,2)),VALUE(LEFT(Raw_Orders!E811,2)))</f>
        <v>45275</v>
      </c>
      <c r="M811" s="12">
        <f>DATE(VALUE(RIGHT(Raw_Orders!G811,4)),VALUE(MID(Raw_Orders!G811,4,2)),VALUE(LEFT(Raw_Orders!G811,2)))</f>
        <v>45277</v>
      </c>
      <c r="N811" s="7">
        <f t="shared" si="25"/>
        <v>2</v>
      </c>
      <c r="O811" s="7" t="str">
        <f>Raw_Orders!J811</f>
        <v>Birthday</v>
      </c>
      <c r="P811" s="7" t="str">
        <f>Raw_Orders!I811</f>
        <v>New Delhi</v>
      </c>
    </row>
    <row r="812" spans="1:16">
      <c r="A812" s="7" t="str">
        <f>Raw_Orders!A812</f>
        <v>811</v>
      </c>
      <c r="B812" s="7" t="str">
        <f>Raw_Orders!B812</f>
        <v>C020</v>
      </c>
      <c r="C812" s="7" t="str">
        <f>INDEX(Raw_Customers!$B$2:$B$101,MATCH($B812,Raw_Customers!$A$2:$A$101,0))</f>
        <v>Samaira Ganesh</v>
      </c>
      <c r="D812" s="7" t="str">
        <f>TRIM(INDEX(Raw_Customers!$C$2:$C$101,MATCH($B812,Raw_Customers!$A$2:$A$101,0)))</f>
        <v>Machilipatnam</v>
      </c>
      <c r="E812" s="7" t="str">
        <f>"+91-"&amp;RIGHT("0000000000"&amp;INDEX(Raw_Customers!$D$2:$D$101,MATCH($B812,Raw_Customers!$A$2:$A$101,0)),10)</f>
        <v>+91-1731643700</v>
      </c>
      <c r="F812" s="7" t="str">
        <f>Raw_Orders!C812</f>
        <v>14</v>
      </c>
      <c r="G812" s="7" t="str">
        <f>INDEX(Raw_Products!$B$2:$B$71,MATCH($F812,Raw_Products!$A$2:$A$71,0))</f>
        <v>Deserunt Box</v>
      </c>
      <c r="H812" s="7" t="str">
        <f>INDEX(Raw_Products!$C$2:$C$71,MATCH($F812,Raw_Products!$A$2:$A$71,0))</f>
        <v>Colors</v>
      </c>
      <c r="I812" s="7">
        <f>VALUE(Raw_Orders!D812)</f>
        <v>5</v>
      </c>
      <c r="J812" s="11" t="str">
        <f>INDEX(Raw_Products!$D$2:$D$71,MATCH($F812,Raw_Products!$A$2:$A$71,0))</f>
        <v>1915</v>
      </c>
      <c r="K812" s="11">
        <f t="shared" si="24"/>
        <v>9575</v>
      </c>
      <c r="L812" s="12">
        <f>DATE(VALUE(RIGHT(Raw_Orders!E812,4)),VALUE(MID(Raw_Orders!E812,4,2)),VALUE(LEFT(Raw_Orders!E812,2)))</f>
        <v>45217</v>
      </c>
      <c r="M812" s="12">
        <f>DATE(VALUE(RIGHT(Raw_Orders!G812,4)),VALUE(MID(Raw_Orders!G812,4,2)),VALUE(LEFT(Raw_Orders!G812,2)))</f>
        <v>45224</v>
      </c>
      <c r="N812" s="7">
        <f t="shared" si="25"/>
        <v>7</v>
      </c>
      <c r="O812" s="7" t="str">
        <f>Raw_Orders!J812</f>
        <v>Birthday</v>
      </c>
      <c r="P812" s="7" t="str">
        <f>Raw_Orders!I812</f>
        <v>Bellary</v>
      </c>
    </row>
    <row r="813" spans="1:16">
      <c r="A813" s="7" t="str">
        <f>Raw_Orders!A813</f>
        <v>812</v>
      </c>
      <c r="B813" s="7" t="str">
        <f>Raw_Orders!B813</f>
        <v>C058</v>
      </c>
      <c r="C813" s="7" t="str">
        <f>INDEX(Raw_Customers!$B$2:$B$101,MATCH($B813,Raw_Customers!$A$2:$A$101,0))</f>
        <v>Charvi Kanda</v>
      </c>
      <c r="D813" s="7" t="str">
        <f>TRIM(INDEX(Raw_Customers!$C$2:$C$101,MATCH($B813,Raw_Customers!$A$2:$A$101,0)))</f>
        <v>Guntakal</v>
      </c>
      <c r="E813" s="7" t="str">
        <f>"+91-"&amp;RIGHT("0000000000"&amp;INDEX(Raw_Customers!$D$2:$D$101,MATCH($B813,Raw_Customers!$A$2:$A$101,0)),10)</f>
        <v>+91-9771604920</v>
      </c>
      <c r="F813" s="7" t="str">
        <f>Raw_Orders!C813</f>
        <v>40</v>
      </c>
      <c r="G813" s="7" t="str">
        <f>INDEX(Raw_Products!$B$2:$B$71,MATCH($F813,Raw_Products!$A$2:$A$71,0))</f>
        <v>Provident Pack</v>
      </c>
      <c r="H813" s="7" t="str">
        <f>INDEX(Raw_Products!$C$2:$C$71,MATCH($F813,Raw_Products!$A$2:$A$71,0))</f>
        <v>Sweets</v>
      </c>
      <c r="I813" s="7">
        <f>VALUE(Raw_Orders!D813)</f>
        <v>2</v>
      </c>
      <c r="J813" s="11" t="str">
        <f>INDEX(Raw_Products!$D$2:$D$71,MATCH($F813,Raw_Products!$A$2:$A$71,0))</f>
        <v>1923</v>
      </c>
      <c r="K813" s="11">
        <f t="shared" si="24"/>
        <v>3846</v>
      </c>
      <c r="L813" s="12">
        <f>DATE(VALUE(RIGHT(Raw_Orders!E813,4)),VALUE(MID(Raw_Orders!E813,4,2)),VALUE(LEFT(Raw_Orders!E813,2)))</f>
        <v>45272</v>
      </c>
      <c r="M813" s="12">
        <f>DATE(VALUE(RIGHT(Raw_Orders!G813,4)),VALUE(MID(Raw_Orders!G813,4,2)),VALUE(LEFT(Raw_Orders!G813,2)))</f>
        <v>45274</v>
      </c>
      <c r="N813" s="7">
        <f t="shared" si="25"/>
        <v>2</v>
      </c>
      <c r="O813" s="7" t="str">
        <f>Raw_Orders!J813</f>
        <v>Anniversary</v>
      </c>
      <c r="P813" s="7" t="str">
        <f>Raw_Orders!I813</f>
        <v>Ongole</v>
      </c>
    </row>
    <row r="814" spans="1:16">
      <c r="A814" s="7" t="str">
        <f>Raw_Orders!A814</f>
        <v>813</v>
      </c>
      <c r="B814" s="7" t="str">
        <f>Raw_Orders!B814</f>
        <v>C094</v>
      </c>
      <c r="C814" s="7" t="str">
        <f>INDEX(Raw_Customers!$B$2:$B$101,MATCH($B814,Raw_Customers!$A$2:$A$101,0))</f>
        <v>Raghav Babu</v>
      </c>
      <c r="D814" s="7" t="str">
        <f>TRIM(INDEX(Raw_Customers!$C$2:$C$101,MATCH($B814,Raw_Customers!$A$2:$A$101,0)))</f>
        <v>Deoghar</v>
      </c>
      <c r="E814" s="7" t="str">
        <f>"+91-"&amp;RIGHT("0000000000"&amp;INDEX(Raw_Customers!$D$2:$D$101,MATCH($B814,Raw_Customers!$A$2:$A$101,0)),10)</f>
        <v>+91-4638480067</v>
      </c>
      <c r="F814" s="7" t="str">
        <f>Raw_Orders!C814</f>
        <v>32</v>
      </c>
      <c r="G814" s="7" t="str">
        <f>INDEX(Raw_Products!$B$2:$B$71,MATCH($F814,Raw_Products!$A$2:$A$71,0))</f>
        <v>Fuga Set</v>
      </c>
      <c r="H814" s="7" t="str">
        <f>INDEX(Raw_Products!$C$2:$C$71,MATCH($F814,Raw_Products!$A$2:$A$71,0))</f>
        <v>Soft Toys</v>
      </c>
      <c r="I814" s="7">
        <f>VALUE(Raw_Orders!D814)</f>
        <v>4</v>
      </c>
      <c r="J814" s="11" t="str">
        <f>INDEX(Raw_Products!$D$2:$D$71,MATCH($F814,Raw_Products!$A$2:$A$71,0))</f>
        <v>1792</v>
      </c>
      <c r="K814" s="11">
        <f t="shared" si="24"/>
        <v>7168</v>
      </c>
      <c r="L814" s="12">
        <f>DATE(VALUE(RIGHT(Raw_Orders!E814,4)),VALUE(MID(Raw_Orders!E814,4,2)),VALUE(LEFT(Raw_Orders!E814,2)))</f>
        <v>44945</v>
      </c>
      <c r="M814" s="12">
        <f>DATE(VALUE(RIGHT(Raw_Orders!G814,4)),VALUE(MID(Raw_Orders!G814,4,2)),VALUE(LEFT(Raw_Orders!G814,2)))</f>
        <v>44949</v>
      </c>
      <c r="N814" s="7">
        <f t="shared" si="25"/>
        <v>4</v>
      </c>
      <c r="O814" s="7" t="str">
        <f>Raw_Orders!J814</f>
        <v>Birthday</v>
      </c>
      <c r="P814" s="7" t="str">
        <f>Raw_Orders!I814</f>
        <v>Bhind</v>
      </c>
    </row>
    <row r="815" spans="1:16">
      <c r="A815" s="7" t="str">
        <f>Raw_Orders!A815</f>
        <v>814</v>
      </c>
      <c r="B815" s="7" t="str">
        <f>Raw_Orders!B815</f>
        <v>C094</v>
      </c>
      <c r="C815" s="7" t="str">
        <f>INDEX(Raw_Customers!$B$2:$B$101,MATCH($B815,Raw_Customers!$A$2:$A$101,0))</f>
        <v>Raghav Babu</v>
      </c>
      <c r="D815" s="7" t="str">
        <f>TRIM(INDEX(Raw_Customers!$C$2:$C$101,MATCH($B815,Raw_Customers!$A$2:$A$101,0)))</f>
        <v>Deoghar</v>
      </c>
      <c r="E815" s="7" t="str">
        <f>"+91-"&amp;RIGHT("0000000000"&amp;INDEX(Raw_Customers!$D$2:$D$101,MATCH($B815,Raw_Customers!$A$2:$A$101,0)),10)</f>
        <v>+91-4638480067</v>
      </c>
      <c r="F815" s="7" t="str">
        <f>Raw_Orders!C815</f>
        <v>47</v>
      </c>
      <c r="G815" s="7" t="str">
        <f>INDEX(Raw_Products!$B$2:$B$71,MATCH($F815,Raw_Products!$A$2:$A$71,0))</f>
        <v>Harum Pack</v>
      </c>
      <c r="H815" s="7" t="str">
        <f>INDEX(Raw_Products!$C$2:$C$71,MATCH($F815,Raw_Products!$A$2:$A$71,0))</f>
        <v>Colors</v>
      </c>
      <c r="I815" s="7">
        <f>VALUE(Raw_Orders!D815)</f>
        <v>5</v>
      </c>
      <c r="J815" s="11" t="str">
        <f>INDEX(Raw_Products!$D$2:$D$71,MATCH($F815,Raw_Products!$A$2:$A$71,0))</f>
        <v>1638</v>
      </c>
      <c r="K815" s="11">
        <f t="shared" si="24"/>
        <v>8190</v>
      </c>
      <c r="L815" s="12">
        <f>DATE(VALUE(RIGHT(Raw_Orders!E815,4)),VALUE(MID(Raw_Orders!E815,4,2)),VALUE(LEFT(Raw_Orders!E815,2)))</f>
        <v>44990</v>
      </c>
      <c r="M815" s="12">
        <f>DATE(VALUE(RIGHT(Raw_Orders!G815,4)),VALUE(MID(Raw_Orders!G815,4,2)),VALUE(LEFT(Raw_Orders!G815,2)))</f>
        <v>44999</v>
      </c>
      <c r="N815" s="7">
        <f t="shared" si="25"/>
        <v>9</v>
      </c>
      <c r="O815" s="7" t="str">
        <f>Raw_Orders!J815</f>
        <v>Holi</v>
      </c>
      <c r="P815" s="7" t="str">
        <f>Raw_Orders!I815</f>
        <v>Kumbakonam</v>
      </c>
    </row>
    <row r="816" spans="1:16">
      <c r="A816" s="7" t="str">
        <f>Raw_Orders!A816</f>
        <v>815</v>
      </c>
      <c r="B816" s="7" t="str">
        <f>Raw_Orders!B816</f>
        <v>C098</v>
      </c>
      <c r="C816" s="7" t="str">
        <f>INDEX(Raw_Customers!$B$2:$B$101,MATCH($B816,Raw_Customers!$A$2:$A$101,0))</f>
        <v>Navya Golla</v>
      </c>
      <c r="D816" s="7" t="str">
        <f>TRIM(INDEX(Raw_Customers!$C$2:$C$101,MATCH($B816,Raw_Customers!$A$2:$A$101,0)))</f>
        <v>Cuttack</v>
      </c>
      <c r="E816" s="7" t="str">
        <f>"+91-"&amp;RIGHT("0000000000"&amp;INDEX(Raw_Customers!$D$2:$D$101,MATCH($B816,Raw_Customers!$A$2:$A$101,0)),10)</f>
        <v>+91-4461213936</v>
      </c>
      <c r="F816" s="7" t="str">
        <f>Raw_Orders!C816</f>
        <v>61</v>
      </c>
      <c r="G816" s="7" t="str">
        <f>INDEX(Raw_Products!$B$2:$B$71,MATCH($F816,Raw_Products!$A$2:$A$71,0))</f>
        <v>Iusto Box</v>
      </c>
      <c r="H816" s="7" t="str">
        <f>INDEX(Raw_Products!$C$2:$C$71,MATCH($F816,Raw_Products!$A$2:$A$71,0))</f>
        <v>Plants</v>
      </c>
      <c r="I816" s="7">
        <f>VALUE(Raw_Orders!D816)</f>
        <v>3</v>
      </c>
      <c r="J816" s="11" t="str">
        <f>INDEX(Raw_Products!$D$2:$D$71,MATCH($F816,Raw_Products!$A$2:$A$71,0))</f>
        <v>810</v>
      </c>
      <c r="K816" s="11">
        <f t="shared" si="24"/>
        <v>2430</v>
      </c>
      <c r="L816" s="12">
        <f>DATE(VALUE(RIGHT(Raw_Orders!E816,4)),VALUE(MID(Raw_Orders!E816,4,2)),VALUE(LEFT(Raw_Orders!E816,2)))</f>
        <v>45198</v>
      </c>
      <c r="M816" s="12">
        <f>DATE(VALUE(RIGHT(Raw_Orders!G816,4)),VALUE(MID(Raw_Orders!G816,4,2)),VALUE(LEFT(Raw_Orders!G816,2)))</f>
        <v>45207</v>
      </c>
      <c r="N816" s="7">
        <f t="shared" si="25"/>
        <v>9</v>
      </c>
      <c r="O816" s="7" t="str">
        <f>Raw_Orders!J816</f>
        <v>Anniversary</v>
      </c>
      <c r="P816" s="7" t="str">
        <f>Raw_Orders!I816</f>
        <v>Bhatpara</v>
      </c>
    </row>
    <row r="817" spans="1:16">
      <c r="A817" s="7" t="str">
        <f>Raw_Orders!A817</f>
        <v>816</v>
      </c>
      <c r="B817" s="7" t="str">
        <f>Raw_Orders!B817</f>
        <v>C042</v>
      </c>
      <c r="C817" s="7" t="str">
        <f>INDEX(Raw_Customers!$B$2:$B$101,MATCH($B817,Raw_Customers!$A$2:$A$101,0))</f>
        <v>Eshani Sharma</v>
      </c>
      <c r="D817" s="7" t="str">
        <f>TRIM(INDEX(Raw_Customers!$C$2:$C$101,MATCH($B817,Raw_Customers!$A$2:$A$101,0)))</f>
        <v>Ajmer</v>
      </c>
      <c r="E817" s="7" t="str">
        <f>"+91-"&amp;RIGHT("0000000000"&amp;INDEX(Raw_Customers!$D$2:$D$101,MATCH($B817,Raw_Customers!$A$2:$A$101,0)),10)</f>
        <v>+91-6843169694</v>
      </c>
      <c r="F817" s="7" t="str">
        <f>Raw_Orders!C817</f>
        <v>35</v>
      </c>
      <c r="G817" s="7" t="str">
        <f>INDEX(Raw_Products!$B$2:$B$71,MATCH($F817,Raw_Products!$A$2:$A$71,0))</f>
        <v>Nam Gift</v>
      </c>
      <c r="H817" s="7" t="str">
        <f>INDEX(Raw_Products!$C$2:$C$71,MATCH($F817,Raw_Products!$A$2:$A$71,0))</f>
        <v>Colors</v>
      </c>
      <c r="I817" s="7">
        <f>VALUE(Raw_Orders!D817)</f>
        <v>3</v>
      </c>
      <c r="J817" s="11" t="str">
        <f>INDEX(Raw_Products!$D$2:$D$71,MATCH($F817,Raw_Products!$A$2:$A$71,0))</f>
        <v>1865</v>
      </c>
      <c r="K817" s="11">
        <f t="shared" si="24"/>
        <v>5595</v>
      </c>
      <c r="L817" s="12">
        <f>DATE(VALUE(RIGHT(Raw_Orders!E817,4)),VALUE(MID(Raw_Orders!E817,4,2)),VALUE(LEFT(Raw_Orders!E817,2)))</f>
        <v>44985</v>
      </c>
      <c r="M817" s="12">
        <f>DATE(VALUE(RIGHT(Raw_Orders!G817,4)),VALUE(MID(Raw_Orders!G817,4,2)),VALUE(LEFT(Raw_Orders!G817,2)))</f>
        <v>44995</v>
      </c>
      <c r="N817" s="7">
        <f t="shared" si="25"/>
        <v>10</v>
      </c>
      <c r="O817" s="7" t="str">
        <f>Raw_Orders!J817</f>
        <v>Holi</v>
      </c>
      <c r="P817" s="7" t="str">
        <f>Raw_Orders!I817</f>
        <v>Ujjain</v>
      </c>
    </row>
    <row r="818" spans="1:16">
      <c r="A818" s="7" t="str">
        <f>Raw_Orders!A818</f>
        <v>817</v>
      </c>
      <c r="B818" s="7" t="str">
        <f>Raw_Orders!B818</f>
        <v>C066</v>
      </c>
      <c r="C818" s="7" t="str">
        <f>INDEX(Raw_Customers!$B$2:$B$101,MATCH($B818,Raw_Customers!$A$2:$A$101,0))</f>
        <v>Eshani Buch</v>
      </c>
      <c r="D818" s="7" t="str">
        <f>TRIM(INDEX(Raw_Customers!$C$2:$C$101,MATCH($B818,Raw_Customers!$A$2:$A$101,0)))</f>
        <v>Malegaon</v>
      </c>
      <c r="E818" s="7" t="str">
        <f>"+91-"&amp;RIGHT("0000000000"&amp;INDEX(Raw_Customers!$D$2:$D$101,MATCH($B818,Raw_Customers!$A$2:$A$101,0)),10)</f>
        <v>+91-7436178055</v>
      </c>
      <c r="F818" s="7" t="str">
        <f>Raw_Orders!C818</f>
        <v>21</v>
      </c>
      <c r="G818" s="7" t="str">
        <f>INDEX(Raw_Products!$B$2:$B$71,MATCH($F818,Raw_Products!$A$2:$A$71,0))</f>
        <v>Quia Gift</v>
      </c>
      <c r="H818" s="7" t="str">
        <f>INDEX(Raw_Products!$C$2:$C$71,MATCH($F818,Raw_Products!$A$2:$A$71,0))</f>
        <v>Colors</v>
      </c>
      <c r="I818" s="7">
        <f>VALUE(Raw_Orders!D818)</f>
        <v>2</v>
      </c>
      <c r="J818" s="11" t="str">
        <f>INDEX(Raw_Products!$D$2:$D$71,MATCH($F818,Raw_Products!$A$2:$A$71,0))</f>
        <v>1561</v>
      </c>
      <c r="K818" s="11">
        <f t="shared" si="24"/>
        <v>3122</v>
      </c>
      <c r="L818" s="12">
        <f>DATE(VALUE(RIGHT(Raw_Orders!E818,4)),VALUE(MID(Raw_Orders!E818,4,2)),VALUE(LEFT(Raw_Orders!E818,2)))</f>
        <v>45166</v>
      </c>
      <c r="M818" s="12">
        <f>DATE(VALUE(RIGHT(Raw_Orders!G818,4)),VALUE(MID(Raw_Orders!G818,4,2)),VALUE(LEFT(Raw_Orders!G818,2)))</f>
        <v>45170</v>
      </c>
      <c r="N818" s="7">
        <f t="shared" si="25"/>
        <v>4</v>
      </c>
      <c r="O818" s="7" t="str">
        <f>Raw_Orders!J818</f>
        <v>Raksha Bandhan</v>
      </c>
      <c r="P818" s="7" t="str">
        <f>Raw_Orders!I818</f>
        <v>Jalandhar</v>
      </c>
    </row>
    <row r="819" spans="1:16">
      <c r="A819" s="7" t="str">
        <f>Raw_Orders!A819</f>
        <v>818</v>
      </c>
      <c r="B819" s="7" t="str">
        <f>Raw_Orders!B819</f>
        <v>C004</v>
      </c>
      <c r="C819" s="7" t="str">
        <f>INDEX(Raw_Customers!$B$2:$B$101,MATCH($B819,Raw_Customers!$A$2:$A$101,0))</f>
        <v>Tarini Bava</v>
      </c>
      <c r="D819" s="7" t="str">
        <f>TRIM(INDEX(Raw_Customers!$C$2:$C$101,MATCH($B819,Raw_Customers!$A$2:$A$101,0)))</f>
        <v>Miryalaguda</v>
      </c>
      <c r="E819" s="7" t="str">
        <f>"+91-"&amp;RIGHT("0000000000"&amp;INDEX(Raw_Customers!$D$2:$D$101,MATCH($B819,Raw_Customers!$A$2:$A$101,0)),10)</f>
        <v>+91-7232349928</v>
      </c>
      <c r="F819" s="7" t="str">
        <f>Raw_Orders!C819</f>
        <v>8</v>
      </c>
      <c r="G819" s="7" t="str">
        <f>INDEX(Raw_Products!$B$2:$B$71,MATCH($F819,Raw_Products!$A$2:$A$71,0))</f>
        <v>Qui Box</v>
      </c>
      <c r="H819" s="7" t="str">
        <f>INDEX(Raw_Products!$C$2:$C$71,MATCH($F819,Raw_Products!$A$2:$A$71,0))</f>
        <v>Sweets</v>
      </c>
      <c r="I819" s="7">
        <f>VALUE(Raw_Orders!D819)</f>
        <v>4</v>
      </c>
      <c r="J819" s="11" t="str">
        <f>INDEX(Raw_Products!$D$2:$D$71,MATCH($F819,Raw_Products!$A$2:$A$71,0))</f>
        <v>252</v>
      </c>
      <c r="K819" s="11">
        <f t="shared" si="24"/>
        <v>1008</v>
      </c>
      <c r="L819" s="12">
        <f>DATE(VALUE(RIGHT(Raw_Orders!E819,4)),VALUE(MID(Raw_Orders!E819,4,2)),VALUE(LEFT(Raw_Orders!E819,2)))</f>
        <v>44987</v>
      </c>
      <c r="M819" s="12">
        <f>DATE(VALUE(RIGHT(Raw_Orders!G819,4)),VALUE(MID(Raw_Orders!G819,4,2)),VALUE(LEFT(Raw_Orders!G819,2)))</f>
        <v>44994</v>
      </c>
      <c r="N819" s="7">
        <f t="shared" si="25"/>
        <v>7</v>
      </c>
      <c r="O819" s="7" t="str">
        <f>Raw_Orders!J819</f>
        <v>Anniversary</v>
      </c>
      <c r="P819" s="7" t="str">
        <f>Raw_Orders!I819</f>
        <v>Thrissur</v>
      </c>
    </row>
    <row r="820" spans="1:16">
      <c r="A820" s="7" t="str">
        <f>Raw_Orders!A820</f>
        <v>819</v>
      </c>
      <c r="B820" s="7" t="str">
        <f>Raw_Orders!B820</f>
        <v>C052</v>
      </c>
      <c r="C820" s="7" t="str">
        <f>INDEX(Raw_Customers!$B$2:$B$101,MATCH($B820,Raw_Customers!$A$2:$A$101,0))</f>
        <v>Vardaniya Apte</v>
      </c>
      <c r="D820" s="7" t="str">
        <f>TRIM(INDEX(Raw_Customers!$C$2:$C$101,MATCH($B820,Raw_Customers!$A$2:$A$101,0)))</f>
        <v>Dhanbad</v>
      </c>
      <c r="E820" s="7" t="str">
        <f>"+91-"&amp;RIGHT("0000000000"&amp;INDEX(Raw_Customers!$D$2:$D$101,MATCH($B820,Raw_Customers!$A$2:$A$101,0)),10)</f>
        <v>+91-5846932069</v>
      </c>
      <c r="F820" s="7" t="str">
        <f>Raw_Orders!C820</f>
        <v>55</v>
      </c>
      <c r="G820" s="7" t="str">
        <f>INDEX(Raw_Products!$B$2:$B$71,MATCH($F820,Raw_Products!$A$2:$A$71,0))</f>
        <v>Dolores Gift</v>
      </c>
      <c r="H820" s="7" t="str">
        <f>INDEX(Raw_Products!$C$2:$C$71,MATCH($F820,Raw_Products!$A$2:$A$71,0))</f>
        <v>Soft Toys</v>
      </c>
      <c r="I820" s="7">
        <f>VALUE(Raw_Orders!D820)</f>
        <v>5</v>
      </c>
      <c r="J820" s="11" t="str">
        <f>INDEX(Raw_Products!$D$2:$D$71,MATCH($F820,Raw_Products!$A$2:$A$71,0))</f>
        <v>1904</v>
      </c>
      <c r="K820" s="11">
        <f t="shared" si="24"/>
        <v>9520</v>
      </c>
      <c r="L820" s="12">
        <f>DATE(VALUE(RIGHT(Raw_Orders!E820,4)),VALUE(MID(Raw_Orders!E820,4,2)),VALUE(LEFT(Raw_Orders!E820,2)))</f>
        <v>45160</v>
      </c>
      <c r="M820" s="12">
        <f>DATE(VALUE(RIGHT(Raw_Orders!G820,4)),VALUE(MID(Raw_Orders!G820,4,2)),VALUE(LEFT(Raw_Orders!G820,2)))</f>
        <v>45162</v>
      </c>
      <c r="N820" s="7">
        <f t="shared" si="25"/>
        <v>2</v>
      </c>
      <c r="O820" s="7" t="str">
        <f>Raw_Orders!J820</f>
        <v>Raksha Bandhan</v>
      </c>
      <c r="P820" s="7" t="str">
        <f>Raw_Orders!I820</f>
        <v>Kottayam</v>
      </c>
    </row>
    <row r="821" spans="1:16">
      <c r="A821" s="7" t="str">
        <f>Raw_Orders!A821</f>
        <v>820</v>
      </c>
      <c r="B821" s="7" t="str">
        <f>Raw_Orders!B821</f>
        <v>C033</v>
      </c>
      <c r="C821" s="7" t="str">
        <f>INDEX(Raw_Customers!$B$2:$B$101,MATCH($B821,Raw_Customers!$A$2:$A$101,0))</f>
        <v>Suhana Kurian</v>
      </c>
      <c r="D821" s="7" t="str">
        <f>TRIM(INDEX(Raw_Customers!$C$2:$C$101,MATCH($B821,Raw_Customers!$A$2:$A$101,0)))</f>
        <v>Indore</v>
      </c>
      <c r="E821" s="7" t="str">
        <f>"+91-"&amp;RIGHT("0000000000"&amp;INDEX(Raw_Customers!$D$2:$D$101,MATCH($B821,Raw_Customers!$A$2:$A$101,0)),10)</f>
        <v>+91-5713958095</v>
      </c>
      <c r="F821" s="7" t="str">
        <f>Raw_Orders!C821</f>
        <v>64</v>
      </c>
      <c r="G821" s="7" t="str">
        <f>INDEX(Raw_Products!$B$2:$B$71,MATCH($F821,Raw_Products!$A$2:$A$71,0))</f>
        <v>Nostrum Box</v>
      </c>
      <c r="H821" s="7" t="str">
        <f>INDEX(Raw_Products!$C$2:$C$71,MATCH($F821,Raw_Products!$A$2:$A$71,0))</f>
        <v>Soft Toys</v>
      </c>
      <c r="I821" s="7">
        <f>VALUE(Raw_Orders!D821)</f>
        <v>3</v>
      </c>
      <c r="J821" s="11" t="str">
        <f>INDEX(Raw_Products!$D$2:$D$71,MATCH($F821,Raw_Products!$A$2:$A$71,0))</f>
        <v>1878</v>
      </c>
      <c r="K821" s="11">
        <f t="shared" si="24"/>
        <v>5634</v>
      </c>
      <c r="L821" s="12">
        <f>DATE(VALUE(RIGHT(Raw_Orders!E821,4)),VALUE(MID(Raw_Orders!E821,4,2)),VALUE(LEFT(Raw_Orders!E821,2)))</f>
        <v>45160</v>
      </c>
      <c r="M821" s="12">
        <f>DATE(VALUE(RIGHT(Raw_Orders!G821,4)),VALUE(MID(Raw_Orders!G821,4,2)),VALUE(LEFT(Raw_Orders!G821,2)))</f>
        <v>45164</v>
      </c>
      <c r="N821" s="7">
        <f t="shared" si="25"/>
        <v>4</v>
      </c>
      <c r="O821" s="7" t="str">
        <f>Raw_Orders!J821</f>
        <v>Raksha Bandhan</v>
      </c>
      <c r="P821" s="7" t="str">
        <f>Raw_Orders!I821</f>
        <v>Hapur</v>
      </c>
    </row>
    <row r="822" spans="1:16">
      <c r="A822" s="7" t="str">
        <f>Raw_Orders!A822</f>
        <v>821</v>
      </c>
      <c r="B822" s="7" t="str">
        <f>Raw_Orders!B822</f>
        <v>C050</v>
      </c>
      <c r="C822" s="7" t="str">
        <f>INDEX(Raw_Customers!$B$2:$B$101,MATCH($B822,Raw_Customers!$A$2:$A$101,0))</f>
        <v>Chirag Srinivas</v>
      </c>
      <c r="D822" s="7" t="str">
        <f>TRIM(INDEX(Raw_Customers!$C$2:$C$101,MATCH($B822,Raw_Customers!$A$2:$A$101,0)))</f>
        <v>Imphal</v>
      </c>
      <c r="E822" s="7" t="str">
        <f>"+91-"&amp;RIGHT("0000000000"&amp;INDEX(Raw_Customers!$D$2:$D$101,MATCH($B822,Raw_Customers!$A$2:$A$101,0)),10)</f>
        <v>+91-1157961919</v>
      </c>
      <c r="F822" s="7" t="str">
        <f>Raw_Orders!C822</f>
        <v>32</v>
      </c>
      <c r="G822" s="7" t="str">
        <f>INDEX(Raw_Products!$B$2:$B$71,MATCH($F822,Raw_Products!$A$2:$A$71,0))</f>
        <v>Fuga Set</v>
      </c>
      <c r="H822" s="7" t="str">
        <f>INDEX(Raw_Products!$C$2:$C$71,MATCH($F822,Raw_Products!$A$2:$A$71,0))</f>
        <v>Soft Toys</v>
      </c>
      <c r="I822" s="7">
        <f>VALUE(Raw_Orders!D822)</f>
        <v>4</v>
      </c>
      <c r="J822" s="11" t="str">
        <f>INDEX(Raw_Products!$D$2:$D$71,MATCH($F822,Raw_Products!$A$2:$A$71,0))</f>
        <v>1792</v>
      </c>
      <c r="K822" s="11">
        <f t="shared" si="24"/>
        <v>7168</v>
      </c>
      <c r="L822" s="12">
        <f>DATE(VALUE(RIGHT(Raw_Orders!E822,4)),VALUE(MID(Raw_Orders!E822,4,2)),VALUE(LEFT(Raw_Orders!E822,2)))</f>
        <v>44984</v>
      </c>
      <c r="M822" s="12">
        <f>DATE(VALUE(RIGHT(Raw_Orders!G822,4)),VALUE(MID(Raw_Orders!G822,4,2)),VALUE(LEFT(Raw_Orders!G822,2)))</f>
        <v>44992</v>
      </c>
      <c r="N822" s="7">
        <f t="shared" si="25"/>
        <v>8</v>
      </c>
      <c r="O822" s="7" t="str">
        <f>Raw_Orders!J822</f>
        <v>Birthday</v>
      </c>
      <c r="P822" s="7" t="str">
        <f>Raw_Orders!I822</f>
        <v>Bareilly</v>
      </c>
    </row>
    <row r="823" spans="1:16">
      <c r="A823" s="7" t="str">
        <f>Raw_Orders!A823</f>
        <v>822</v>
      </c>
      <c r="B823" s="7" t="str">
        <f>Raw_Orders!B823</f>
        <v>C075</v>
      </c>
      <c r="C823" s="7" t="str">
        <f>INDEX(Raw_Customers!$B$2:$B$101,MATCH($B823,Raw_Customers!$A$2:$A$101,0))</f>
        <v>Yashvi Bansal</v>
      </c>
      <c r="D823" s="7" t="str">
        <f>TRIM(INDEX(Raw_Customers!$C$2:$C$101,MATCH($B823,Raw_Customers!$A$2:$A$101,0)))</f>
        <v>Aligarh</v>
      </c>
      <c r="E823" s="7" t="str">
        <f>"+91-"&amp;RIGHT("0000000000"&amp;INDEX(Raw_Customers!$D$2:$D$101,MATCH($B823,Raw_Customers!$A$2:$A$101,0)),10)</f>
        <v>+91-4513765238</v>
      </c>
      <c r="F823" s="7" t="str">
        <f>Raw_Orders!C823</f>
        <v>41</v>
      </c>
      <c r="G823" s="7" t="str">
        <f>INDEX(Raw_Products!$B$2:$B$71,MATCH($F823,Raw_Products!$A$2:$A$71,0))</f>
        <v>Aut Box</v>
      </c>
      <c r="H823" s="7" t="str">
        <f>INDEX(Raw_Products!$C$2:$C$71,MATCH($F823,Raw_Products!$A$2:$A$71,0))</f>
        <v>Sweets</v>
      </c>
      <c r="I823" s="7">
        <f>VALUE(Raw_Orders!D823)</f>
        <v>5</v>
      </c>
      <c r="J823" s="11" t="str">
        <f>INDEX(Raw_Products!$D$2:$D$71,MATCH($F823,Raw_Products!$A$2:$A$71,0))</f>
        <v>1977</v>
      </c>
      <c r="K823" s="11">
        <f t="shared" si="24"/>
        <v>9885</v>
      </c>
      <c r="L823" s="12">
        <f>DATE(VALUE(RIGHT(Raw_Orders!E823,4)),VALUE(MID(Raw_Orders!E823,4,2)),VALUE(LEFT(Raw_Orders!E823,2)))</f>
        <v>45239</v>
      </c>
      <c r="M823" s="12">
        <f>DATE(VALUE(RIGHT(Raw_Orders!G823,4)),VALUE(MID(Raw_Orders!G823,4,2)),VALUE(LEFT(Raw_Orders!G823,2)))</f>
        <v>45242</v>
      </c>
      <c r="N823" s="7">
        <f t="shared" si="25"/>
        <v>3</v>
      </c>
      <c r="O823" s="7" t="str">
        <f>Raw_Orders!J823</f>
        <v>Diwali</v>
      </c>
      <c r="P823" s="7" t="str">
        <f>Raw_Orders!I823</f>
        <v>Indore</v>
      </c>
    </row>
    <row r="824" spans="1:16">
      <c r="A824" s="7" t="str">
        <f>Raw_Orders!A824</f>
        <v>823</v>
      </c>
      <c r="B824" s="7" t="str">
        <f>Raw_Orders!B824</f>
        <v>C087</v>
      </c>
      <c r="C824" s="7" t="str">
        <f>INDEX(Raw_Customers!$B$2:$B$101,MATCH($B824,Raw_Customers!$A$2:$A$101,0))</f>
        <v>Rania Bhatt</v>
      </c>
      <c r="D824" s="7" t="str">
        <f>TRIM(INDEX(Raw_Customers!$C$2:$C$101,MATCH($B824,Raw_Customers!$A$2:$A$101,0)))</f>
        <v>North Dumdum</v>
      </c>
      <c r="E824" s="7" t="str">
        <f>"+91-"&amp;RIGHT("0000000000"&amp;INDEX(Raw_Customers!$D$2:$D$101,MATCH($B824,Raw_Customers!$A$2:$A$101,0)),10)</f>
        <v>+91-2112404207</v>
      </c>
      <c r="F824" s="7" t="str">
        <f>Raw_Orders!C824</f>
        <v>64</v>
      </c>
      <c r="G824" s="7" t="str">
        <f>INDEX(Raw_Products!$B$2:$B$71,MATCH($F824,Raw_Products!$A$2:$A$71,0))</f>
        <v>Nostrum Box</v>
      </c>
      <c r="H824" s="7" t="str">
        <f>INDEX(Raw_Products!$C$2:$C$71,MATCH($F824,Raw_Products!$A$2:$A$71,0))</f>
        <v>Soft Toys</v>
      </c>
      <c r="I824" s="7">
        <f>VALUE(Raw_Orders!D824)</f>
        <v>3</v>
      </c>
      <c r="J824" s="11" t="str">
        <f>INDEX(Raw_Products!$D$2:$D$71,MATCH($F824,Raw_Products!$A$2:$A$71,0))</f>
        <v>1878</v>
      </c>
      <c r="K824" s="11">
        <f t="shared" si="24"/>
        <v>5634</v>
      </c>
      <c r="L824" s="12">
        <f>DATE(VALUE(RIGHT(Raw_Orders!E824,4)),VALUE(MID(Raw_Orders!E824,4,2)),VALUE(LEFT(Raw_Orders!E824,2)))</f>
        <v>45165</v>
      </c>
      <c r="M824" s="12">
        <f>DATE(VALUE(RIGHT(Raw_Orders!G824,4)),VALUE(MID(Raw_Orders!G824,4,2)),VALUE(LEFT(Raw_Orders!G824,2)))</f>
        <v>45170</v>
      </c>
      <c r="N824" s="7">
        <f t="shared" si="25"/>
        <v>5</v>
      </c>
      <c r="O824" s="7" t="str">
        <f>Raw_Orders!J824</f>
        <v>Raksha Bandhan</v>
      </c>
      <c r="P824" s="7" t="str">
        <f>Raw_Orders!I824</f>
        <v>Alappuzha</v>
      </c>
    </row>
    <row r="825" spans="1:16">
      <c r="A825" s="7" t="str">
        <f>Raw_Orders!A825</f>
        <v>824</v>
      </c>
      <c r="B825" s="7" t="str">
        <f>Raw_Orders!B825</f>
        <v>C097</v>
      </c>
      <c r="C825" s="7" t="str">
        <f>INDEX(Raw_Customers!$B$2:$B$101,MATCH($B825,Raw_Customers!$A$2:$A$101,0))</f>
        <v>Nakul Randhawa</v>
      </c>
      <c r="D825" s="7" t="str">
        <f>TRIM(INDEX(Raw_Customers!$C$2:$C$101,MATCH($B825,Raw_Customers!$A$2:$A$101,0)))</f>
        <v>Sri Ganganagar</v>
      </c>
      <c r="E825" s="7" t="str">
        <f>"+91-"&amp;RIGHT("0000000000"&amp;INDEX(Raw_Customers!$D$2:$D$101,MATCH($B825,Raw_Customers!$A$2:$A$101,0)),10)</f>
        <v>+91-0456900126</v>
      </c>
      <c r="F825" s="7" t="str">
        <f>Raw_Orders!C825</f>
        <v>46</v>
      </c>
      <c r="G825" s="7" t="str">
        <f>INDEX(Raw_Products!$B$2:$B$71,MATCH($F825,Raw_Products!$A$2:$A$71,0))</f>
        <v>Pariatur Set</v>
      </c>
      <c r="H825" s="7" t="str">
        <f>INDEX(Raw_Products!$C$2:$C$71,MATCH($F825,Raw_Products!$A$2:$A$71,0))</f>
        <v>Cake</v>
      </c>
      <c r="I825" s="7">
        <f>VALUE(Raw_Orders!D825)</f>
        <v>4</v>
      </c>
      <c r="J825" s="11" t="str">
        <f>INDEX(Raw_Products!$D$2:$D$71,MATCH($F825,Raw_Products!$A$2:$A$71,0))</f>
        <v>758</v>
      </c>
      <c r="K825" s="11">
        <f t="shared" si="24"/>
        <v>3032</v>
      </c>
      <c r="L825" s="12">
        <f>DATE(VALUE(RIGHT(Raw_Orders!E825,4)),VALUE(MID(Raw_Orders!E825,4,2)),VALUE(LEFT(Raw_Orders!E825,2)))</f>
        <v>45052</v>
      </c>
      <c r="M825" s="12">
        <f>DATE(VALUE(RIGHT(Raw_Orders!G825,4)),VALUE(MID(Raw_Orders!G825,4,2)),VALUE(LEFT(Raw_Orders!G825,2)))</f>
        <v>45053</v>
      </c>
      <c r="N825" s="7">
        <f t="shared" si="25"/>
        <v>1</v>
      </c>
      <c r="O825" s="7" t="str">
        <f>Raw_Orders!J825</f>
        <v>Anniversary</v>
      </c>
      <c r="P825" s="7" t="str">
        <f>Raw_Orders!I825</f>
        <v>Muzaffarpur</v>
      </c>
    </row>
    <row r="826" spans="1:16">
      <c r="A826" s="7" t="str">
        <f>Raw_Orders!A826</f>
        <v>825</v>
      </c>
      <c r="B826" s="7" t="str">
        <f>Raw_Orders!B826</f>
        <v>C044</v>
      </c>
      <c r="C826" s="7" t="str">
        <f>INDEX(Raw_Customers!$B$2:$B$101,MATCH($B826,Raw_Customers!$A$2:$A$101,0))</f>
        <v>Seher Mann</v>
      </c>
      <c r="D826" s="7" t="str">
        <f>TRIM(INDEX(Raw_Customers!$C$2:$C$101,MATCH($B826,Raw_Customers!$A$2:$A$101,0)))</f>
        <v>Agra</v>
      </c>
      <c r="E826" s="7" t="str">
        <f>"+91-"&amp;RIGHT("0000000000"&amp;INDEX(Raw_Customers!$D$2:$D$101,MATCH($B826,Raw_Customers!$A$2:$A$101,0)),10)</f>
        <v>+91-9843970658</v>
      </c>
      <c r="F826" s="7" t="str">
        <f>Raw_Orders!C826</f>
        <v>25</v>
      </c>
      <c r="G826" s="7" t="str">
        <f>INDEX(Raw_Products!$B$2:$B$71,MATCH($F826,Raw_Products!$A$2:$A$71,0))</f>
        <v>Qui Gift</v>
      </c>
      <c r="H826" s="7" t="str">
        <f>INDEX(Raw_Products!$C$2:$C$71,MATCH($F826,Raw_Products!$A$2:$A$71,0))</f>
        <v>Plants</v>
      </c>
      <c r="I826" s="7">
        <f>VALUE(Raw_Orders!D826)</f>
        <v>5</v>
      </c>
      <c r="J826" s="11" t="str">
        <f>INDEX(Raw_Products!$D$2:$D$71,MATCH($F826,Raw_Products!$A$2:$A$71,0))</f>
        <v>1202</v>
      </c>
      <c r="K826" s="11">
        <f t="shared" si="24"/>
        <v>6010</v>
      </c>
      <c r="L826" s="12">
        <f>DATE(VALUE(RIGHT(Raw_Orders!E826,4)),VALUE(MID(Raw_Orders!E826,4,2)),VALUE(LEFT(Raw_Orders!E826,2)))</f>
        <v>45107</v>
      </c>
      <c r="M826" s="12">
        <f>DATE(VALUE(RIGHT(Raw_Orders!G826,4)),VALUE(MID(Raw_Orders!G826,4,2)),VALUE(LEFT(Raw_Orders!G826,2)))</f>
        <v>45108</v>
      </c>
      <c r="N826" s="7">
        <f t="shared" si="25"/>
        <v>1</v>
      </c>
      <c r="O826" s="7" t="str">
        <f>Raw_Orders!J826</f>
        <v>Anniversary</v>
      </c>
      <c r="P826" s="7" t="str">
        <f>Raw_Orders!I826</f>
        <v>Nellore</v>
      </c>
    </row>
    <row r="827" spans="1:16">
      <c r="A827" s="7" t="str">
        <f>Raw_Orders!A827</f>
        <v>826</v>
      </c>
      <c r="B827" s="7" t="str">
        <f>Raw_Orders!B827</f>
        <v>C077</v>
      </c>
      <c r="C827" s="7" t="str">
        <f>INDEX(Raw_Customers!$B$2:$B$101,MATCH($B827,Raw_Customers!$A$2:$A$101,0))</f>
        <v>Gokul Ahluwalia</v>
      </c>
      <c r="D827" s="7" t="str">
        <f>TRIM(INDEX(Raw_Customers!$C$2:$C$101,MATCH($B827,Raw_Customers!$A$2:$A$101,0)))</f>
        <v>Panchkula</v>
      </c>
      <c r="E827" s="7" t="str">
        <f>"+91-"&amp;RIGHT("0000000000"&amp;INDEX(Raw_Customers!$D$2:$D$101,MATCH($B827,Raw_Customers!$A$2:$A$101,0)),10)</f>
        <v>+91-0413737551</v>
      </c>
      <c r="F827" s="7" t="str">
        <f>Raw_Orders!C827</f>
        <v>16</v>
      </c>
      <c r="G827" s="7" t="str">
        <f>INDEX(Raw_Products!$B$2:$B$71,MATCH($F827,Raw_Products!$A$2:$A$71,0))</f>
        <v>Ut Pack</v>
      </c>
      <c r="H827" s="7" t="str">
        <f>INDEX(Raw_Products!$C$2:$C$71,MATCH($F827,Raw_Products!$A$2:$A$71,0))</f>
        <v>Sweets</v>
      </c>
      <c r="I827" s="7">
        <f>VALUE(Raw_Orders!D827)</f>
        <v>5</v>
      </c>
      <c r="J827" s="11" t="str">
        <f>INDEX(Raw_Products!$D$2:$D$71,MATCH($F827,Raw_Products!$A$2:$A$71,0))</f>
        <v>1721</v>
      </c>
      <c r="K827" s="11">
        <f t="shared" si="24"/>
        <v>8605</v>
      </c>
      <c r="L827" s="12">
        <f>DATE(VALUE(RIGHT(Raw_Orders!E827,4)),VALUE(MID(Raw_Orders!E827,4,2)),VALUE(LEFT(Raw_Orders!E827,2)))</f>
        <v>44987</v>
      </c>
      <c r="M827" s="12">
        <f>DATE(VALUE(RIGHT(Raw_Orders!G827,4)),VALUE(MID(Raw_Orders!G827,4,2)),VALUE(LEFT(Raw_Orders!G827,2)))</f>
        <v>44993</v>
      </c>
      <c r="N827" s="7">
        <f t="shared" si="25"/>
        <v>6</v>
      </c>
      <c r="O827" s="7" t="str">
        <f>Raw_Orders!J827</f>
        <v>Holi</v>
      </c>
      <c r="P827" s="7" t="str">
        <f>Raw_Orders!I827</f>
        <v>Udaipur</v>
      </c>
    </row>
    <row r="828" spans="1:16">
      <c r="A828" s="7" t="str">
        <f>Raw_Orders!A828</f>
        <v>827</v>
      </c>
      <c r="B828" s="7" t="str">
        <f>Raw_Orders!B828</f>
        <v>C086</v>
      </c>
      <c r="C828" s="7" t="str">
        <f>INDEX(Raw_Customers!$B$2:$B$101,MATCH($B828,Raw_Customers!$A$2:$A$101,0))</f>
        <v>Ivana Amble</v>
      </c>
      <c r="D828" s="7" t="str">
        <f>TRIM(INDEX(Raw_Customers!$C$2:$C$101,MATCH($B828,Raw_Customers!$A$2:$A$101,0)))</f>
        <v>Purnia</v>
      </c>
      <c r="E828" s="7" t="str">
        <f>"+91-"&amp;RIGHT("0000000000"&amp;INDEX(Raw_Customers!$D$2:$D$101,MATCH($B828,Raw_Customers!$A$2:$A$101,0)),10)</f>
        <v>+91-9628920018</v>
      </c>
      <c r="F828" s="7" t="str">
        <f>Raw_Orders!C828</f>
        <v>9</v>
      </c>
      <c r="G828" s="7" t="str">
        <f>INDEX(Raw_Products!$B$2:$B$71,MATCH($F828,Raw_Products!$A$2:$A$71,0))</f>
        <v>Aperiam Box</v>
      </c>
      <c r="H828" s="7" t="str">
        <f>INDEX(Raw_Products!$C$2:$C$71,MATCH($F828,Raw_Products!$A$2:$A$71,0))</f>
        <v>Colors</v>
      </c>
      <c r="I828" s="7">
        <f>VALUE(Raw_Orders!D828)</f>
        <v>1</v>
      </c>
      <c r="J828" s="11" t="str">
        <f>INDEX(Raw_Products!$D$2:$D$71,MATCH($F828,Raw_Products!$A$2:$A$71,0))</f>
        <v>1605</v>
      </c>
      <c r="K828" s="11">
        <f t="shared" si="24"/>
        <v>1605</v>
      </c>
      <c r="L828" s="12">
        <f>DATE(VALUE(RIGHT(Raw_Orders!E828,4)),VALUE(MID(Raw_Orders!E828,4,2)),VALUE(LEFT(Raw_Orders!E828,2)))</f>
        <v>45167</v>
      </c>
      <c r="M828" s="12">
        <f>DATE(VALUE(RIGHT(Raw_Orders!G828,4)),VALUE(MID(Raw_Orders!G828,4,2)),VALUE(LEFT(Raw_Orders!G828,2)))</f>
        <v>45168</v>
      </c>
      <c r="N828" s="7">
        <f t="shared" si="25"/>
        <v>1</v>
      </c>
      <c r="O828" s="7" t="str">
        <f>Raw_Orders!J828</f>
        <v>Raksha Bandhan</v>
      </c>
      <c r="P828" s="7" t="str">
        <f>Raw_Orders!I828</f>
        <v>Surendranagar Dudhrej</v>
      </c>
    </row>
    <row r="829" spans="1:16">
      <c r="A829" s="7" t="str">
        <f>Raw_Orders!A829</f>
        <v>828</v>
      </c>
      <c r="B829" s="7" t="str">
        <f>Raw_Orders!B829</f>
        <v>C044</v>
      </c>
      <c r="C829" s="7" t="str">
        <f>INDEX(Raw_Customers!$B$2:$B$101,MATCH($B829,Raw_Customers!$A$2:$A$101,0))</f>
        <v>Seher Mann</v>
      </c>
      <c r="D829" s="7" t="str">
        <f>TRIM(INDEX(Raw_Customers!$C$2:$C$101,MATCH($B829,Raw_Customers!$A$2:$A$101,0)))</f>
        <v>Agra</v>
      </c>
      <c r="E829" s="7" t="str">
        <f>"+91-"&amp;RIGHT("0000000000"&amp;INDEX(Raw_Customers!$D$2:$D$101,MATCH($B829,Raw_Customers!$A$2:$A$101,0)),10)</f>
        <v>+91-9843970658</v>
      </c>
      <c r="F829" s="7" t="str">
        <f>Raw_Orders!C829</f>
        <v>8</v>
      </c>
      <c r="G829" s="7" t="str">
        <f>INDEX(Raw_Products!$B$2:$B$71,MATCH($F829,Raw_Products!$A$2:$A$71,0))</f>
        <v>Qui Box</v>
      </c>
      <c r="H829" s="7" t="str">
        <f>INDEX(Raw_Products!$C$2:$C$71,MATCH($F829,Raw_Products!$A$2:$A$71,0))</f>
        <v>Sweets</v>
      </c>
      <c r="I829" s="7">
        <f>VALUE(Raw_Orders!D829)</f>
        <v>3</v>
      </c>
      <c r="J829" s="11" t="str">
        <f>INDEX(Raw_Products!$D$2:$D$71,MATCH($F829,Raw_Products!$A$2:$A$71,0))</f>
        <v>252</v>
      </c>
      <c r="K829" s="11">
        <f t="shared" si="24"/>
        <v>756</v>
      </c>
      <c r="L829" s="12">
        <f>DATE(VALUE(RIGHT(Raw_Orders!E829,4)),VALUE(MID(Raw_Orders!E829,4,2)),VALUE(LEFT(Raw_Orders!E829,2)))</f>
        <v>45223</v>
      </c>
      <c r="M829" s="12">
        <f>DATE(VALUE(RIGHT(Raw_Orders!G829,4)),VALUE(MID(Raw_Orders!G829,4,2)),VALUE(LEFT(Raw_Orders!G829,2)))</f>
        <v>45231</v>
      </c>
      <c r="N829" s="7">
        <f t="shared" si="25"/>
        <v>8</v>
      </c>
      <c r="O829" s="7" t="str">
        <f>Raw_Orders!J829</f>
        <v>Anniversary</v>
      </c>
      <c r="P829" s="7" t="str">
        <f>Raw_Orders!I829</f>
        <v>Gwalior</v>
      </c>
    </row>
    <row r="830" spans="1:16">
      <c r="A830" s="7" t="str">
        <f>Raw_Orders!A830</f>
        <v>829</v>
      </c>
      <c r="B830" s="7" t="str">
        <f>Raw_Orders!B830</f>
        <v>C020</v>
      </c>
      <c r="C830" s="7" t="str">
        <f>INDEX(Raw_Customers!$B$2:$B$101,MATCH($B830,Raw_Customers!$A$2:$A$101,0))</f>
        <v>Samaira Ganesh</v>
      </c>
      <c r="D830" s="7" t="str">
        <f>TRIM(INDEX(Raw_Customers!$C$2:$C$101,MATCH($B830,Raw_Customers!$A$2:$A$101,0)))</f>
        <v>Machilipatnam</v>
      </c>
      <c r="E830" s="7" t="str">
        <f>"+91-"&amp;RIGHT("0000000000"&amp;INDEX(Raw_Customers!$D$2:$D$101,MATCH($B830,Raw_Customers!$A$2:$A$101,0)),10)</f>
        <v>+91-1731643700</v>
      </c>
      <c r="F830" s="7" t="str">
        <f>Raw_Orders!C830</f>
        <v>42</v>
      </c>
      <c r="G830" s="7" t="str">
        <f>INDEX(Raw_Products!$B$2:$B$71,MATCH($F830,Raw_Products!$A$2:$A$71,0))</f>
        <v>Expedita Gift</v>
      </c>
      <c r="H830" s="7" t="str">
        <f>INDEX(Raw_Products!$C$2:$C$71,MATCH($F830,Raw_Products!$A$2:$A$71,0))</f>
        <v>Sweets</v>
      </c>
      <c r="I830" s="7">
        <f>VALUE(Raw_Orders!D830)</f>
        <v>4</v>
      </c>
      <c r="J830" s="11" t="str">
        <f>INDEX(Raw_Products!$D$2:$D$71,MATCH($F830,Raw_Products!$A$2:$A$71,0))</f>
        <v>1744</v>
      </c>
      <c r="K830" s="11">
        <f t="shared" si="24"/>
        <v>6976</v>
      </c>
      <c r="L830" s="12">
        <f>DATE(VALUE(RIGHT(Raw_Orders!E830,4)),VALUE(MID(Raw_Orders!E830,4,2)),VALUE(LEFT(Raw_Orders!E830,2)))</f>
        <v>45279</v>
      </c>
      <c r="M830" s="12">
        <f>DATE(VALUE(RIGHT(Raw_Orders!G830,4)),VALUE(MID(Raw_Orders!G830,4,2)),VALUE(LEFT(Raw_Orders!G830,2)))</f>
        <v>45286</v>
      </c>
      <c r="N830" s="7">
        <f t="shared" si="25"/>
        <v>7</v>
      </c>
      <c r="O830" s="7" t="str">
        <f>Raw_Orders!J830</f>
        <v>All Occasions</v>
      </c>
      <c r="P830" s="7" t="str">
        <f>Raw_Orders!I830</f>
        <v>Visakhapatnam</v>
      </c>
    </row>
    <row r="831" spans="1:16">
      <c r="A831" s="7" t="str">
        <f>Raw_Orders!A831</f>
        <v>830</v>
      </c>
      <c r="B831" s="7" t="str">
        <f>Raw_Orders!B831</f>
        <v>C007</v>
      </c>
      <c r="C831" s="7" t="str">
        <f>INDEX(Raw_Customers!$B$2:$B$101,MATCH($B831,Raw_Customers!$A$2:$A$101,0))</f>
        <v>Jayant Kamdar</v>
      </c>
      <c r="D831" s="7" t="str">
        <f>TRIM(INDEX(Raw_Customers!$C$2:$C$101,MATCH($B831,Raw_Customers!$A$2:$A$101,0)))</f>
        <v>Berhampore</v>
      </c>
      <c r="E831" s="7" t="str">
        <f>"+91-"&amp;RIGHT("0000000000"&amp;INDEX(Raw_Customers!$D$2:$D$101,MATCH($B831,Raw_Customers!$A$2:$A$101,0)),10)</f>
        <v>+91-8576675504</v>
      </c>
      <c r="F831" s="7" t="str">
        <f>Raw_Orders!C831</f>
        <v>46</v>
      </c>
      <c r="G831" s="7" t="str">
        <f>INDEX(Raw_Products!$B$2:$B$71,MATCH($F831,Raw_Products!$A$2:$A$71,0))</f>
        <v>Pariatur Set</v>
      </c>
      <c r="H831" s="7" t="str">
        <f>INDEX(Raw_Products!$C$2:$C$71,MATCH($F831,Raw_Products!$A$2:$A$71,0))</f>
        <v>Cake</v>
      </c>
      <c r="I831" s="7">
        <f>VALUE(Raw_Orders!D831)</f>
        <v>2</v>
      </c>
      <c r="J831" s="11" t="str">
        <f>INDEX(Raw_Products!$D$2:$D$71,MATCH($F831,Raw_Products!$A$2:$A$71,0))</f>
        <v>758</v>
      </c>
      <c r="K831" s="11">
        <f t="shared" si="24"/>
        <v>1516</v>
      </c>
      <c r="L831" s="12">
        <f>DATE(VALUE(RIGHT(Raw_Orders!E831,4)),VALUE(MID(Raw_Orders!E831,4,2)),VALUE(LEFT(Raw_Orders!E831,2)))</f>
        <v>44938</v>
      </c>
      <c r="M831" s="12">
        <f>DATE(VALUE(RIGHT(Raw_Orders!G831,4)),VALUE(MID(Raw_Orders!G831,4,2)),VALUE(LEFT(Raw_Orders!G831,2)))</f>
        <v>44941</v>
      </c>
      <c r="N831" s="7">
        <f t="shared" si="25"/>
        <v>3</v>
      </c>
      <c r="O831" s="7" t="str">
        <f>Raw_Orders!J831</f>
        <v>Anniversary</v>
      </c>
      <c r="P831" s="7" t="str">
        <f>Raw_Orders!I831</f>
        <v>Indore</v>
      </c>
    </row>
    <row r="832" spans="1:16">
      <c r="A832" s="7" t="str">
        <f>Raw_Orders!A832</f>
        <v>831</v>
      </c>
      <c r="B832" s="7" t="str">
        <f>Raw_Orders!B832</f>
        <v>C079</v>
      </c>
      <c r="C832" s="7" t="str">
        <f>INDEX(Raw_Customers!$B$2:$B$101,MATCH($B832,Raw_Customers!$A$2:$A$101,0))</f>
        <v>Vedika Sankaran</v>
      </c>
      <c r="D832" s="7" t="str">
        <f>TRIM(INDEX(Raw_Customers!$C$2:$C$101,MATCH($B832,Raw_Customers!$A$2:$A$101,0)))</f>
        <v>Bhilai</v>
      </c>
      <c r="E832" s="7" t="str">
        <f>"+91-"&amp;RIGHT("0000000000"&amp;INDEX(Raw_Customers!$D$2:$D$101,MATCH($B832,Raw_Customers!$A$2:$A$101,0)),10)</f>
        <v>+91-7606054646</v>
      </c>
      <c r="F832" s="7" t="str">
        <f>Raw_Orders!C832</f>
        <v>56</v>
      </c>
      <c r="G832" s="7" t="str">
        <f>INDEX(Raw_Products!$B$2:$B$71,MATCH($F832,Raw_Products!$A$2:$A$71,0))</f>
        <v>Quia Gift</v>
      </c>
      <c r="H832" s="7" t="str">
        <f>INDEX(Raw_Products!$C$2:$C$71,MATCH($F832,Raw_Products!$A$2:$A$71,0))</f>
        <v>Raksha Bandhan</v>
      </c>
      <c r="I832" s="7">
        <f>VALUE(Raw_Orders!D832)</f>
        <v>5</v>
      </c>
      <c r="J832" s="11" t="str">
        <f>INDEX(Raw_Products!$D$2:$D$71,MATCH($F832,Raw_Products!$A$2:$A$71,0))</f>
        <v>1272</v>
      </c>
      <c r="K832" s="11">
        <f t="shared" si="24"/>
        <v>6360</v>
      </c>
      <c r="L832" s="12">
        <f>DATE(VALUE(RIGHT(Raw_Orders!E832,4)),VALUE(MID(Raw_Orders!E832,4,2)),VALUE(LEFT(Raw_Orders!E832,2)))</f>
        <v>45070</v>
      </c>
      <c r="M832" s="12">
        <f>DATE(VALUE(RIGHT(Raw_Orders!G832,4)),VALUE(MID(Raw_Orders!G832,4,2)),VALUE(LEFT(Raw_Orders!G832,2)))</f>
        <v>45080</v>
      </c>
      <c r="N832" s="7">
        <f t="shared" si="25"/>
        <v>10</v>
      </c>
      <c r="O832" s="7" t="str">
        <f>Raw_Orders!J832</f>
        <v>Anniversary</v>
      </c>
      <c r="P832" s="7" t="str">
        <f>Raw_Orders!I832</f>
        <v>Rajahmundry</v>
      </c>
    </row>
    <row r="833" spans="1:16">
      <c r="A833" s="7" t="str">
        <f>Raw_Orders!A833</f>
        <v>832</v>
      </c>
      <c r="B833" s="7" t="str">
        <f>Raw_Orders!B833</f>
        <v>C026</v>
      </c>
      <c r="C833" s="7" t="str">
        <f>INDEX(Raw_Customers!$B$2:$B$101,MATCH($B833,Raw_Customers!$A$2:$A$101,0))</f>
        <v>Ira Chahal</v>
      </c>
      <c r="D833" s="7" t="str">
        <f>TRIM(INDEX(Raw_Customers!$C$2:$C$101,MATCH($B833,Raw_Customers!$A$2:$A$101,0)))</f>
        <v>Farrukhabad</v>
      </c>
      <c r="E833" s="7" t="str">
        <f>"+91-"&amp;RIGHT("0000000000"&amp;INDEX(Raw_Customers!$D$2:$D$101,MATCH($B833,Raw_Customers!$A$2:$A$101,0)),10)</f>
        <v>+91-8716483532</v>
      </c>
      <c r="F833" s="7" t="str">
        <f>Raw_Orders!C833</f>
        <v>65</v>
      </c>
      <c r="G833" s="7" t="str">
        <f>INDEX(Raw_Products!$B$2:$B$71,MATCH($F833,Raw_Products!$A$2:$A$71,0))</f>
        <v>Error Gift</v>
      </c>
      <c r="H833" s="7" t="str">
        <f>INDEX(Raw_Products!$C$2:$C$71,MATCH($F833,Raw_Products!$A$2:$A$71,0))</f>
        <v>Raksha Bandhan</v>
      </c>
      <c r="I833" s="7">
        <f>VALUE(Raw_Orders!D833)</f>
        <v>4</v>
      </c>
      <c r="J833" s="11" t="str">
        <f>INDEX(Raw_Products!$D$2:$D$71,MATCH($F833,Raw_Products!$A$2:$A$71,0))</f>
        <v>1895</v>
      </c>
      <c r="K833" s="11">
        <f t="shared" si="24"/>
        <v>7580</v>
      </c>
      <c r="L833" s="12">
        <f>DATE(VALUE(RIGHT(Raw_Orders!E833,4)),VALUE(MID(Raw_Orders!E833,4,2)),VALUE(LEFT(Raw_Orders!E833,2)))</f>
        <v>44958</v>
      </c>
      <c r="M833" s="12">
        <f>DATE(VALUE(RIGHT(Raw_Orders!G833,4)),VALUE(MID(Raw_Orders!G833,4,2)),VALUE(LEFT(Raw_Orders!G833,2)))</f>
        <v>44967</v>
      </c>
      <c r="N833" s="7">
        <f t="shared" si="25"/>
        <v>9</v>
      </c>
      <c r="O833" s="7" t="str">
        <f>Raw_Orders!J833</f>
        <v>All Occasions</v>
      </c>
      <c r="P833" s="7" t="str">
        <f>Raw_Orders!I833</f>
        <v>Etawah</v>
      </c>
    </row>
    <row r="834" spans="1:16">
      <c r="A834" s="7" t="str">
        <f>Raw_Orders!A834</f>
        <v>833</v>
      </c>
      <c r="B834" s="7" t="str">
        <f>Raw_Orders!B834</f>
        <v>C002</v>
      </c>
      <c r="C834" s="7" t="str">
        <f>INDEX(Raw_Customers!$B$2:$B$101,MATCH($B834,Raw_Customers!$A$2:$A$101,0))</f>
        <v>Myra Edwin</v>
      </c>
      <c r="D834" s="7" t="str">
        <f>TRIM(INDEX(Raw_Customers!$C$2:$C$101,MATCH($B834,Raw_Customers!$A$2:$A$101,0)))</f>
        <v>Bulandshahr</v>
      </c>
      <c r="E834" s="7" t="str">
        <f>"+91-"&amp;RIGHT("0000000000"&amp;INDEX(Raw_Customers!$D$2:$D$101,MATCH($B834,Raw_Customers!$A$2:$A$101,0)),10)</f>
        <v>+91-8915420519</v>
      </c>
      <c r="F834" s="7" t="str">
        <f>Raw_Orders!C834</f>
        <v>26</v>
      </c>
      <c r="G834" s="7" t="str">
        <f>INDEX(Raw_Products!$B$2:$B$71,MATCH($F834,Raw_Products!$A$2:$A$71,0))</f>
        <v>Aliquam Box</v>
      </c>
      <c r="H834" s="7" t="str">
        <f>INDEX(Raw_Products!$C$2:$C$71,MATCH($F834,Raw_Products!$A$2:$A$71,0))</f>
        <v>Colors</v>
      </c>
      <c r="I834" s="7">
        <f>VALUE(Raw_Orders!D834)</f>
        <v>3</v>
      </c>
      <c r="J834" s="11" t="str">
        <f>INDEX(Raw_Products!$D$2:$D$71,MATCH($F834,Raw_Products!$A$2:$A$71,0))</f>
        <v>289</v>
      </c>
      <c r="K834" s="11">
        <f t="shared" ref="K834:K897" si="26">I834*J834</f>
        <v>867</v>
      </c>
      <c r="L834" s="12">
        <f>DATE(VALUE(RIGHT(Raw_Orders!E834,4)),VALUE(MID(Raw_Orders!E834,4,2)),VALUE(LEFT(Raw_Orders!E834,2)))</f>
        <v>44990</v>
      </c>
      <c r="M834" s="12">
        <f>DATE(VALUE(RIGHT(Raw_Orders!G834,4)),VALUE(MID(Raw_Orders!G834,4,2)),VALUE(LEFT(Raw_Orders!G834,2)))</f>
        <v>44998</v>
      </c>
      <c r="N834" s="7">
        <f t="shared" ref="N834:N897" si="27">M834-L834</f>
        <v>8</v>
      </c>
      <c r="O834" s="7" t="str">
        <f>Raw_Orders!J834</f>
        <v>Holi</v>
      </c>
      <c r="P834" s="7" t="str">
        <f>Raw_Orders!I834</f>
        <v>Shahjahanpur</v>
      </c>
    </row>
    <row r="835" spans="1:16">
      <c r="A835" s="7" t="str">
        <f>Raw_Orders!A835</f>
        <v>834</v>
      </c>
      <c r="B835" s="7" t="str">
        <f>Raw_Orders!B835</f>
        <v>C029</v>
      </c>
      <c r="C835" s="7" t="str">
        <f>INDEX(Raw_Customers!$B$2:$B$101,MATCH($B835,Raw_Customers!$A$2:$A$101,0))</f>
        <v>Badal Sathe</v>
      </c>
      <c r="D835" s="7" t="str">
        <f>TRIM(INDEX(Raw_Customers!$C$2:$C$101,MATCH($B835,Raw_Customers!$A$2:$A$101,0)))</f>
        <v>Haridwar</v>
      </c>
      <c r="E835" s="7" t="str">
        <f>"+91-"&amp;RIGHT("0000000000"&amp;INDEX(Raw_Customers!$D$2:$D$101,MATCH($B835,Raw_Customers!$A$2:$A$101,0)),10)</f>
        <v>+91-2454360885</v>
      </c>
      <c r="F835" s="7" t="str">
        <f>Raw_Orders!C835</f>
        <v>60</v>
      </c>
      <c r="G835" s="7" t="str">
        <f>INDEX(Raw_Products!$B$2:$B$71,MATCH($F835,Raw_Products!$A$2:$A$71,0))</f>
        <v>Ea Set</v>
      </c>
      <c r="H835" s="7" t="str">
        <f>INDEX(Raw_Products!$C$2:$C$71,MATCH($F835,Raw_Products!$A$2:$A$71,0))</f>
        <v>Sweets</v>
      </c>
      <c r="I835" s="7">
        <f>VALUE(Raw_Orders!D835)</f>
        <v>5</v>
      </c>
      <c r="J835" s="11" t="str">
        <f>INDEX(Raw_Products!$D$2:$D$71,MATCH($F835,Raw_Products!$A$2:$A$71,0))</f>
        <v>827</v>
      </c>
      <c r="K835" s="11">
        <f t="shared" si="26"/>
        <v>4135</v>
      </c>
      <c r="L835" s="12">
        <f>DATE(VALUE(RIGHT(Raw_Orders!E835,4)),VALUE(MID(Raw_Orders!E835,4,2)),VALUE(LEFT(Raw_Orders!E835,2)))</f>
        <v>45233</v>
      </c>
      <c r="M835" s="12">
        <f>DATE(VALUE(RIGHT(Raw_Orders!G835,4)),VALUE(MID(Raw_Orders!G835,4,2)),VALUE(LEFT(Raw_Orders!G835,2)))</f>
        <v>45242</v>
      </c>
      <c r="N835" s="7">
        <f t="shared" si="27"/>
        <v>9</v>
      </c>
      <c r="O835" s="7" t="str">
        <f>Raw_Orders!J835</f>
        <v>Diwali</v>
      </c>
      <c r="P835" s="7" t="str">
        <f>Raw_Orders!I835</f>
        <v>Thrissur</v>
      </c>
    </row>
    <row r="836" spans="1:16">
      <c r="A836" s="7" t="str">
        <f>Raw_Orders!A836</f>
        <v>835</v>
      </c>
      <c r="B836" s="7" t="str">
        <f>Raw_Orders!B836</f>
        <v>C089</v>
      </c>
      <c r="C836" s="7" t="str">
        <f>INDEX(Raw_Customers!$B$2:$B$101,MATCH($B836,Raw_Customers!$A$2:$A$101,0))</f>
        <v>Oorja Dey</v>
      </c>
      <c r="D836" s="7" t="str">
        <f>TRIM(INDEX(Raw_Customers!$C$2:$C$101,MATCH($B836,Raw_Customers!$A$2:$A$101,0)))</f>
        <v>Nellore</v>
      </c>
      <c r="E836" s="7" t="str">
        <f>"+91-"&amp;RIGHT("0000000000"&amp;INDEX(Raw_Customers!$D$2:$D$101,MATCH($B836,Raw_Customers!$A$2:$A$101,0)),10)</f>
        <v>+91-7264144428</v>
      </c>
      <c r="F836" s="7" t="str">
        <f>Raw_Orders!C836</f>
        <v>32</v>
      </c>
      <c r="G836" s="7" t="str">
        <f>INDEX(Raw_Products!$B$2:$B$71,MATCH($F836,Raw_Products!$A$2:$A$71,0))</f>
        <v>Fuga Set</v>
      </c>
      <c r="H836" s="7" t="str">
        <f>INDEX(Raw_Products!$C$2:$C$71,MATCH($F836,Raw_Products!$A$2:$A$71,0))</f>
        <v>Soft Toys</v>
      </c>
      <c r="I836" s="7">
        <f>VALUE(Raw_Orders!D836)</f>
        <v>2</v>
      </c>
      <c r="J836" s="11" t="str">
        <f>INDEX(Raw_Products!$D$2:$D$71,MATCH($F836,Raw_Products!$A$2:$A$71,0))</f>
        <v>1792</v>
      </c>
      <c r="K836" s="11">
        <f t="shared" si="26"/>
        <v>3584</v>
      </c>
      <c r="L836" s="12">
        <f>DATE(VALUE(RIGHT(Raw_Orders!E836,4)),VALUE(MID(Raw_Orders!E836,4,2)),VALUE(LEFT(Raw_Orders!E836,2)))</f>
        <v>45112</v>
      </c>
      <c r="M836" s="12">
        <f>DATE(VALUE(RIGHT(Raw_Orders!G836,4)),VALUE(MID(Raw_Orders!G836,4,2)),VALUE(LEFT(Raw_Orders!G836,2)))</f>
        <v>45113</v>
      </c>
      <c r="N836" s="7">
        <f t="shared" si="27"/>
        <v>1</v>
      </c>
      <c r="O836" s="7" t="str">
        <f>Raw_Orders!J836</f>
        <v>Birthday</v>
      </c>
      <c r="P836" s="7" t="str">
        <f>Raw_Orders!I836</f>
        <v>Cuttack</v>
      </c>
    </row>
    <row r="837" spans="1:16">
      <c r="A837" s="7" t="str">
        <f>Raw_Orders!A837</f>
        <v>836</v>
      </c>
      <c r="B837" s="7" t="str">
        <f>Raw_Orders!B837</f>
        <v>C020</v>
      </c>
      <c r="C837" s="7" t="str">
        <f>INDEX(Raw_Customers!$B$2:$B$101,MATCH($B837,Raw_Customers!$A$2:$A$101,0))</f>
        <v>Samaira Ganesh</v>
      </c>
      <c r="D837" s="7" t="str">
        <f>TRIM(INDEX(Raw_Customers!$C$2:$C$101,MATCH($B837,Raw_Customers!$A$2:$A$101,0)))</f>
        <v>Machilipatnam</v>
      </c>
      <c r="E837" s="7" t="str">
        <f>"+91-"&amp;RIGHT("0000000000"&amp;INDEX(Raw_Customers!$D$2:$D$101,MATCH($B837,Raw_Customers!$A$2:$A$101,0)),10)</f>
        <v>+91-1731643700</v>
      </c>
      <c r="F837" s="7" t="str">
        <f>Raw_Orders!C837</f>
        <v>44</v>
      </c>
      <c r="G837" s="7" t="str">
        <f>INDEX(Raw_Products!$B$2:$B$71,MATCH($F837,Raw_Products!$A$2:$A$71,0))</f>
        <v>Dolorum Set</v>
      </c>
      <c r="H837" s="7" t="str">
        <f>INDEX(Raw_Products!$C$2:$C$71,MATCH($F837,Raw_Products!$A$2:$A$71,0))</f>
        <v>Plants</v>
      </c>
      <c r="I837" s="7">
        <f>VALUE(Raw_Orders!D837)</f>
        <v>5</v>
      </c>
      <c r="J837" s="11" t="str">
        <f>INDEX(Raw_Products!$D$2:$D$71,MATCH($F837,Raw_Products!$A$2:$A$71,0))</f>
        <v>794</v>
      </c>
      <c r="K837" s="11">
        <f t="shared" si="26"/>
        <v>3970</v>
      </c>
      <c r="L837" s="12">
        <f>DATE(VALUE(RIGHT(Raw_Orders!E837,4)),VALUE(MID(Raw_Orders!E837,4,2)),VALUE(LEFT(Raw_Orders!E837,2)))</f>
        <v>45238</v>
      </c>
      <c r="M837" s="12">
        <f>DATE(VALUE(RIGHT(Raw_Orders!G837,4)),VALUE(MID(Raw_Orders!G837,4,2)),VALUE(LEFT(Raw_Orders!G837,2)))</f>
        <v>45241</v>
      </c>
      <c r="N837" s="7">
        <f t="shared" si="27"/>
        <v>3</v>
      </c>
      <c r="O837" s="7" t="str">
        <f>Raw_Orders!J837</f>
        <v>Diwali</v>
      </c>
      <c r="P837" s="7" t="str">
        <f>Raw_Orders!I837</f>
        <v>Tumkur</v>
      </c>
    </row>
    <row r="838" spans="1:16">
      <c r="A838" s="7" t="str">
        <f>Raw_Orders!A838</f>
        <v>837</v>
      </c>
      <c r="B838" s="7" t="str">
        <f>Raw_Orders!B838</f>
        <v>C036</v>
      </c>
      <c r="C838" s="7" t="str">
        <f>INDEX(Raw_Customers!$B$2:$B$101,MATCH($B838,Raw_Customers!$A$2:$A$101,0))</f>
        <v>Biju Bajwa</v>
      </c>
      <c r="D838" s="7" t="str">
        <f>TRIM(INDEX(Raw_Customers!$C$2:$C$101,MATCH($B838,Raw_Customers!$A$2:$A$101,0)))</f>
        <v>Dibrugarh</v>
      </c>
      <c r="E838" s="7" t="str">
        <f>"+91-"&amp;RIGHT("0000000000"&amp;INDEX(Raw_Customers!$D$2:$D$101,MATCH($B838,Raw_Customers!$A$2:$A$101,0)),10)</f>
        <v>+91-8721850071</v>
      </c>
      <c r="F838" s="7" t="str">
        <f>Raw_Orders!C838</f>
        <v>14</v>
      </c>
      <c r="G838" s="7" t="str">
        <f>INDEX(Raw_Products!$B$2:$B$71,MATCH($F838,Raw_Products!$A$2:$A$71,0))</f>
        <v>Deserunt Box</v>
      </c>
      <c r="H838" s="7" t="str">
        <f>INDEX(Raw_Products!$C$2:$C$71,MATCH($F838,Raw_Products!$A$2:$A$71,0))</f>
        <v>Colors</v>
      </c>
      <c r="I838" s="7">
        <f>VALUE(Raw_Orders!D838)</f>
        <v>5</v>
      </c>
      <c r="J838" s="11" t="str">
        <f>INDEX(Raw_Products!$D$2:$D$71,MATCH($F838,Raw_Products!$A$2:$A$71,0))</f>
        <v>1915</v>
      </c>
      <c r="K838" s="11">
        <f t="shared" si="26"/>
        <v>9575</v>
      </c>
      <c r="L838" s="12">
        <f>DATE(VALUE(RIGHT(Raw_Orders!E838,4)),VALUE(MID(Raw_Orders!E838,4,2)),VALUE(LEFT(Raw_Orders!E838,2)))</f>
        <v>45279</v>
      </c>
      <c r="M838" s="12">
        <f>DATE(VALUE(RIGHT(Raw_Orders!G838,4)),VALUE(MID(Raw_Orders!G838,4,2)),VALUE(LEFT(Raw_Orders!G838,2)))</f>
        <v>45281</v>
      </c>
      <c r="N838" s="7">
        <f t="shared" si="27"/>
        <v>2</v>
      </c>
      <c r="O838" s="7" t="str">
        <f>Raw_Orders!J838</f>
        <v>Birthday</v>
      </c>
      <c r="P838" s="7" t="str">
        <f>Raw_Orders!I838</f>
        <v>Raebareli</v>
      </c>
    </row>
    <row r="839" spans="1:16">
      <c r="A839" s="7" t="str">
        <f>Raw_Orders!A839</f>
        <v>838</v>
      </c>
      <c r="B839" s="7" t="str">
        <f>Raw_Orders!B839</f>
        <v>C003</v>
      </c>
      <c r="C839" s="7" t="str">
        <f>INDEX(Raw_Customers!$B$2:$B$101,MATCH($B839,Raw_Customers!$A$2:$A$101,0))</f>
        <v>Jayesh Lanka</v>
      </c>
      <c r="D839" s="7" t="str">
        <f>TRIM(INDEX(Raw_Customers!$C$2:$C$101,MATCH($B839,Raw_Customers!$A$2:$A$101,0)))</f>
        <v>Bilaspur</v>
      </c>
      <c r="E839" s="7" t="str">
        <f>"+91-"&amp;RIGHT("0000000000"&amp;INDEX(Raw_Customers!$D$2:$D$101,MATCH($B839,Raw_Customers!$A$2:$A$101,0)),10)</f>
        <v>+91-7400208126</v>
      </c>
      <c r="F839" s="7" t="str">
        <f>Raw_Orders!C839</f>
        <v>19</v>
      </c>
      <c r="G839" s="7" t="str">
        <f>INDEX(Raw_Products!$B$2:$B$71,MATCH($F839,Raw_Products!$A$2:$A$71,0))</f>
        <v>Iure Gift</v>
      </c>
      <c r="H839" s="7" t="str">
        <f>INDEX(Raw_Products!$C$2:$C$71,MATCH($F839,Raw_Products!$A$2:$A$71,0))</f>
        <v>Mugs</v>
      </c>
      <c r="I839" s="7">
        <f>VALUE(Raw_Orders!D839)</f>
        <v>3</v>
      </c>
      <c r="J839" s="11" t="str">
        <f>INDEX(Raw_Products!$D$2:$D$71,MATCH($F839,Raw_Products!$A$2:$A$71,0))</f>
        <v>1234</v>
      </c>
      <c r="K839" s="11">
        <f t="shared" si="26"/>
        <v>3702</v>
      </c>
      <c r="L839" s="12">
        <f>DATE(VALUE(RIGHT(Raw_Orders!E839,4)),VALUE(MID(Raw_Orders!E839,4,2)),VALUE(LEFT(Raw_Orders!E839,2)))</f>
        <v>44966</v>
      </c>
      <c r="M839" s="12">
        <f>DATE(VALUE(RIGHT(Raw_Orders!G839,4)),VALUE(MID(Raw_Orders!G839,4,2)),VALUE(LEFT(Raw_Orders!G839,2)))</f>
        <v>44974</v>
      </c>
      <c r="N839" s="7">
        <f t="shared" si="27"/>
        <v>8</v>
      </c>
      <c r="O839" s="7" t="str">
        <f>Raw_Orders!J839</f>
        <v>Valentine's Day</v>
      </c>
      <c r="P839" s="7" t="str">
        <f>Raw_Orders!I839</f>
        <v>Sirsa</v>
      </c>
    </row>
    <row r="840" spans="1:16">
      <c r="A840" s="7" t="str">
        <f>Raw_Orders!A840</f>
        <v>839</v>
      </c>
      <c r="B840" s="7" t="str">
        <f>Raw_Orders!B840</f>
        <v>C072</v>
      </c>
      <c r="C840" s="7" t="str">
        <f>INDEX(Raw_Customers!$B$2:$B$101,MATCH($B840,Raw_Customers!$A$2:$A$101,0))</f>
        <v>Charvi Karnik</v>
      </c>
      <c r="D840" s="7" t="str">
        <f>TRIM(INDEX(Raw_Customers!$C$2:$C$101,MATCH($B840,Raw_Customers!$A$2:$A$101,0)))</f>
        <v>Hyderabad</v>
      </c>
      <c r="E840" s="7" t="str">
        <f>"+91-"&amp;RIGHT("0000000000"&amp;INDEX(Raw_Customers!$D$2:$D$101,MATCH($B840,Raw_Customers!$A$2:$A$101,0)),10)</f>
        <v>+91-7573085232</v>
      </c>
      <c r="F840" s="7" t="str">
        <f>Raw_Orders!C840</f>
        <v>51</v>
      </c>
      <c r="G840" s="7" t="str">
        <f>INDEX(Raw_Products!$B$2:$B$71,MATCH($F840,Raw_Products!$A$2:$A$71,0))</f>
        <v>Fugit Set</v>
      </c>
      <c r="H840" s="7" t="str">
        <f>INDEX(Raw_Products!$C$2:$C$71,MATCH($F840,Raw_Products!$A$2:$A$71,0))</f>
        <v>Soft Toys</v>
      </c>
      <c r="I840" s="7">
        <f>VALUE(Raw_Orders!D840)</f>
        <v>4</v>
      </c>
      <c r="J840" s="11" t="str">
        <f>INDEX(Raw_Products!$D$2:$D$71,MATCH($F840,Raw_Products!$A$2:$A$71,0))</f>
        <v>1084</v>
      </c>
      <c r="K840" s="11">
        <f t="shared" si="26"/>
        <v>4336</v>
      </c>
      <c r="L840" s="12">
        <f>DATE(VALUE(RIGHT(Raw_Orders!E840,4)),VALUE(MID(Raw_Orders!E840,4,2)),VALUE(LEFT(Raw_Orders!E840,2)))</f>
        <v>45232</v>
      </c>
      <c r="M840" s="12">
        <f>DATE(VALUE(RIGHT(Raw_Orders!G840,4)),VALUE(MID(Raw_Orders!G840,4,2)),VALUE(LEFT(Raw_Orders!G840,2)))</f>
        <v>45242</v>
      </c>
      <c r="N840" s="7">
        <f t="shared" si="27"/>
        <v>10</v>
      </c>
      <c r="O840" s="7" t="str">
        <f>Raw_Orders!J840</f>
        <v>All Occasions</v>
      </c>
      <c r="P840" s="7" t="str">
        <f>Raw_Orders!I840</f>
        <v>Udupi</v>
      </c>
    </row>
    <row r="841" spans="1:16">
      <c r="A841" s="7" t="str">
        <f>Raw_Orders!A841</f>
        <v>840</v>
      </c>
      <c r="B841" s="7" t="str">
        <f>Raw_Orders!B841</f>
        <v>C031</v>
      </c>
      <c r="C841" s="7" t="str">
        <f>INDEX(Raw_Customers!$B$2:$B$101,MATCH($B841,Raw_Customers!$A$2:$A$101,0))</f>
        <v>Madhup Wable</v>
      </c>
      <c r="D841" s="7" t="str">
        <f>TRIM(INDEX(Raw_Customers!$C$2:$C$101,MATCH($B841,Raw_Customers!$A$2:$A$101,0)))</f>
        <v>Sasaram</v>
      </c>
      <c r="E841" s="7" t="str">
        <f>"+91-"&amp;RIGHT("0000000000"&amp;INDEX(Raw_Customers!$D$2:$D$101,MATCH($B841,Raw_Customers!$A$2:$A$101,0)),10)</f>
        <v>+91-0135745753</v>
      </c>
      <c r="F841" s="7" t="str">
        <f>Raw_Orders!C841</f>
        <v>67</v>
      </c>
      <c r="G841" s="7" t="str">
        <f>INDEX(Raw_Products!$B$2:$B$71,MATCH($F841,Raw_Products!$A$2:$A$71,0))</f>
        <v>Maiores Box</v>
      </c>
      <c r="H841" s="7" t="str">
        <f>INDEX(Raw_Products!$C$2:$C$71,MATCH($F841,Raw_Products!$A$2:$A$71,0))</f>
        <v>Raksha Bandhan</v>
      </c>
      <c r="I841" s="7">
        <f>VALUE(Raw_Orders!D841)</f>
        <v>2</v>
      </c>
      <c r="J841" s="11" t="str">
        <f>INDEX(Raw_Products!$D$2:$D$71,MATCH($F841,Raw_Products!$A$2:$A$71,0))</f>
        <v>1374</v>
      </c>
      <c r="K841" s="11">
        <f t="shared" si="26"/>
        <v>2748</v>
      </c>
      <c r="L841" s="12">
        <f>DATE(VALUE(RIGHT(Raw_Orders!E841,4)),VALUE(MID(Raw_Orders!E841,4,2)),VALUE(LEFT(Raw_Orders!E841,2)))</f>
        <v>44939</v>
      </c>
      <c r="M841" s="12">
        <f>DATE(VALUE(RIGHT(Raw_Orders!G841,4)),VALUE(MID(Raw_Orders!G841,4,2)),VALUE(LEFT(Raw_Orders!G841,2)))</f>
        <v>44942</v>
      </c>
      <c r="N841" s="7">
        <f t="shared" si="27"/>
        <v>3</v>
      </c>
      <c r="O841" s="7" t="str">
        <f>Raw_Orders!J841</f>
        <v>Anniversary</v>
      </c>
      <c r="P841" s="7" t="str">
        <f>Raw_Orders!I841</f>
        <v>Tirunelveli</v>
      </c>
    </row>
    <row r="842" spans="1:16">
      <c r="A842" s="7" t="str">
        <f>Raw_Orders!A842</f>
        <v>841</v>
      </c>
      <c r="B842" s="7" t="str">
        <f>Raw_Orders!B842</f>
        <v>C041</v>
      </c>
      <c r="C842" s="7" t="str">
        <f>INDEX(Raw_Customers!$B$2:$B$101,MATCH($B842,Raw_Customers!$A$2:$A$101,0))</f>
        <v>Rati Dhingra</v>
      </c>
      <c r="D842" s="7" t="str">
        <f>TRIM(INDEX(Raw_Customers!$C$2:$C$101,MATCH($B842,Raw_Customers!$A$2:$A$101,0)))</f>
        <v>Karaikudi</v>
      </c>
      <c r="E842" s="7" t="str">
        <f>"+91-"&amp;RIGHT("0000000000"&amp;INDEX(Raw_Customers!$D$2:$D$101,MATCH($B842,Raw_Customers!$A$2:$A$101,0)),10)</f>
        <v>+91-0625408216</v>
      </c>
      <c r="F842" s="7" t="str">
        <f>Raw_Orders!C842</f>
        <v>26</v>
      </c>
      <c r="G842" s="7" t="str">
        <f>INDEX(Raw_Products!$B$2:$B$71,MATCH($F842,Raw_Products!$A$2:$A$71,0))</f>
        <v>Aliquam Box</v>
      </c>
      <c r="H842" s="7" t="str">
        <f>INDEX(Raw_Products!$C$2:$C$71,MATCH($F842,Raw_Products!$A$2:$A$71,0))</f>
        <v>Colors</v>
      </c>
      <c r="I842" s="7">
        <f>VALUE(Raw_Orders!D842)</f>
        <v>5</v>
      </c>
      <c r="J842" s="11" t="str">
        <f>INDEX(Raw_Products!$D$2:$D$71,MATCH($F842,Raw_Products!$A$2:$A$71,0))</f>
        <v>289</v>
      </c>
      <c r="K842" s="11">
        <f t="shared" si="26"/>
        <v>1445</v>
      </c>
      <c r="L842" s="12">
        <f>DATE(VALUE(RIGHT(Raw_Orders!E842,4)),VALUE(MID(Raw_Orders!E842,4,2)),VALUE(LEFT(Raw_Orders!E842,2)))</f>
        <v>44992</v>
      </c>
      <c r="M842" s="12">
        <f>DATE(VALUE(RIGHT(Raw_Orders!G842,4)),VALUE(MID(Raw_Orders!G842,4,2)),VALUE(LEFT(Raw_Orders!G842,2)))</f>
        <v>44997</v>
      </c>
      <c r="N842" s="7">
        <f t="shared" si="27"/>
        <v>5</v>
      </c>
      <c r="O842" s="7" t="str">
        <f>Raw_Orders!J842</f>
        <v>Holi</v>
      </c>
      <c r="P842" s="7" t="str">
        <f>Raw_Orders!I842</f>
        <v>Bhalswa Jahangir Pur</v>
      </c>
    </row>
    <row r="843" spans="1:16">
      <c r="A843" s="7" t="str">
        <f>Raw_Orders!A843</f>
        <v>842</v>
      </c>
      <c r="B843" s="7" t="str">
        <f>Raw_Orders!B843</f>
        <v>C085</v>
      </c>
      <c r="C843" s="7" t="str">
        <f>INDEX(Raw_Customers!$B$2:$B$101,MATCH($B843,Raw_Customers!$A$2:$A$101,0))</f>
        <v>Bhamini Johal</v>
      </c>
      <c r="D843" s="7" t="str">
        <f>TRIM(INDEX(Raw_Customers!$C$2:$C$101,MATCH($B843,Raw_Customers!$A$2:$A$101,0)))</f>
        <v>Raipur</v>
      </c>
      <c r="E843" s="7" t="str">
        <f>"+91-"&amp;RIGHT("0000000000"&amp;INDEX(Raw_Customers!$D$2:$D$101,MATCH($B843,Raw_Customers!$A$2:$A$101,0)),10)</f>
        <v>+91-3129106402</v>
      </c>
      <c r="F843" s="7" t="str">
        <f>Raw_Orders!C843</f>
        <v>46</v>
      </c>
      <c r="G843" s="7" t="str">
        <f>INDEX(Raw_Products!$B$2:$B$71,MATCH($F843,Raw_Products!$A$2:$A$71,0))</f>
        <v>Pariatur Set</v>
      </c>
      <c r="H843" s="7" t="str">
        <f>INDEX(Raw_Products!$C$2:$C$71,MATCH($F843,Raw_Products!$A$2:$A$71,0))</f>
        <v>Cake</v>
      </c>
      <c r="I843" s="7">
        <f>VALUE(Raw_Orders!D843)</f>
        <v>2</v>
      </c>
      <c r="J843" s="11" t="str">
        <f>INDEX(Raw_Products!$D$2:$D$71,MATCH($F843,Raw_Products!$A$2:$A$71,0))</f>
        <v>758</v>
      </c>
      <c r="K843" s="11">
        <f t="shared" si="26"/>
        <v>1516</v>
      </c>
      <c r="L843" s="12">
        <f>DATE(VALUE(RIGHT(Raw_Orders!E843,4)),VALUE(MID(Raw_Orders!E843,4,2)),VALUE(LEFT(Raw_Orders!E843,2)))</f>
        <v>45289</v>
      </c>
      <c r="M843" s="12">
        <f>DATE(VALUE(RIGHT(Raw_Orders!G843,4)),VALUE(MID(Raw_Orders!G843,4,2)),VALUE(LEFT(Raw_Orders!G843,2)))</f>
        <v>45292</v>
      </c>
      <c r="N843" s="7">
        <f t="shared" si="27"/>
        <v>3</v>
      </c>
      <c r="O843" s="7" t="str">
        <f>Raw_Orders!J843</f>
        <v>Anniversary</v>
      </c>
      <c r="P843" s="7" t="str">
        <f>Raw_Orders!I843</f>
        <v>Kulti</v>
      </c>
    </row>
    <row r="844" spans="1:16">
      <c r="A844" s="7" t="str">
        <f>Raw_Orders!A844</f>
        <v>843</v>
      </c>
      <c r="B844" s="7" t="str">
        <f>Raw_Orders!B844</f>
        <v>C007</v>
      </c>
      <c r="C844" s="7" t="str">
        <f>INDEX(Raw_Customers!$B$2:$B$101,MATCH($B844,Raw_Customers!$A$2:$A$101,0))</f>
        <v>Jayant Kamdar</v>
      </c>
      <c r="D844" s="7" t="str">
        <f>TRIM(INDEX(Raw_Customers!$C$2:$C$101,MATCH($B844,Raw_Customers!$A$2:$A$101,0)))</f>
        <v>Berhampore</v>
      </c>
      <c r="E844" s="7" t="str">
        <f>"+91-"&amp;RIGHT("0000000000"&amp;INDEX(Raw_Customers!$D$2:$D$101,MATCH($B844,Raw_Customers!$A$2:$A$101,0)),10)</f>
        <v>+91-8576675504</v>
      </c>
      <c r="F844" s="7" t="str">
        <f>Raw_Orders!C844</f>
        <v>68</v>
      </c>
      <c r="G844" s="7" t="str">
        <f>INDEX(Raw_Products!$B$2:$B$71,MATCH($F844,Raw_Products!$A$2:$A$71,0))</f>
        <v>Quas Gift</v>
      </c>
      <c r="H844" s="7" t="str">
        <f>INDEX(Raw_Products!$C$2:$C$71,MATCH($F844,Raw_Products!$A$2:$A$71,0))</f>
        <v>Soft Toys</v>
      </c>
      <c r="I844" s="7">
        <f>VALUE(Raw_Orders!D844)</f>
        <v>1</v>
      </c>
      <c r="J844" s="11" t="str">
        <f>INDEX(Raw_Products!$D$2:$D$71,MATCH($F844,Raw_Products!$A$2:$A$71,0))</f>
        <v>597</v>
      </c>
      <c r="K844" s="11">
        <f t="shared" si="26"/>
        <v>597</v>
      </c>
      <c r="L844" s="12">
        <f>DATE(VALUE(RIGHT(Raw_Orders!E844,4)),VALUE(MID(Raw_Orders!E844,4,2)),VALUE(LEFT(Raw_Orders!E844,2)))</f>
        <v>44968</v>
      </c>
      <c r="M844" s="12">
        <f>DATE(VALUE(RIGHT(Raw_Orders!G844,4)),VALUE(MID(Raw_Orders!G844,4,2)),VALUE(LEFT(Raw_Orders!G844,2)))</f>
        <v>44969</v>
      </c>
      <c r="N844" s="7">
        <f t="shared" si="27"/>
        <v>1</v>
      </c>
      <c r="O844" s="7" t="str">
        <f>Raw_Orders!J844</f>
        <v>Valentine's Day</v>
      </c>
      <c r="P844" s="7" t="str">
        <f>Raw_Orders!I844</f>
        <v>Bikaner</v>
      </c>
    </row>
    <row r="845" spans="1:16">
      <c r="A845" s="7" t="str">
        <f>Raw_Orders!A845</f>
        <v>844</v>
      </c>
      <c r="B845" s="7" t="str">
        <f>Raw_Orders!B845</f>
        <v>C067</v>
      </c>
      <c r="C845" s="7" t="str">
        <f>INDEX(Raw_Customers!$B$2:$B$101,MATCH($B845,Raw_Customers!$A$2:$A$101,0))</f>
        <v>Eva Sankaran</v>
      </c>
      <c r="D845" s="7" t="str">
        <f>TRIM(INDEX(Raw_Customers!$C$2:$C$101,MATCH($B845,Raw_Customers!$A$2:$A$101,0)))</f>
        <v>Anand</v>
      </c>
      <c r="E845" s="7" t="str">
        <f>"+91-"&amp;RIGHT("0000000000"&amp;INDEX(Raw_Customers!$D$2:$D$101,MATCH($B845,Raw_Customers!$A$2:$A$101,0)),10)</f>
        <v>+91-0407409251</v>
      </c>
      <c r="F845" s="7" t="str">
        <f>Raw_Orders!C845</f>
        <v>51</v>
      </c>
      <c r="G845" s="7" t="str">
        <f>INDEX(Raw_Products!$B$2:$B$71,MATCH($F845,Raw_Products!$A$2:$A$71,0))</f>
        <v>Fugit Set</v>
      </c>
      <c r="H845" s="7" t="str">
        <f>INDEX(Raw_Products!$C$2:$C$71,MATCH($F845,Raw_Products!$A$2:$A$71,0))</f>
        <v>Soft Toys</v>
      </c>
      <c r="I845" s="7">
        <f>VALUE(Raw_Orders!D845)</f>
        <v>1</v>
      </c>
      <c r="J845" s="11" t="str">
        <f>INDEX(Raw_Products!$D$2:$D$71,MATCH($F845,Raw_Products!$A$2:$A$71,0))</f>
        <v>1084</v>
      </c>
      <c r="K845" s="11">
        <f t="shared" si="26"/>
        <v>1084</v>
      </c>
      <c r="L845" s="12">
        <f>DATE(VALUE(RIGHT(Raw_Orders!E845,4)),VALUE(MID(Raw_Orders!E845,4,2)),VALUE(LEFT(Raw_Orders!E845,2)))</f>
        <v>45208</v>
      </c>
      <c r="M845" s="12">
        <f>DATE(VALUE(RIGHT(Raw_Orders!G845,4)),VALUE(MID(Raw_Orders!G845,4,2)),VALUE(LEFT(Raw_Orders!G845,2)))</f>
        <v>45209</v>
      </c>
      <c r="N845" s="7">
        <f t="shared" si="27"/>
        <v>1</v>
      </c>
      <c r="O845" s="7" t="str">
        <f>Raw_Orders!J845</f>
        <v>All Occasions</v>
      </c>
      <c r="P845" s="7" t="str">
        <f>Raw_Orders!I845</f>
        <v>Satara</v>
      </c>
    </row>
    <row r="846" spans="1:16">
      <c r="A846" s="7" t="str">
        <f>Raw_Orders!A846</f>
        <v>845</v>
      </c>
      <c r="B846" s="7" t="str">
        <f>Raw_Orders!B846</f>
        <v>C032</v>
      </c>
      <c r="C846" s="7" t="str">
        <f>INDEX(Raw_Customers!$B$2:$B$101,MATCH($B846,Raw_Customers!$A$2:$A$101,0))</f>
        <v>Mannat Anand</v>
      </c>
      <c r="D846" s="7" t="str">
        <f>TRIM(INDEX(Raw_Customers!$C$2:$C$101,MATCH($B846,Raw_Customers!$A$2:$A$101,0)))</f>
        <v>Surat</v>
      </c>
      <c r="E846" s="7" t="str">
        <f>"+91-"&amp;RIGHT("0000000000"&amp;INDEX(Raw_Customers!$D$2:$D$101,MATCH($B846,Raw_Customers!$A$2:$A$101,0)),10)</f>
        <v>+91-1611365500</v>
      </c>
      <c r="F846" s="7" t="str">
        <f>Raw_Orders!C846</f>
        <v>57</v>
      </c>
      <c r="G846" s="7" t="str">
        <f>INDEX(Raw_Products!$B$2:$B$71,MATCH($F846,Raw_Products!$A$2:$A$71,0))</f>
        <v>Voluptatem Box</v>
      </c>
      <c r="H846" s="7" t="str">
        <f>INDEX(Raw_Products!$C$2:$C$71,MATCH($F846,Raw_Products!$A$2:$A$71,0))</f>
        <v>Colors</v>
      </c>
      <c r="I846" s="7">
        <f>VALUE(Raw_Orders!D846)</f>
        <v>5</v>
      </c>
      <c r="J846" s="11" t="str">
        <f>INDEX(Raw_Products!$D$2:$D$71,MATCH($F846,Raw_Products!$A$2:$A$71,0))</f>
        <v>1582</v>
      </c>
      <c r="K846" s="11">
        <f t="shared" si="26"/>
        <v>7910</v>
      </c>
      <c r="L846" s="12">
        <f>DATE(VALUE(RIGHT(Raw_Orders!E846,4)),VALUE(MID(Raw_Orders!E846,4,2)),VALUE(LEFT(Raw_Orders!E846,2)))</f>
        <v>45216</v>
      </c>
      <c r="M846" s="12">
        <f>DATE(VALUE(RIGHT(Raw_Orders!G846,4)),VALUE(MID(Raw_Orders!G846,4,2)),VALUE(LEFT(Raw_Orders!G846,2)))</f>
        <v>45224</v>
      </c>
      <c r="N846" s="7">
        <f t="shared" si="27"/>
        <v>8</v>
      </c>
      <c r="O846" s="7" t="str">
        <f>Raw_Orders!J846</f>
        <v>Birthday</v>
      </c>
      <c r="P846" s="7" t="str">
        <f>Raw_Orders!I846</f>
        <v>Hospet</v>
      </c>
    </row>
    <row r="847" spans="1:16">
      <c r="A847" s="7" t="str">
        <f>Raw_Orders!A847</f>
        <v>846</v>
      </c>
      <c r="B847" s="7" t="str">
        <f>Raw_Orders!B847</f>
        <v>C069</v>
      </c>
      <c r="C847" s="7" t="str">
        <f>INDEX(Raw_Customers!$B$2:$B$101,MATCH($B847,Raw_Customers!$A$2:$A$101,0))</f>
        <v>Hunar Tripathi</v>
      </c>
      <c r="D847" s="7" t="str">
        <f>TRIM(INDEX(Raw_Customers!$C$2:$C$101,MATCH($B847,Raw_Customers!$A$2:$A$101,0)))</f>
        <v>Madhyamgram</v>
      </c>
      <c r="E847" s="7" t="str">
        <f>"+91-"&amp;RIGHT("0000000000"&amp;INDEX(Raw_Customers!$D$2:$D$101,MATCH($B847,Raw_Customers!$A$2:$A$101,0)),10)</f>
        <v>+91-1440411271</v>
      </c>
      <c r="F847" s="7" t="str">
        <f>Raw_Orders!C847</f>
        <v>15</v>
      </c>
      <c r="G847" s="7" t="str">
        <f>INDEX(Raw_Products!$B$2:$B$71,MATCH($F847,Raw_Products!$A$2:$A$71,0))</f>
        <v>Repudiandae Box</v>
      </c>
      <c r="H847" s="7" t="str">
        <f>INDEX(Raw_Products!$C$2:$C$71,MATCH($F847,Raw_Products!$A$2:$A$71,0))</f>
        <v>Raksha Bandhan</v>
      </c>
      <c r="I847" s="7">
        <f>VALUE(Raw_Orders!D847)</f>
        <v>4</v>
      </c>
      <c r="J847" s="11" t="str">
        <f>INDEX(Raw_Products!$D$2:$D$71,MATCH($F847,Raw_Products!$A$2:$A$71,0))</f>
        <v>1488</v>
      </c>
      <c r="K847" s="11">
        <f t="shared" si="26"/>
        <v>5952</v>
      </c>
      <c r="L847" s="12">
        <f>DATE(VALUE(RIGHT(Raw_Orders!E847,4)),VALUE(MID(Raw_Orders!E847,4,2)),VALUE(LEFT(Raw_Orders!E847,2)))</f>
        <v>45258</v>
      </c>
      <c r="M847" s="12">
        <f>DATE(VALUE(RIGHT(Raw_Orders!G847,4)),VALUE(MID(Raw_Orders!G847,4,2)),VALUE(LEFT(Raw_Orders!G847,2)))</f>
        <v>45262</v>
      </c>
      <c r="N847" s="7">
        <f t="shared" si="27"/>
        <v>4</v>
      </c>
      <c r="O847" s="7" t="str">
        <f>Raw_Orders!J847</f>
        <v>Anniversary</v>
      </c>
      <c r="P847" s="7" t="str">
        <f>Raw_Orders!I847</f>
        <v>Bhalswa Jahangir Pur</v>
      </c>
    </row>
    <row r="848" spans="1:16">
      <c r="A848" s="7" t="str">
        <f>Raw_Orders!A848</f>
        <v>847</v>
      </c>
      <c r="B848" s="7" t="str">
        <f>Raw_Orders!B848</f>
        <v>C009</v>
      </c>
      <c r="C848" s="7" t="str">
        <f>INDEX(Raw_Customers!$B$2:$B$101,MATCH($B848,Raw_Customers!$A$2:$A$101,0))</f>
        <v>Ritvik Borah</v>
      </c>
      <c r="D848" s="7" t="str">
        <f>TRIM(INDEX(Raw_Customers!$C$2:$C$101,MATCH($B848,Raw_Customers!$A$2:$A$101,0)))</f>
        <v>Madurai</v>
      </c>
      <c r="E848" s="7" t="str">
        <f>"+91-"&amp;RIGHT("0000000000"&amp;INDEX(Raw_Customers!$D$2:$D$101,MATCH($B848,Raw_Customers!$A$2:$A$101,0)),10)</f>
        <v>+91-1336765676</v>
      </c>
      <c r="F848" s="7" t="str">
        <f>Raw_Orders!C848</f>
        <v>44</v>
      </c>
      <c r="G848" s="7" t="str">
        <f>INDEX(Raw_Products!$B$2:$B$71,MATCH($F848,Raw_Products!$A$2:$A$71,0))</f>
        <v>Dolorum Set</v>
      </c>
      <c r="H848" s="7" t="str">
        <f>INDEX(Raw_Products!$C$2:$C$71,MATCH($F848,Raw_Products!$A$2:$A$71,0))</f>
        <v>Plants</v>
      </c>
      <c r="I848" s="7">
        <f>VALUE(Raw_Orders!D848)</f>
        <v>4</v>
      </c>
      <c r="J848" s="11" t="str">
        <f>INDEX(Raw_Products!$D$2:$D$71,MATCH($F848,Raw_Products!$A$2:$A$71,0))</f>
        <v>794</v>
      </c>
      <c r="K848" s="11">
        <f t="shared" si="26"/>
        <v>3176</v>
      </c>
      <c r="L848" s="12">
        <f>DATE(VALUE(RIGHT(Raw_Orders!E848,4)),VALUE(MID(Raw_Orders!E848,4,2)),VALUE(LEFT(Raw_Orders!E848,2)))</f>
        <v>45237</v>
      </c>
      <c r="M848" s="12">
        <f>DATE(VALUE(RIGHT(Raw_Orders!G848,4)),VALUE(MID(Raw_Orders!G848,4,2)),VALUE(LEFT(Raw_Orders!G848,2)))</f>
        <v>45242</v>
      </c>
      <c r="N848" s="7">
        <f t="shared" si="27"/>
        <v>5</v>
      </c>
      <c r="O848" s="7" t="str">
        <f>Raw_Orders!J848</f>
        <v>Diwali</v>
      </c>
      <c r="P848" s="7" t="str">
        <f>Raw_Orders!I848</f>
        <v>Bareilly</v>
      </c>
    </row>
    <row r="849" spans="1:16">
      <c r="A849" s="7" t="str">
        <f>Raw_Orders!A849</f>
        <v>848</v>
      </c>
      <c r="B849" s="7" t="str">
        <f>Raw_Orders!B849</f>
        <v>C005</v>
      </c>
      <c r="C849" s="7" t="str">
        <f>INDEX(Raw_Customers!$B$2:$B$101,MATCH($B849,Raw_Customers!$A$2:$A$101,0))</f>
        <v>Hiran Kaul</v>
      </c>
      <c r="D849" s="7" t="str">
        <f>TRIM(INDEX(Raw_Customers!$C$2:$C$101,MATCH($B849,Raw_Customers!$A$2:$A$101,0)))</f>
        <v>Kottayam</v>
      </c>
      <c r="E849" s="7" t="str">
        <f>"+91-"&amp;RIGHT("0000000000"&amp;INDEX(Raw_Customers!$D$2:$D$101,MATCH($B849,Raw_Customers!$A$2:$A$101,0)),10)</f>
        <v>+91-2207644242</v>
      </c>
      <c r="F849" s="7" t="str">
        <f>Raw_Orders!C849</f>
        <v>6</v>
      </c>
      <c r="G849" s="7" t="str">
        <f>INDEX(Raw_Products!$B$2:$B$71,MATCH($F849,Raw_Products!$A$2:$A$71,0))</f>
        <v>Quos Box</v>
      </c>
      <c r="H849" s="7" t="str">
        <f>INDEX(Raw_Products!$C$2:$C$71,MATCH($F849,Raw_Products!$A$2:$A$71,0))</f>
        <v>Cake</v>
      </c>
      <c r="I849" s="7">
        <f>VALUE(Raw_Orders!D849)</f>
        <v>1</v>
      </c>
      <c r="J849" s="11" t="str">
        <f>INDEX(Raw_Products!$D$2:$D$71,MATCH($F849,Raw_Products!$A$2:$A$71,0))</f>
        <v>1112</v>
      </c>
      <c r="K849" s="11">
        <f t="shared" si="26"/>
        <v>1112</v>
      </c>
      <c r="L849" s="12">
        <f>DATE(VALUE(RIGHT(Raw_Orders!E849,4)),VALUE(MID(Raw_Orders!E849,4,2)),VALUE(LEFT(Raw_Orders!E849,2)))</f>
        <v>44991</v>
      </c>
      <c r="M849" s="12">
        <f>DATE(VALUE(RIGHT(Raw_Orders!G849,4)),VALUE(MID(Raw_Orders!G849,4,2)),VALUE(LEFT(Raw_Orders!G849,2)))</f>
        <v>44995</v>
      </c>
      <c r="N849" s="7">
        <f t="shared" si="27"/>
        <v>4</v>
      </c>
      <c r="O849" s="7" t="str">
        <f>Raw_Orders!J849</f>
        <v>Holi</v>
      </c>
      <c r="P849" s="7" t="str">
        <f>Raw_Orders!I849</f>
        <v>Shimla</v>
      </c>
    </row>
    <row r="850" spans="1:16">
      <c r="A850" s="7" t="str">
        <f>Raw_Orders!A850</f>
        <v>849</v>
      </c>
      <c r="B850" s="7" t="str">
        <f>Raw_Orders!B850</f>
        <v>C013</v>
      </c>
      <c r="C850" s="7" t="str">
        <f>INDEX(Raw_Customers!$B$2:$B$101,MATCH($B850,Raw_Customers!$A$2:$A$101,0))</f>
        <v>Manikya Goswami</v>
      </c>
      <c r="D850" s="7" t="str">
        <f>TRIM(INDEX(Raw_Customers!$C$2:$C$101,MATCH($B850,Raw_Customers!$A$2:$A$101,0)))</f>
        <v>Mangalore</v>
      </c>
      <c r="E850" s="7" t="str">
        <f>"+91-"&amp;RIGHT("0000000000"&amp;INDEX(Raw_Customers!$D$2:$D$101,MATCH($B850,Raw_Customers!$A$2:$A$101,0)),10)</f>
        <v>+91-2112817503</v>
      </c>
      <c r="F850" s="7" t="str">
        <f>Raw_Orders!C850</f>
        <v>57</v>
      </c>
      <c r="G850" s="7" t="str">
        <f>INDEX(Raw_Products!$B$2:$B$71,MATCH($F850,Raw_Products!$A$2:$A$71,0))</f>
        <v>Voluptatem Box</v>
      </c>
      <c r="H850" s="7" t="str">
        <f>INDEX(Raw_Products!$C$2:$C$71,MATCH($F850,Raw_Products!$A$2:$A$71,0))</f>
        <v>Colors</v>
      </c>
      <c r="I850" s="7">
        <f>VALUE(Raw_Orders!D850)</f>
        <v>1</v>
      </c>
      <c r="J850" s="11" t="str">
        <f>INDEX(Raw_Products!$D$2:$D$71,MATCH($F850,Raw_Products!$A$2:$A$71,0))</f>
        <v>1582</v>
      </c>
      <c r="K850" s="11">
        <f t="shared" si="26"/>
        <v>1582</v>
      </c>
      <c r="L850" s="12">
        <f>DATE(VALUE(RIGHT(Raw_Orders!E850,4)),VALUE(MID(Raw_Orders!E850,4,2)),VALUE(LEFT(Raw_Orders!E850,2)))</f>
        <v>44997</v>
      </c>
      <c r="M850" s="12">
        <f>DATE(VALUE(RIGHT(Raw_Orders!G850,4)),VALUE(MID(Raw_Orders!G850,4,2)),VALUE(LEFT(Raw_Orders!G850,2)))</f>
        <v>44999</v>
      </c>
      <c r="N850" s="7">
        <f t="shared" si="27"/>
        <v>2</v>
      </c>
      <c r="O850" s="7" t="str">
        <f>Raw_Orders!J850</f>
        <v>Birthday</v>
      </c>
      <c r="P850" s="7" t="str">
        <f>Raw_Orders!I850</f>
        <v>Panipat</v>
      </c>
    </row>
    <row r="851" spans="1:16">
      <c r="A851" s="7" t="str">
        <f>Raw_Orders!A851</f>
        <v>850</v>
      </c>
      <c r="B851" s="7" t="str">
        <f>Raw_Orders!B851</f>
        <v>C092</v>
      </c>
      <c r="C851" s="7" t="str">
        <f>INDEX(Raw_Customers!$B$2:$B$101,MATCH($B851,Raw_Customers!$A$2:$A$101,0))</f>
        <v>Zoya Mani</v>
      </c>
      <c r="D851" s="7" t="str">
        <f>TRIM(INDEX(Raw_Customers!$C$2:$C$101,MATCH($B851,Raw_Customers!$A$2:$A$101,0)))</f>
        <v>Dibrugarh</v>
      </c>
      <c r="E851" s="7" t="str">
        <f>"+91-"&amp;RIGHT("0000000000"&amp;INDEX(Raw_Customers!$D$2:$D$101,MATCH($B851,Raw_Customers!$A$2:$A$101,0)),10)</f>
        <v>+91-8918356963</v>
      </c>
      <c r="F851" s="7" t="str">
        <f>Raw_Orders!C851</f>
        <v>21</v>
      </c>
      <c r="G851" s="7" t="str">
        <f>INDEX(Raw_Products!$B$2:$B$71,MATCH($F851,Raw_Products!$A$2:$A$71,0))</f>
        <v>Quia Gift</v>
      </c>
      <c r="H851" s="7" t="str">
        <f>INDEX(Raw_Products!$C$2:$C$71,MATCH($F851,Raw_Products!$A$2:$A$71,0))</f>
        <v>Colors</v>
      </c>
      <c r="I851" s="7">
        <f>VALUE(Raw_Orders!D851)</f>
        <v>4</v>
      </c>
      <c r="J851" s="11" t="str">
        <f>INDEX(Raw_Products!$D$2:$D$71,MATCH($F851,Raw_Products!$A$2:$A$71,0))</f>
        <v>1561</v>
      </c>
      <c r="K851" s="11">
        <f t="shared" si="26"/>
        <v>6244</v>
      </c>
      <c r="L851" s="12">
        <f>DATE(VALUE(RIGHT(Raw_Orders!E851,4)),VALUE(MID(Raw_Orders!E851,4,2)),VALUE(LEFT(Raw_Orders!E851,2)))</f>
        <v>45161</v>
      </c>
      <c r="M851" s="12">
        <f>DATE(VALUE(RIGHT(Raw_Orders!G851,4)),VALUE(MID(Raw_Orders!G851,4,2)),VALUE(LEFT(Raw_Orders!G851,2)))</f>
        <v>45163</v>
      </c>
      <c r="N851" s="7">
        <f t="shared" si="27"/>
        <v>2</v>
      </c>
      <c r="O851" s="7" t="str">
        <f>Raw_Orders!J851</f>
        <v>Raksha Bandhan</v>
      </c>
      <c r="P851" s="7" t="str">
        <f>Raw_Orders!I851</f>
        <v>Darbhanga</v>
      </c>
    </row>
    <row r="852" spans="1:16">
      <c r="A852" s="7" t="str">
        <f>Raw_Orders!A852</f>
        <v>851</v>
      </c>
      <c r="B852" s="7" t="str">
        <f>Raw_Orders!B852</f>
        <v>C030</v>
      </c>
      <c r="C852" s="7" t="str">
        <f>INDEX(Raw_Customers!$B$2:$B$101,MATCH($B852,Raw_Customers!$A$2:$A$101,0))</f>
        <v>Vardaniya Contractor</v>
      </c>
      <c r="D852" s="7" t="str">
        <f>TRIM(INDEX(Raw_Customers!$C$2:$C$101,MATCH($B852,Raw_Customers!$A$2:$A$101,0)))</f>
        <v>Sambhal</v>
      </c>
      <c r="E852" s="7" t="str">
        <f>"+91-"&amp;RIGHT("0000000000"&amp;INDEX(Raw_Customers!$D$2:$D$101,MATCH($B852,Raw_Customers!$A$2:$A$101,0)),10)</f>
        <v>+91-9972300876</v>
      </c>
      <c r="F852" s="7" t="str">
        <f>Raw_Orders!C852</f>
        <v>13</v>
      </c>
      <c r="G852" s="7" t="str">
        <f>INDEX(Raw_Products!$B$2:$B$71,MATCH($F852,Raw_Products!$A$2:$A$71,0))</f>
        <v>Et Set</v>
      </c>
      <c r="H852" s="7" t="str">
        <f>INDEX(Raw_Products!$C$2:$C$71,MATCH($F852,Raw_Products!$A$2:$A$71,0))</f>
        <v>Mugs</v>
      </c>
      <c r="I852" s="7">
        <f>VALUE(Raw_Orders!D852)</f>
        <v>3</v>
      </c>
      <c r="J852" s="11" t="str">
        <f>INDEX(Raw_Products!$D$2:$D$71,MATCH($F852,Raw_Products!$A$2:$A$71,0))</f>
        <v>1141</v>
      </c>
      <c r="K852" s="11">
        <f t="shared" si="26"/>
        <v>3423</v>
      </c>
      <c r="L852" s="12">
        <f>DATE(VALUE(RIGHT(Raw_Orders!E852,4)),VALUE(MID(Raw_Orders!E852,4,2)),VALUE(LEFT(Raw_Orders!E852,2)))</f>
        <v>44991</v>
      </c>
      <c r="M852" s="12">
        <f>DATE(VALUE(RIGHT(Raw_Orders!G852,4)),VALUE(MID(Raw_Orders!G852,4,2)),VALUE(LEFT(Raw_Orders!G852,2)))</f>
        <v>44995</v>
      </c>
      <c r="N852" s="7">
        <f t="shared" si="27"/>
        <v>4</v>
      </c>
      <c r="O852" s="7" t="str">
        <f>Raw_Orders!J852</f>
        <v>Holi</v>
      </c>
      <c r="P852" s="7" t="str">
        <f>Raw_Orders!I852</f>
        <v>Singrauli</v>
      </c>
    </row>
    <row r="853" spans="1:16">
      <c r="A853" s="7" t="str">
        <f>Raw_Orders!A853</f>
        <v>852</v>
      </c>
      <c r="B853" s="7" t="str">
        <f>Raw_Orders!B853</f>
        <v>C035</v>
      </c>
      <c r="C853" s="7" t="str">
        <f>INDEX(Raw_Customers!$B$2:$B$101,MATCH($B853,Raw_Customers!$A$2:$A$101,0))</f>
        <v>Ira Sarna</v>
      </c>
      <c r="D853" s="7" t="str">
        <f>TRIM(INDEX(Raw_Customers!$C$2:$C$101,MATCH($B853,Raw_Customers!$A$2:$A$101,0)))</f>
        <v>Vellore</v>
      </c>
      <c r="E853" s="7" t="str">
        <f>"+91-"&amp;RIGHT("0000000000"&amp;INDEX(Raw_Customers!$D$2:$D$101,MATCH($B853,Raw_Customers!$A$2:$A$101,0)),10)</f>
        <v>+91-6899648374</v>
      </c>
      <c r="F853" s="7" t="str">
        <f>Raw_Orders!C853</f>
        <v>44</v>
      </c>
      <c r="G853" s="7" t="str">
        <f>INDEX(Raw_Products!$B$2:$B$71,MATCH($F853,Raw_Products!$A$2:$A$71,0))</f>
        <v>Dolorum Set</v>
      </c>
      <c r="H853" s="7" t="str">
        <f>INDEX(Raw_Products!$C$2:$C$71,MATCH($F853,Raw_Products!$A$2:$A$71,0))</f>
        <v>Plants</v>
      </c>
      <c r="I853" s="7">
        <f>VALUE(Raw_Orders!D853)</f>
        <v>2</v>
      </c>
      <c r="J853" s="11" t="str">
        <f>INDEX(Raw_Products!$D$2:$D$71,MATCH($F853,Raw_Products!$A$2:$A$71,0))</f>
        <v>794</v>
      </c>
      <c r="K853" s="11">
        <f t="shared" si="26"/>
        <v>1588</v>
      </c>
      <c r="L853" s="12">
        <f>DATE(VALUE(RIGHT(Raw_Orders!E853,4)),VALUE(MID(Raw_Orders!E853,4,2)),VALUE(LEFT(Raw_Orders!E853,2)))</f>
        <v>45241</v>
      </c>
      <c r="M853" s="12">
        <f>DATE(VALUE(RIGHT(Raw_Orders!G853,4)),VALUE(MID(Raw_Orders!G853,4,2)),VALUE(LEFT(Raw_Orders!G853,2)))</f>
        <v>45244</v>
      </c>
      <c r="N853" s="7">
        <f t="shared" si="27"/>
        <v>3</v>
      </c>
      <c r="O853" s="7" t="str">
        <f>Raw_Orders!J853</f>
        <v>Diwali</v>
      </c>
      <c r="P853" s="7" t="str">
        <f>Raw_Orders!I853</f>
        <v>Ozhukarai</v>
      </c>
    </row>
    <row r="854" spans="1:16">
      <c r="A854" s="7" t="str">
        <f>Raw_Orders!A854</f>
        <v>853</v>
      </c>
      <c r="B854" s="7" t="str">
        <f>Raw_Orders!B854</f>
        <v>C050</v>
      </c>
      <c r="C854" s="7" t="str">
        <f>INDEX(Raw_Customers!$B$2:$B$101,MATCH($B854,Raw_Customers!$A$2:$A$101,0))</f>
        <v>Chirag Srinivas</v>
      </c>
      <c r="D854" s="7" t="str">
        <f>TRIM(INDEX(Raw_Customers!$C$2:$C$101,MATCH($B854,Raw_Customers!$A$2:$A$101,0)))</f>
        <v>Imphal</v>
      </c>
      <c r="E854" s="7" t="str">
        <f>"+91-"&amp;RIGHT("0000000000"&amp;INDEX(Raw_Customers!$D$2:$D$101,MATCH($B854,Raw_Customers!$A$2:$A$101,0)),10)</f>
        <v>+91-1157961919</v>
      </c>
      <c r="F854" s="7" t="str">
        <f>Raw_Orders!C854</f>
        <v>51</v>
      </c>
      <c r="G854" s="7" t="str">
        <f>INDEX(Raw_Products!$B$2:$B$71,MATCH($F854,Raw_Products!$A$2:$A$71,0))</f>
        <v>Fugit Set</v>
      </c>
      <c r="H854" s="7" t="str">
        <f>INDEX(Raw_Products!$C$2:$C$71,MATCH($F854,Raw_Products!$A$2:$A$71,0))</f>
        <v>Soft Toys</v>
      </c>
      <c r="I854" s="7">
        <f>VALUE(Raw_Orders!D854)</f>
        <v>3</v>
      </c>
      <c r="J854" s="11" t="str">
        <f>INDEX(Raw_Products!$D$2:$D$71,MATCH($F854,Raw_Products!$A$2:$A$71,0))</f>
        <v>1084</v>
      </c>
      <c r="K854" s="11">
        <f t="shared" si="26"/>
        <v>3252</v>
      </c>
      <c r="L854" s="12">
        <f>DATE(VALUE(RIGHT(Raw_Orders!E854,4)),VALUE(MID(Raw_Orders!E854,4,2)),VALUE(LEFT(Raw_Orders!E854,2)))</f>
        <v>45186</v>
      </c>
      <c r="M854" s="12">
        <f>DATE(VALUE(RIGHT(Raw_Orders!G854,4)),VALUE(MID(Raw_Orders!G854,4,2)),VALUE(LEFT(Raw_Orders!G854,2)))</f>
        <v>45192</v>
      </c>
      <c r="N854" s="7">
        <f t="shared" si="27"/>
        <v>6</v>
      </c>
      <c r="O854" s="7" t="str">
        <f>Raw_Orders!J854</f>
        <v>All Occasions</v>
      </c>
      <c r="P854" s="7" t="str">
        <f>Raw_Orders!I854</f>
        <v>Jorhat</v>
      </c>
    </row>
    <row r="855" spans="1:16">
      <c r="A855" s="7" t="str">
        <f>Raw_Orders!A855</f>
        <v>854</v>
      </c>
      <c r="B855" s="7" t="str">
        <f>Raw_Orders!B855</f>
        <v>C016</v>
      </c>
      <c r="C855" s="7" t="str">
        <f>INDEX(Raw_Customers!$B$2:$B$101,MATCH($B855,Raw_Customers!$A$2:$A$101,0))</f>
        <v>Amani Ganesh</v>
      </c>
      <c r="D855" s="7" t="str">
        <f>TRIM(INDEX(Raw_Customers!$C$2:$C$101,MATCH($B855,Raw_Customers!$A$2:$A$101,0)))</f>
        <v>Tenali</v>
      </c>
      <c r="E855" s="7" t="str">
        <f>"+91-"&amp;RIGHT("0000000000"&amp;INDEX(Raw_Customers!$D$2:$D$101,MATCH($B855,Raw_Customers!$A$2:$A$101,0)),10)</f>
        <v>+91-8482992702</v>
      </c>
      <c r="F855" s="7" t="str">
        <f>Raw_Orders!C855</f>
        <v>62</v>
      </c>
      <c r="G855" s="7" t="str">
        <f>INDEX(Raw_Products!$B$2:$B$71,MATCH($F855,Raw_Products!$A$2:$A$71,0))</f>
        <v>Sed Set</v>
      </c>
      <c r="H855" s="7" t="str">
        <f>INDEX(Raw_Products!$C$2:$C$71,MATCH($F855,Raw_Products!$A$2:$A$71,0))</f>
        <v>Colors</v>
      </c>
      <c r="I855" s="7">
        <f>VALUE(Raw_Orders!D855)</f>
        <v>3</v>
      </c>
      <c r="J855" s="11" t="str">
        <f>INDEX(Raw_Products!$D$2:$D$71,MATCH($F855,Raw_Products!$A$2:$A$71,0))</f>
        <v>1356</v>
      </c>
      <c r="K855" s="11">
        <f t="shared" si="26"/>
        <v>4068</v>
      </c>
      <c r="L855" s="12">
        <f>DATE(VALUE(RIGHT(Raw_Orders!E855,4)),VALUE(MID(Raw_Orders!E855,4,2)),VALUE(LEFT(Raw_Orders!E855,2)))</f>
        <v>44984</v>
      </c>
      <c r="M855" s="12">
        <f>DATE(VALUE(RIGHT(Raw_Orders!G855,4)),VALUE(MID(Raw_Orders!G855,4,2)),VALUE(LEFT(Raw_Orders!G855,2)))</f>
        <v>44987</v>
      </c>
      <c r="N855" s="7">
        <f t="shared" si="27"/>
        <v>3</v>
      </c>
      <c r="O855" s="7" t="str">
        <f>Raw_Orders!J855</f>
        <v>Holi</v>
      </c>
      <c r="P855" s="7" t="str">
        <f>Raw_Orders!I855</f>
        <v>Bhind</v>
      </c>
    </row>
    <row r="856" spans="1:16">
      <c r="A856" s="7" t="str">
        <f>Raw_Orders!A856</f>
        <v>855</v>
      </c>
      <c r="B856" s="7" t="str">
        <f>Raw_Orders!B856</f>
        <v>C033</v>
      </c>
      <c r="C856" s="7" t="str">
        <f>INDEX(Raw_Customers!$B$2:$B$101,MATCH($B856,Raw_Customers!$A$2:$A$101,0))</f>
        <v>Suhana Kurian</v>
      </c>
      <c r="D856" s="7" t="str">
        <f>TRIM(INDEX(Raw_Customers!$C$2:$C$101,MATCH($B856,Raw_Customers!$A$2:$A$101,0)))</f>
        <v>Indore</v>
      </c>
      <c r="E856" s="7" t="str">
        <f>"+91-"&amp;RIGHT("0000000000"&amp;INDEX(Raw_Customers!$D$2:$D$101,MATCH($B856,Raw_Customers!$A$2:$A$101,0)),10)</f>
        <v>+91-5713958095</v>
      </c>
      <c r="F856" s="7" t="str">
        <f>Raw_Orders!C856</f>
        <v>57</v>
      </c>
      <c r="G856" s="7" t="str">
        <f>INDEX(Raw_Products!$B$2:$B$71,MATCH($F856,Raw_Products!$A$2:$A$71,0))</f>
        <v>Voluptatem Box</v>
      </c>
      <c r="H856" s="7" t="str">
        <f>INDEX(Raw_Products!$C$2:$C$71,MATCH($F856,Raw_Products!$A$2:$A$71,0))</f>
        <v>Colors</v>
      </c>
      <c r="I856" s="7">
        <f>VALUE(Raw_Orders!D856)</f>
        <v>5</v>
      </c>
      <c r="J856" s="11" t="str">
        <f>INDEX(Raw_Products!$D$2:$D$71,MATCH($F856,Raw_Products!$A$2:$A$71,0))</f>
        <v>1582</v>
      </c>
      <c r="K856" s="11">
        <f t="shared" si="26"/>
        <v>7910</v>
      </c>
      <c r="L856" s="12">
        <f>DATE(VALUE(RIGHT(Raw_Orders!E856,4)),VALUE(MID(Raw_Orders!E856,4,2)),VALUE(LEFT(Raw_Orders!E856,2)))</f>
        <v>45145</v>
      </c>
      <c r="M856" s="12">
        <f>DATE(VALUE(RIGHT(Raw_Orders!G856,4)),VALUE(MID(Raw_Orders!G856,4,2)),VALUE(LEFT(Raw_Orders!G856,2)))</f>
        <v>45155</v>
      </c>
      <c r="N856" s="7">
        <f t="shared" si="27"/>
        <v>10</v>
      </c>
      <c r="O856" s="7" t="str">
        <f>Raw_Orders!J856</f>
        <v>Birthday</v>
      </c>
      <c r="P856" s="7" t="str">
        <f>Raw_Orders!I856</f>
        <v>Allahabad</v>
      </c>
    </row>
    <row r="857" spans="1:16">
      <c r="A857" s="7" t="str">
        <f>Raw_Orders!A857</f>
        <v>856</v>
      </c>
      <c r="B857" s="7" t="str">
        <f>Raw_Orders!B857</f>
        <v>C077</v>
      </c>
      <c r="C857" s="7" t="str">
        <f>INDEX(Raw_Customers!$B$2:$B$101,MATCH($B857,Raw_Customers!$A$2:$A$101,0))</f>
        <v>Gokul Ahluwalia</v>
      </c>
      <c r="D857" s="7" t="str">
        <f>TRIM(INDEX(Raw_Customers!$C$2:$C$101,MATCH($B857,Raw_Customers!$A$2:$A$101,0)))</f>
        <v>Panchkula</v>
      </c>
      <c r="E857" s="7" t="str">
        <f>"+91-"&amp;RIGHT("0000000000"&amp;INDEX(Raw_Customers!$D$2:$D$101,MATCH($B857,Raw_Customers!$A$2:$A$101,0)),10)</f>
        <v>+91-0413737551</v>
      </c>
      <c r="F857" s="7" t="str">
        <f>Raw_Orders!C857</f>
        <v>21</v>
      </c>
      <c r="G857" s="7" t="str">
        <f>INDEX(Raw_Products!$B$2:$B$71,MATCH($F857,Raw_Products!$A$2:$A$71,0))</f>
        <v>Quia Gift</v>
      </c>
      <c r="H857" s="7" t="str">
        <f>INDEX(Raw_Products!$C$2:$C$71,MATCH($F857,Raw_Products!$A$2:$A$71,0))</f>
        <v>Colors</v>
      </c>
      <c r="I857" s="7">
        <f>VALUE(Raw_Orders!D857)</f>
        <v>2</v>
      </c>
      <c r="J857" s="11" t="str">
        <f>INDEX(Raw_Products!$D$2:$D$71,MATCH($F857,Raw_Products!$A$2:$A$71,0))</f>
        <v>1561</v>
      </c>
      <c r="K857" s="11">
        <f t="shared" si="26"/>
        <v>3122</v>
      </c>
      <c r="L857" s="12">
        <f>DATE(VALUE(RIGHT(Raw_Orders!E857,4)),VALUE(MID(Raw_Orders!E857,4,2)),VALUE(LEFT(Raw_Orders!E857,2)))</f>
        <v>45165</v>
      </c>
      <c r="M857" s="12">
        <f>DATE(VALUE(RIGHT(Raw_Orders!G857,4)),VALUE(MID(Raw_Orders!G857,4,2)),VALUE(LEFT(Raw_Orders!G857,2)))</f>
        <v>45171</v>
      </c>
      <c r="N857" s="7">
        <f t="shared" si="27"/>
        <v>6</v>
      </c>
      <c r="O857" s="7" t="str">
        <f>Raw_Orders!J857</f>
        <v>Raksha Bandhan</v>
      </c>
      <c r="P857" s="7" t="str">
        <f>Raw_Orders!I857</f>
        <v>Kanpur</v>
      </c>
    </row>
    <row r="858" spans="1:16">
      <c r="A858" s="7" t="str">
        <f>Raw_Orders!A858</f>
        <v>857</v>
      </c>
      <c r="B858" s="7" t="str">
        <f>Raw_Orders!B858</f>
        <v>C053</v>
      </c>
      <c r="C858" s="7" t="str">
        <f>INDEX(Raw_Customers!$B$2:$B$101,MATCH($B858,Raw_Customers!$A$2:$A$101,0))</f>
        <v>Kismat Kapadia</v>
      </c>
      <c r="D858" s="7" t="str">
        <f>TRIM(INDEX(Raw_Customers!$C$2:$C$101,MATCH($B858,Raw_Customers!$A$2:$A$101,0)))</f>
        <v>Bharatpur</v>
      </c>
      <c r="E858" s="7" t="str">
        <f>"+91-"&amp;RIGHT("0000000000"&amp;INDEX(Raw_Customers!$D$2:$D$101,MATCH($B858,Raw_Customers!$A$2:$A$101,0)),10)</f>
        <v>+91-8068004996</v>
      </c>
      <c r="F858" s="7" t="str">
        <f>Raw_Orders!C858</f>
        <v>63</v>
      </c>
      <c r="G858" s="7" t="str">
        <f>INDEX(Raw_Products!$B$2:$B$71,MATCH($F858,Raw_Products!$A$2:$A$71,0))</f>
        <v>Adipisci Set</v>
      </c>
      <c r="H858" s="7" t="str">
        <f>INDEX(Raw_Products!$C$2:$C$71,MATCH($F858,Raw_Products!$A$2:$A$71,0))</f>
        <v>Sweets</v>
      </c>
      <c r="I858" s="7">
        <f>VALUE(Raw_Orders!D858)</f>
        <v>1</v>
      </c>
      <c r="J858" s="11" t="str">
        <f>INDEX(Raw_Products!$D$2:$D$71,MATCH($F858,Raw_Products!$A$2:$A$71,0))</f>
        <v>1348</v>
      </c>
      <c r="K858" s="11">
        <f t="shared" si="26"/>
        <v>1348</v>
      </c>
      <c r="L858" s="12">
        <f>DATE(VALUE(RIGHT(Raw_Orders!E858,4)),VALUE(MID(Raw_Orders!E858,4,2)),VALUE(LEFT(Raw_Orders!E858,2)))</f>
        <v>44966</v>
      </c>
      <c r="M858" s="12">
        <f>DATE(VALUE(RIGHT(Raw_Orders!G858,4)),VALUE(MID(Raw_Orders!G858,4,2)),VALUE(LEFT(Raw_Orders!G858,2)))</f>
        <v>44975</v>
      </c>
      <c r="N858" s="7">
        <f t="shared" si="27"/>
        <v>9</v>
      </c>
      <c r="O858" s="7" t="str">
        <f>Raw_Orders!J858</f>
        <v>All Occasions</v>
      </c>
      <c r="P858" s="7" t="str">
        <f>Raw_Orders!I858</f>
        <v>Bareilly</v>
      </c>
    </row>
    <row r="859" spans="1:16">
      <c r="A859" s="7" t="str">
        <f>Raw_Orders!A859</f>
        <v>858</v>
      </c>
      <c r="B859" s="7" t="str">
        <f>Raw_Orders!B859</f>
        <v>C046</v>
      </c>
      <c r="C859" s="7" t="str">
        <f>INDEX(Raw_Customers!$B$2:$B$101,MATCH($B859,Raw_Customers!$A$2:$A$101,0))</f>
        <v>Tara Kannan</v>
      </c>
      <c r="D859" s="7" t="str">
        <f>TRIM(INDEX(Raw_Customers!$C$2:$C$101,MATCH($B859,Raw_Customers!$A$2:$A$101,0)))</f>
        <v>Guna</v>
      </c>
      <c r="E859" s="7" t="str">
        <f>"+91-"&amp;RIGHT("0000000000"&amp;INDEX(Raw_Customers!$D$2:$D$101,MATCH($B859,Raw_Customers!$A$2:$A$101,0)),10)</f>
        <v>+91-7543187237</v>
      </c>
      <c r="F859" s="7" t="str">
        <f>Raw_Orders!C859</f>
        <v>44</v>
      </c>
      <c r="G859" s="7" t="str">
        <f>INDEX(Raw_Products!$B$2:$B$71,MATCH($F859,Raw_Products!$A$2:$A$71,0))</f>
        <v>Dolorum Set</v>
      </c>
      <c r="H859" s="7" t="str">
        <f>INDEX(Raw_Products!$C$2:$C$71,MATCH($F859,Raw_Products!$A$2:$A$71,0))</f>
        <v>Plants</v>
      </c>
      <c r="I859" s="7">
        <f>VALUE(Raw_Orders!D859)</f>
        <v>4</v>
      </c>
      <c r="J859" s="11" t="str">
        <f>INDEX(Raw_Products!$D$2:$D$71,MATCH($F859,Raw_Products!$A$2:$A$71,0))</f>
        <v>794</v>
      </c>
      <c r="K859" s="11">
        <f t="shared" si="26"/>
        <v>3176</v>
      </c>
      <c r="L859" s="12">
        <f>DATE(VALUE(RIGHT(Raw_Orders!E859,4)),VALUE(MID(Raw_Orders!E859,4,2)),VALUE(LEFT(Raw_Orders!E859,2)))</f>
        <v>45238</v>
      </c>
      <c r="M859" s="12">
        <f>DATE(VALUE(RIGHT(Raw_Orders!G859,4)),VALUE(MID(Raw_Orders!G859,4,2)),VALUE(LEFT(Raw_Orders!G859,2)))</f>
        <v>45239</v>
      </c>
      <c r="N859" s="7">
        <f t="shared" si="27"/>
        <v>1</v>
      </c>
      <c r="O859" s="7" t="str">
        <f>Raw_Orders!J859</f>
        <v>Diwali</v>
      </c>
      <c r="P859" s="7" t="str">
        <f>Raw_Orders!I859</f>
        <v>Saharanpur</v>
      </c>
    </row>
    <row r="860" spans="1:16">
      <c r="A860" s="7" t="str">
        <f>Raw_Orders!A860</f>
        <v>859</v>
      </c>
      <c r="B860" s="7" t="str">
        <f>Raw_Orders!B860</f>
        <v>C047</v>
      </c>
      <c r="C860" s="7" t="str">
        <f>INDEX(Raw_Customers!$B$2:$B$101,MATCH($B860,Raw_Customers!$A$2:$A$101,0))</f>
        <v>Bhamini Ravi</v>
      </c>
      <c r="D860" s="7" t="str">
        <f>TRIM(INDEX(Raw_Customers!$C$2:$C$101,MATCH($B860,Raw_Customers!$A$2:$A$101,0)))</f>
        <v>Jorhat</v>
      </c>
      <c r="E860" s="7" t="str">
        <f>"+91-"&amp;RIGHT("0000000000"&amp;INDEX(Raw_Customers!$D$2:$D$101,MATCH($B860,Raw_Customers!$A$2:$A$101,0)),10)</f>
        <v>+91-0798274175</v>
      </c>
      <c r="F860" s="7" t="str">
        <f>Raw_Orders!C860</f>
        <v>43</v>
      </c>
      <c r="G860" s="7" t="str">
        <f>INDEX(Raw_Products!$B$2:$B$71,MATCH($F860,Raw_Products!$A$2:$A$71,0))</f>
        <v>Quisquam Pack</v>
      </c>
      <c r="H860" s="7" t="str">
        <f>INDEX(Raw_Products!$C$2:$C$71,MATCH($F860,Raw_Products!$A$2:$A$71,0))</f>
        <v>Raksha Bandhan</v>
      </c>
      <c r="I860" s="7">
        <f>VALUE(Raw_Orders!D860)</f>
        <v>1</v>
      </c>
      <c r="J860" s="11" t="str">
        <f>INDEX(Raw_Products!$D$2:$D$71,MATCH($F860,Raw_Products!$A$2:$A$71,0))</f>
        <v>750</v>
      </c>
      <c r="K860" s="11">
        <f t="shared" si="26"/>
        <v>750</v>
      </c>
      <c r="L860" s="12">
        <f>DATE(VALUE(RIGHT(Raw_Orders!E860,4)),VALUE(MID(Raw_Orders!E860,4,2)),VALUE(LEFT(Raw_Orders!E860,2)))</f>
        <v>45240</v>
      </c>
      <c r="M860" s="12">
        <f>DATE(VALUE(RIGHT(Raw_Orders!G860,4)),VALUE(MID(Raw_Orders!G860,4,2)),VALUE(LEFT(Raw_Orders!G860,2)))</f>
        <v>45245</v>
      </c>
      <c r="N860" s="7">
        <f t="shared" si="27"/>
        <v>5</v>
      </c>
      <c r="O860" s="7" t="str">
        <f>Raw_Orders!J860</f>
        <v>Diwali</v>
      </c>
      <c r="P860" s="7" t="str">
        <f>Raw_Orders!I860</f>
        <v>Varanasi</v>
      </c>
    </row>
    <row r="861" spans="1:16">
      <c r="A861" s="7" t="str">
        <f>Raw_Orders!A861</f>
        <v>860</v>
      </c>
      <c r="B861" s="7" t="str">
        <f>Raw_Orders!B861</f>
        <v>C064</v>
      </c>
      <c r="C861" s="7" t="str">
        <f>INDEX(Raw_Customers!$B$2:$B$101,MATCH($B861,Raw_Customers!$A$2:$A$101,0))</f>
        <v>Indrajit Kale</v>
      </c>
      <c r="D861" s="7" t="str">
        <f>TRIM(INDEX(Raw_Customers!$C$2:$C$101,MATCH($B861,Raw_Customers!$A$2:$A$101,0)))</f>
        <v>Srikakulam</v>
      </c>
      <c r="E861" s="7" t="str">
        <f>"+91-"&amp;RIGHT("0000000000"&amp;INDEX(Raw_Customers!$D$2:$D$101,MATCH($B861,Raw_Customers!$A$2:$A$101,0)),10)</f>
        <v>+91-6181058210</v>
      </c>
      <c r="F861" s="7" t="str">
        <f>Raw_Orders!C861</f>
        <v>14</v>
      </c>
      <c r="G861" s="7" t="str">
        <f>INDEX(Raw_Products!$B$2:$B$71,MATCH($F861,Raw_Products!$A$2:$A$71,0))</f>
        <v>Deserunt Box</v>
      </c>
      <c r="H861" s="7" t="str">
        <f>INDEX(Raw_Products!$C$2:$C$71,MATCH($F861,Raw_Products!$A$2:$A$71,0))</f>
        <v>Colors</v>
      </c>
      <c r="I861" s="7">
        <f>VALUE(Raw_Orders!D861)</f>
        <v>1</v>
      </c>
      <c r="J861" s="11" t="str">
        <f>INDEX(Raw_Products!$D$2:$D$71,MATCH($F861,Raw_Products!$A$2:$A$71,0))</f>
        <v>1915</v>
      </c>
      <c r="K861" s="11">
        <f t="shared" si="26"/>
        <v>1915</v>
      </c>
      <c r="L861" s="12">
        <f>DATE(VALUE(RIGHT(Raw_Orders!E861,4)),VALUE(MID(Raw_Orders!E861,4,2)),VALUE(LEFT(Raw_Orders!E861,2)))</f>
        <v>44936</v>
      </c>
      <c r="M861" s="12">
        <f>DATE(VALUE(RIGHT(Raw_Orders!G861,4)),VALUE(MID(Raw_Orders!G861,4,2)),VALUE(LEFT(Raw_Orders!G861,2)))</f>
        <v>44939</v>
      </c>
      <c r="N861" s="7">
        <f t="shared" si="27"/>
        <v>3</v>
      </c>
      <c r="O861" s="7" t="str">
        <f>Raw_Orders!J861</f>
        <v>Birthday</v>
      </c>
      <c r="P861" s="7" t="str">
        <f>Raw_Orders!I861</f>
        <v>Adoni</v>
      </c>
    </row>
    <row r="862" spans="1:16">
      <c r="A862" s="7" t="str">
        <f>Raw_Orders!A862</f>
        <v>861</v>
      </c>
      <c r="B862" s="7" t="str">
        <f>Raw_Orders!B862</f>
        <v>C030</v>
      </c>
      <c r="C862" s="7" t="str">
        <f>INDEX(Raw_Customers!$B$2:$B$101,MATCH($B862,Raw_Customers!$A$2:$A$101,0))</f>
        <v>Vardaniya Contractor</v>
      </c>
      <c r="D862" s="7" t="str">
        <f>TRIM(INDEX(Raw_Customers!$C$2:$C$101,MATCH($B862,Raw_Customers!$A$2:$A$101,0)))</f>
        <v>Sambhal</v>
      </c>
      <c r="E862" s="7" t="str">
        <f>"+91-"&amp;RIGHT("0000000000"&amp;INDEX(Raw_Customers!$D$2:$D$101,MATCH($B862,Raw_Customers!$A$2:$A$101,0)),10)</f>
        <v>+91-9972300876</v>
      </c>
      <c r="F862" s="7" t="str">
        <f>Raw_Orders!C862</f>
        <v>32</v>
      </c>
      <c r="G862" s="7" t="str">
        <f>INDEX(Raw_Products!$B$2:$B$71,MATCH($F862,Raw_Products!$A$2:$A$71,0))</f>
        <v>Fuga Set</v>
      </c>
      <c r="H862" s="7" t="str">
        <f>INDEX(Raw_Products!$C$2:$C$71,MATCH($F862,Raw_Products!$A$2:$A$71,0))</f>
        <v>Soft Toys</v>
      </c>
      <c r="I862" s="7">
        <f>VALUE(Raw_Orders!D862)</f>
        <v>1</v>
      </c>
      <c r="J862" s="11" t="str">
        <f>INDEX(Raw_Products!$D$2:$D$71,MATCH($F862,Raw_Products!$A$2:$A$71,0))</f>
        <v>1792</v>
      </c>
      <c r="K862" s="11">
        <f t="shared" si="26"/>
        <v>1792</v>
      </c>
      <c r="L862" s="12">
        <f>DATE(VALUE(RIGHT(Raw_Orders!E862,4)),VALUE(MID(Raw_Orders!E862,4,2)),VALUE(LEFT(Raw_Orders!E862,2)))</f>
        <v>44966</v>
      </c>
      <c r="M862" s="12">
        <f>DATE(VALUE(RIGHT(Raw_Orders!G862,4)),VALUE(MID(Raw_Orders!G862,4,2)),VALUE(LEFT(Raw_Orders!G862,2)))</f>
        <v>44971</v>
      </c>
      <c r="N862" s="7">
        <f t="shared" si="27"/>
        <v>5</v>
      </c>
      <c r="O862" s="7" t="str">
        <f>Raw_Orders!J862</f>
        <v>Birthday</v>
      </c>
      <c r="P862" s="7" t="str">
        <f>Raw_Orders!I862</f>
        <v>Bidar</v>
      </c>
    </row>
    <row r="863" spans="1:16">
      <c r="A863" s="7" t="str">
        <f>Raw_Orders!A863</f>
        <v>862</v>
      </c>
      <c r="B863" s="7" t="str">
        <f>Raw_Orders!B863</f>
        <v>C049</v>
      </c>
      <c r="C863" s="7" t="str">
        <f>INDEX(Raw_Customers!$B$2:$B$101,MATCH($B863,Raw_Customers!$A$2:$A$101,0))</f>
        <v>Aarush Balasubramanian</v>
      </c>
      <c r="D863" s="7" t="str">
        <f>TRIM(INDEX(Raw_Customers!$C$2:$C$101,MATCH($B863,Raw_Customers!$A$2:$A$101,0)))</f>
        <v>Imphal</v>
      </c>
      <c r="E863" s="7" t="str">
        <f>"+91-"&amp;RIGHT("0000000000"&amp;INDEX(Raw_Customers!$D$2:$D$101,MATCH($B863,Raw_Customers!$A$2:$A$101,0)),10)</f>
        <v>+91-1436426958</v>
      </c>
      <c r="F863" s="7" t="str">
        <f>Raw_Orders!C863</f>
        <v>6</v>
      </c>
      <c r="G863" s="7" t="str">
        <f>INDEX(Raw_Products!$B$2:$B$71,MATCH($F863,Raw_Products!$A$2:$A$71,0))</f>
        <v>Quos Box</v>
      </c>
      <c r="H863" s="7" t="str">
        <f>INDEX(Raw_Products!$C$2:$C$71,MATCH($F863,Raw_Products!$A$2:$A$71,0))</f>
        <v>Cake</v>
      </c>
      <c r="I863" s="7">
        <f>VALUE(Raw_Orders!D863)</f>
        <v>4</v>
      </c>
      <c r="J863" s="11" t="str">
        <f>INDEX(Raw_Products!$D$2:$D$71,MATCH($F863,Raw_Products!$A$2:$A$71,0))</f>
        <v>1112</v>
      </c>
      <c r="K863" s="11">
        <f t="shared" si="26"/>
        <v>4448</v>
      </c>
      <c r="L863" s="12">
        <f>DATE(VALUE(RIGHT(Raw_Orders!E863,4)),VALUE(MID(Raw_Orders!E863,4,2)),VALUE(LEFT(Raw_Orders!E863,2)))</f>
        <v>44992</v>
      </c>
      <c r="M863" s="12">
        <f>DATE(VALUE(RIGHT(Raw_Orders!G863,4)),VALUE(MID(Raw_Orders!G863,4,2)),VALUE(LEFT(Raw_Orders!G863,2)))</f>
        <v>45000</v>
      </c>
      <c r="N863" s="7">
        <f t="shared" si="27"/>
        <v>8</v>
      </c>
      <c r="O863" s="7" t="str">
        <f>Raw_Orders!J863</f>
        <v>Holi</v>
      </c>
      <c r="P863" s="7" t="str">
        <f>Raw_Orders!I863</f>
        <v>Shimoga</v>
      </c>
    </row>
    <row r="864" spans="1:16">
      <c r="A864" s="7" t="str">
        <f>Raw_Orders!A864</f>
        <v>863</v>
      </c>
      <c r="B864" s="7" t="str">
        <f>Raw_Orders!B864</f>
        <v>C099</v>
      </c>
      <c r="C864" s="7" t="str">
        <f>INDEX(Raw_Customers!$B$2:$B$101,MATCH($B864,Raw_Customers!$A$2:$A$101,0))</f>
        <v>Ranbir Loyal</v>
      </c>
      <c r="D864" s="7" t="str">
        <f>TRIM(INDEX(Raw_Customers!$C$2:$C$101,MATCH($B864,Raw_Customers!$A$2:$A$101,0)))</f>
        <v>Dhanbad</v>
      </c>
      <c r="E864" s="7" t="str">
        <f>"+91-"&amp;RIGHT("0000000000"&amp;INDEX(Raw_Customers!$D$2:$D$101,MATCH($B864,Raw_Customers!$A$2:$A$101,0)),10)</f>
        <v>+91-3621448305</v>
      </c>
      <c r="F864" s="7" t="str">
        <f>Raw_Orders!C864</f>
        <v>20</v>
      </c>
      <c r="G864" s="7" t="str">
        <f>INDEX(Raw_Products!$B$2:$B$71,MATCH($F864,Raw_Products!$A$2:$A$71,0))</f>
        <v>Reiciendis Box</v>
      </c>
      <c r="H864" s="7" t="str">
        <f>INDEX(Raw_Products!$C$2:$C$71,MATCH($F864,Raw_Products!$A$2:$A$71,0))</f>
        <v>Colors</v>
      </c>
      <c r="I864" s="7">
        <f>VALUE(Raw_Orders!D864)</f>
        <v>3</v>
      </c>
      <c r="J864" s="11" t="str">
        <f>INDEX(Raw_Products!$D$2:$D$71,MATCH($F864,Raw_Products!$A$2:$A$71,0))</f>
        <v>697</v>
      </c>
      <c r="K864" s="11">
        <f t="shared" si="26"/>
        <v>2091</v>
      </c>
      <c r="L864" s="12">
        <f>DATE(VALUE(RIGHT(Raw_Orders!E864,4)),VALUE(MID(Raw_Orders!E864,4,2)),VALUE(LEFT(Raw_Orders!E864,2)))</f>
        <v>45082</v>
      </c>
      <c r="M864" s="12">
        <f>DATE(VALUE(RIGHT(Raw_Orders!G864,4)),VALUE(MID(Raw_Orders!G864,4,2)),VALUE(LEFT(Raw_Orders!G864,2)))</f>
        <v>45092</v>
      </c>
      <c r="N864" s="7">
        <f t="shared" si="27"/>
        <v>10</v>
      </c>
      <c r="O864" s="7" t="str">
        <f>Raw_Orders!J864</f>
        <v>Anniversary</v>
      </c>
      <c r="P864" s="7" t="str">
        <f>Raw_Orders!I864</f>
        <v>Jehanabad</v>
      </c>
    </row>
    <row r="865" spans="1:16">
      <c r="A865" s="7" t="str">
        <f>Raw_Orders!A865</f>
        <v>864</v>
      </c>
      <c r="B865" s="7" t="str">
        <f>Raw_Orders!B865</f>
        <v>C033</v>
      </c>
      <c r="C865" s="7" t="str">
        <f>INDEX(Raw_Customers!$B$2:$B$101,MATCH($B865,Raw_Customers!$A$2:$A$101,0))</f>
        <v>Suhana Kurian</v>
      </c>
      <c r="D865" s="7" t="str">
        <f>TRIM(INDEX(Raw_Customers!$C$2:$C$101,MATCH($B865,Raw_Customers!$A$2:$A$101,0)))</f>
        <v>Indore</v>
      </c>
      <c r="E865" s="7" t="str">
        <f>"+91-"&amp;RIGHT("0000000000"&amp;INDEX(Raw_Customers!$D$2:$D$101,MATCH($B865,Raw_Customers!$A$2:$A$101,0)),10)</f>
        <v>+91-5713958095</v>
      </c>
      <c r="F865" s="7" t="str">
        <f>Raw_Orders!C865</f>
        <v>11</v>
      </c>
      <c r="G865" s="7" t="str">
        <f>INDEX(Raw_Products!$B$2:$B$71,MATCH($F865,Raw_Products!$A$2:$A$71,0))</f>
        <v>Maxime Set</v>
      </c>
      <c r="H865" s="7" t="str">
        <f>INDEX(Raw_Products!$C$2:$C$71,MATCH($F865,Raw_Products!$A$2:$A$71,0))</f>
        <v>Mugs</v>
      </c>
      <c r="I865" s="7">
        <f>VALUE(Raw_Orders!D865)</f>
        <v>1</v>
      </c>
      <c r="J865" s="11" t="str">
        <f>INDEX(Raw_Products!$D$2:$D$71,MATCH($F865,Raw_Products!$A$2:$A$71,0))</f>
        <v>1096</v>
      </c>
      <c r="K865" s="11">
        <f t="shared" si="26"/>
        <v>1096</v>
      </c>
      <c r="L865" s="12">
        <f>DATE(VALUE(RIGHT(Raw_Orders!E865,4)),VALUE(MID(Raw_Orders!E865,4,2)),VALUE(LEFT(Raw_Orders!E865,2)))</f>
        <v>44968</v>
      </c>
      <c r="M865" s="12">
        <f>DATE(VALUE(RIGHT(Raw_Orders!G865,4)),VALUE(MID(Raw_Orders!G865,4,2)),VALUE(LEFT(Raw_Orders!G865,2)))</f>
        <v>44972</v>
      </c>
      <c r="N865" s="7">
        <f t="shared" si="27"/>
        <v>4</v>
      </c>
      <c r="O865" s="7" t="str">
        <f>Raw_Orders!J865</f>
        <v>Valentine's Day</v>
      </c>
      <c r="P865" s="7" t="str">
        <f>Raw_Orders!I865</f>
        <v>Lucknow</v>
      </c>
    </row>
    <row r="866" spans="1:16">
      <c r="A866" s="7" t="str">
        <f>Raw_Orders!A866</f>
        <v>865</v>
      </c>
      <c r="B866" s="7" t="str">
        <f>Raw_Orders!B866</f>
        <v>C032</v>
      </c>
      <c r="C866" s="7" t="str">
        <f>INDEX(Raw_Customers!$B$2:$B$101,MATCH($B866,Raw_Customers!$A$2:$A$101,0))</f>
        <v>Mannat Anand</v>
      </c>
      <c r="D866" s="7" t="str">
        <f>TRIM(INDEX(Raw_Customers!$C$2:$C$101,MATCH($B866,Raw_Customers!$A$2:$A$101,0)))</f>
        <v>Surat</v>
      </c>
      <c r="E866" s="7" t="str">
        <f>"+91-"&amp;RIGHT("0000000000"&amp;INDEX(Raw_Customers!$D$2:$D$101,MATCH($B866,Raw_Customers!$A$2:$A$101,0)),10)</f>
        <v>+91-1611365500</v>
      </c>
      <c r="F866" s="7" t="str">
        <f>Raw_Orders!C866</f>
        <v>19</v>
      </c>
      <c r="G866" s="7" t="str">
        <f>INDEX(Raw_Products!$B$2:$B$71,MATCH($F866,Raw_Products!$A$2:$A$71,0))</f>
        <v>Iure Gift</v>
      </c>
      <c r="H866" s="7" t="str">
        <f>INDEX(Raw_Products!$C$2:$C$71,MATCH($F866,Raw_Products!$A$2:$A$71,0))</f>
        <v>Mugs</v>
      </c>
      <c r="I866" s="7">
        <f>VALUE(Raw_Orders!D866)</f>
        <v>1</v>
      </c>
      <c r="J866" s="11" t="str">
        <f>INDEX(Raw_Products!$D$2:$D$71,MATCH($F866,Raw_Products!$A$2:$A$71,0))</f>
        <v>1234</v>
      </c>
      <c r="K866" s="11">
        <f t="shared" si="26"/>
        <v>1234</v>
      </c>
      <c r="L866" s="12">
        <f>DATE(VALUE(RIGHT(Raw_Orders!E866,4)),VALUE(MID(Raw_Orders!E866,4,2)),VALUE(LEFT(Raw_Orders!E866,2)))</f>
        <v>44969</v>
      </c>
      <c r="M866" s="12">
        <f>DATE(VALUE(RIGHT(Raw_Orders!G866,4)),VALUE(MID(Raw_Orders!G866,4,2)),VALUE(LEFT(Raw_Orders!G866,2)))</f>
        <v>44970</v>
      </c>
      <c r="N866" s="7">
        <f t="shared" si="27"/>
        <v>1</v>
      </c>
      <c r="O866" s="7" t="str">
        <f>Raw_Orders!J866</f>
        <v>Valentine's Day</v>
      </c>
      <c r="P866" s="7" t="str">
        <f>Raw_Orders!I866</f>
        <v>Kumbakonam</v>
      </c>
    </row>
    <row r="867" spans="1:16">
      <c r="A867" s="7" t="str">
        <f>Raw_Orders!A867</f>
        <v>866</v>
      </c>
      <c r="B867" s="7" t="str">
        <f>Raw_Orders!B867</f>
        <v>C021</v>
      </c>
      <c r="C867" s="7" t="str">
        <f>INDEX(Raw_Customers!$B$2:$B$101,MATCH($B867,Raw_Customers!$A$2:$A$101,0))</f>
        <v>Siya Talwar</v>
      </c>
      <c r="D867" s="7" t="str">
        <f>TRIM(INDEX(Raw_Customers!$C$2:$C$101,MATCH($B867,Raw_Customers!$A$2:$A$101,0)))</f>
        <v>Mehsana</v>
      </c>
      <c r="E867" s="7" t="str">
        <f>"+91-"&amp;RIGHT("0000000000"&amp;INDEX(Raw_Customers!$D$2:$D$101,MATCH($B867,Raw_Customers!$A$2:$A$101,0)),10)</f>
        <v>+91-5555408563</v>
      </c>
      <c r="F867" s="7" t="str">
        <f>Raw_Orders!C867</f>
        <v>15</v>
      </c>
      <c r="G867" s="7" t="str">
        <f>INDEX(Raw_Products!$B$2:$B$71,MATCH($F867,Raw_Products!$A$2:$A$71,0))</f>
        <v>Repudiandae Box</v>
      </c>
      <c r="H867" s="7" t="str">
        <f>INDEX(Raw_Products!$C$2:$C$71,MATCH($F867,Raw_Products!$A$2:$A$71,0))</f>
        <v>Raksha Bandhan</v>
      </c>
      <c r="I867" s="7">
        <f>VALUE(Raw_Orders!D867)</f>
        <v>5</v>
      </c>
      <c r="J867" s="11" t="str">
        <f>INDEX(Raw_Products!$D$2:$D$71,MATCH($F867,Raw_Products!$A$2:$A$71,0))</f>
        <v>1488</v>
      </c>
      <c r="K867" s="11">
        <f t="shared" si="26"/>
        <v>7440</v>
      </c>
      <c r="L867" s="12">
        <f>DATE(VALUE(RIGHT(Raw_Orders!E867,4)),VALUE(MID(Raw_Orders!E867,4,2)),VALUE(LEFT(Raw_Orders!E867,2)))</f>
        <v>45148</v>
      </c>
      <c r="M867" s="12">
        <f>DATE(VALUE(RIGHT(Raw_Orders!G867,4)),VALUE(MID(Raw_Orders!G867,4,2)),VALUE(LEFT(Raw_Orders!G867,2)))</f>
        <v>45149</v>
      </c>
      <c r="N867" s="7">
        <f t="shared" si="27"/>
        <v>1</v>
      </c>
      <c r="O867" s="7" t="str">
        <f>Raw_Orders!J867</f>
        <v>Anniversary</v>
      </c>
      <c r="P867" s="7" t="str">
        <f>Raw_Orders!I867</f>
        <v>Medininagar</v>
      </c>
    </row>
    <row r="868" spans="1:16">
      <c r="A868" s="7" t="str">
        <f>Raw_Orders!A868</f>
        <v>867</v>
      </c>
      <c r="B868" s="7" t="str">
        <f>Raw_Orders!B868</f>
        <v>C014</v>
      </c>
      <c r="C868" s="7" t="str">
        <f>INDEX(Raw_Customers!$B$2:$B$101,MATCH($B868,Raw_Customers!$A$2:$A$101,0))</f>
        <v>Indrans Shukla</v>
      </c>
      <c r="D868" s="7" t="str">
        <f>TRIM(INDEX(Raw_Customers!$C$2:$C$101,MATCH($B868,Raw_Customers!$A$2:$A$101,0)))</f>
        <v>Panvel</v>
      </c>
      <c r="E868" s="7" t="str">
        <f>"+91-"&amp;RIGHT("0000000000"&amp;INDEX(Raw_Customers!$D$2:$D$101,MATCH($B868,Raw_Customers!$A$2:$A$101,0)),10)</f>
        <v>+91-2717671919</v>
      </c>
      <c r="F868" s="7" t="str">
        <f>Raw_Orders!C868</f>
        <v>48</v>
      </c>
      <c r="G868" s="7" t="str">
        <f>INDEX(Raw_Products!$B$2:$B$71,MATCH($F868,Raw_Products!$A$2:$A$71,0))</f>
        <v>Maiores Gift</v>
      </c>
      <c r="H868" s="7" t="str">
        <f>INDEX(Raw_Products!$C$2:$C$71,MATCH($F868,Raw_Products!$A$2:$A$71,0))</f>
        <v>Colors</v>
      </c>
      <c r="I868" s="7">
        <f>VALUE(Raw_Orders!D868)</f>
        <v>1</v>
      </c>
      <c r="J868" s="11" t="str">
        <f>INDEX(Raw_Products!$D$2:$D$71,MATCH($F868,Raw_Products!$A$2:$A$71,0))</f>
        <v>433</v>
      </c>
      <c r="K868" s="11">
        <f t="shared" si="26"/>
        <v>433</v>
      </c>
      <c r="L868" s="12">
        <f>DATE(VALUE(RIGHT(Raw_Orders!E868,4)),VALUE(MID(Raw_Orders!E868,4,2)),VALUE(LEFT(Raw_Orders!E868,2)))</f>
        <v>45232</v>
      </c>
      <c r="M868" s="12">
        <f>DATE(VALUE(RIGHT(Raw_Orders!G868,4)),VALUE(MID(Raw_Orders!G868,4,2)),VALUE(LEFT(Raw_Orders!G868,2)))</f>
        <v>45234</v>
      </c>
      <c r="N868" s="7">
        <f t="shared" si="27"/>
        <v>2</v>
      </c>
      <c r="O868" s="7" t="str">
        <f>Raw_Orders!J868</f>
        <v>Diwali</v>
      </c>
      <c r="P868" s="7" t="str">
        <f>Raw_Orders!I868</f>
        <v>Hajipur</v>
      </c>
    </row>
    <row r="869" spans="1:16">
      <c r="A869" s="7" t="str">
        <f>Raw_Orders!A869</f>
        <v>868</v>
      </c>
      <c r="B869" s="7" t="str">
        <f>Raw_Orders!B869</f>
        <v>C099</v>
      </c>
      <c r="C869" s="7" t="str">
        <f>INDEX(Raw_Customers!$B$2:$B$101,MATCH($B869,Raw_Customers!$A$2:$A$101,0))</f>
        <v>Ranbir Loyal</v>
      </c>
      <c r="D869" s="7" t="str">
        <f>TRIM(INDEX(Raw_Customers!$C$2:$C$101,MATCH($B869,Raw_Customers!$A$2:$A$101,0)))</f>
        <v>Dhanbad</v>
      </c>
      <c r="E869" s="7" t="str">
        <f>"+91-"&amp;RIGHT("0000000000"&amp;INDEX(Raw_Customers!$D$2:$D$101,MATCH($B869,Raw_Customers!$A$2:$A$101,0)),10)</f>
        <v>+91-3621448305</v>
      </c>
      <c r="F869" s="7" t="str">
        <f>Raw_Orders!C869</f>
        <v>32</v>
      </c>
      <c r="G869" s="7" t="str">
        <f>INDEX(Raw_Products!$B$2:$B$71,MATCH($F869,Raw_Products!$A$2:$A$71,0))</f>
        <v>Fuga Set</v>
      </c>
      <c r="H869" s="7" t="str">
        <f>INDEX(Raw_Products!$C$2:$C$71,MATCH($F869,Raw_Products!$A$2:$A$71,0))</f>
        <v>Soft Toys</v>
      </c>
      <c r="I869" s="7">
        <f>VALUE(Raw_Orders!D869)</f>
        <v>1</v>
      </c>
      <c r="J869" s="11" t="str">
        <f>INDEX(Raw_Products!$D$2:$D$71,MATCH($F869,Raw_Products!$A$2:$A$71,0))</f>
        <v>1792</v>
      </c>
      <c r="K869" s="11">
        <f t="shared" si="26"/>
        <v>1792</v>
      </c>
      <c r="L869" s="12">
        <f>DATE(VALUE(RIGHT(Raw_Orders!E869,4)),VALUE(MID(Raw_Orders!E869,4,2)),VALUE(LEFT(Raw_Orders!E869,2)))</f>
        <v>45160</v>
      </c>
      <c r="M869" s="12">
        <f>DATE(VALUE(RIGHT(Raw_Orders!G869,4)),VALUE(MID(Raw_Orders!G869,4,2)),VALUE(LEFT(Raw_Orders!G869,2)))</f>
        <v>45168</v>
      </c>
      <c r="N869" s="7">
        <f t="shared" si="27"/>
        <v>8</v>
      </c>
      <c r="O869" s="7" t="str">
        <f>Raw_Orders!J869</f>
        <v>Birthday</v>
      </c>
      <c r="P869" s="7" t="str">
        <f>Raw_Orders!I869</f>
        <v>Anand</v>
      </c>
    </row>
    <row r="870" spans="1:16">
      <c r="A870" s="7" t="str">
        <f>Raw_Orders!A870</f>
        <v>869</v>
      </c>
      <c r="B870" s="7" t="str">
        <f>Raw_Orders!B870</f>
        <v>C032</v>
      </c>
      <c r="C870" s="7" t="str">
        <f>INDEX(Raw_Customers!$B$2:$B$101,MATCH($B870,Raw_Customers!$A$2:$A$101,0))</f>
        <v>Mannat Anand</v>
      </c>
      <c r="D870" s="7" t="str">
        <f>TRIM(INDEX(Raw_Customers!$C$2:$C$101,MATCH($B870,Raw_Customers!$A$2:$A$101,0)))</f>
        <v>Surat</v>
      </c>
      <c r="E870" s="7" t="str">
        <f>"+91-"&amp;RIGHT("0000000000"&amp;INDEX(Raw_Customers!$D$2:$D$101,MATCH($B870,Raw_Customers!$A$2:$A$101,0)),10)</f>
        <v>+91-1611365500</v>
      </c>
      <c r="F870" s="7" t="str">
        <f>Raw_Orders!C870</f>
        <v>3</v>
      </c>
      <c r="G870" s="7" t="str">
        <f>INDEX(Raw_Products!$B$2:$B$71,MATCH($F870,Raw_Products!$A$2:$A$71,0))</f>
        <v>Eius Gift</v>
      </c>
      <c r="H870" s="7" t="str">
        <f>INDEX(Raw_Products!$C$2:$C$71,MATCH($F870,Raw_Products!$A$2:$A$71,0))</f>
        <v>Colors</v>
      </c>
      <c r="I870" s="7">
        <f>VALUE(Raw_Orders!D870)</f>
        <v>5</v>
      </c>
      <c r="J870" s="11" t="str">
        <f>INDEX(Raw_Products!$D$2:$D$71,MATCH($F870,Raw_Products!$A$2:$A$71,0))</f>
        <v>1534</v>
      </c>
      <c r="K870" s="11">
        <f t="shared" si="26"/>
        <v>7670</v>
      </c>
      <c r="L870" s="12">
        <f>DATE(VALUE(RIGHT(Raw_Orders!E870,4)),VALUE(MID(Raw_Orders!E870,4,2)),VALUE(LEFT(Raw_Orders!E870,2)))</f>
        <v>44963</v>
      </c>
      <c r="M870" s="12">
        <f>DATE(VALUE(RIGHT(Raw_Orders!G870,4)),VALUE(MID(Raw_Orders!G870,4,2)),VALUE(LEFT(Raw_Orders!G870,2)))</f>
        <v>44968</v>
      </c>
      <c r="N870" s="7">
        <f t="shared" si="27"/>
        <v>5</v>
      </c>
      <c r="O870" s="7" t="str">
        <f>Raw_Orders!J870</f>
        <v>Valentine's Day</v>
      </c>
      <c r="P870" s="7" t="str">
        <f>Raw_Orders!I870</f>
        <v>Hazaribagh</v>
      </c>
    </row>
    <row r="871" spans="1:16">
      <c r="A871" s="7" t="str">
        <f>Raw_Orders!A871</f>
        <v>870</v>
      </c>
      <c r="B871" s="7" t="str">
        <f>Raw_Orders!B871</f>
        <v>C018</v>
      </c>
      <c r="C871" s="7" t="str">
        <f>INDEX(Raw_Customers!$B$2:$B$101,MATCH($B871,Raw_Customers!$A$2:$A$101,0))</f>
        <v>Eva Vaidya</v>
      </c>
      <c r="D871" s="7" t="str">
        <f>TRIM(INDEX(Raw_Customers!$C$2:$C$101,MATCH($B871,Raw_Customers!$A$2:$A$101,0)))</f>
        <v>Nizamabad</v>
      </c>
      <c r="E871" s="7" t="str">
        <f>"+91-"&amp;RIGHT("0000000000"&amp;INDEX(Raw_Customers!$D$2:$D$101,MATCH($B871,Raw_Customers!$A$2:$A$101,0)),10)</f>
        <v>+91-9080029661</v>
      </c>
      <c r="F871" s="7" t="str">
        <f>Raw_Orders!C871</f>
        <v>43</v>
      </c>
      <c r="G871" s="7" t="str">
        <f>INDEX(Raw_Products!$B$2:$B$71,MATCH($F871,Raw_Products!$A$2:$A$71,0))</f>
        <v>Quisquam Pack</v>
      </c>
      <c r="H871" s="7" t="str">
        <f>INDEX(Raw_Products!$C$2:$C$71,MATCH($F871,Raw_Products!$A$2:$A$71,0))</f>
        <v>Raksha Bandhan</v>
      </c>
      <c r="I871" s="7">
        <f>VALUE(Raw_Orders!D871)</f>
        <v>5</v>
      </c>
      <c r="J871" s="11" t="str">
        <f>INDEX(Raw_Products!$D$2:$D$71,MATCH($F871,Raw_Products!$A$2:$A$71,0))</f>
        <v>750</v>
      </c>
      <c r="K871" s="11">
        <f t="shared" si="26"/>
        <v>3750</v>
      </c>
      <c r="L871" s="12">
        <f>DATE(VALUE(RIGHT(Raw_Orders!E871,4)),VALUE(MID(Raw_Orders!E871,4,2)),VALUE(LEFT(Raw_Orders!E871,2)))</f>
        <v>45235</v>
      </c>
      <c r="M871" s="12">
        <f>DATE(VALUE(RIGHT(Raw_Orders!G871,4)),VALUE(MID(Raw_Orders!G871,4,2)),VALUE(LEFT(Raw_Orders!G871,2)))</f>
        <v>45237</v>
      </c>
      <c r="N871" s="7">
        <f t="shared" si="27"/>
        <v>2</v>
      </c>
      <c r="O871" s="7" t="str">
        <f>Raw_Orders!J871</f>
        <v>Diwali</v>
      </c>
      <c r="P871" s="7" t="str">
        <f>Raw_Orders!I871</f>
        <v>Pallavaram</v>
      </c>
    </row>
    <row r="872" spans="1:16">
      <c r="A872" s="7" t="str">
        <f>Raw_Orders!A872</f>
        <v>871</v>
      </c>
      <c r="B872" s="7" t="str">
        <f>Raw_Orders!B872</f>
        <v>C062</v>
      </c>
      <c r="C872" s="7" t="str">
        <f>INDEX(Raw_Customers!$B$2:$B$101,MATCH($B872,Raw_Customers!$A$2:$A$101,0))</f>
        <v>Inaaya  Sarraf</v>
      </c>
      <c r="D872" s="7" t="str">
        <f>TRIM(INDEX(Raw_Customers!$C$2:$C$101,MATCH($B872,Raw_Customers!$A$2:$A$101,0)))</f>
        <v>Nagpur</v>
      </c>
      <c r="E872" s="7" t="str">
        <f>"+91-"&amp;RIGHT("0000000000"&amp;INDEX(Raw_Customers!$D$2:$D$101,MATCH($B872,Raw_Customers!$A$2:$A$101,0)),10)</f>
        <v>+91-5915082470</v>
      </c>
      <c r="F872" s="7" t="str">
        <f>Raw_Orders!C872</f>
        <v>15</v>
      </c>
      <c r="G872" s="7" t="str">
        <f>INDEX(Raw_Products!$B$2:$B$71,MATCH($F872,Raw_Products!$A$2:$A$71,0))</f>
        <v>Repudiandae Box</v>
      </c>
      <c r="H872" s="7" t="str">
        <f>INDEX(Raw_Products!$C$2:$C$71,MATCH($F872,Raw_Products!$A$2:$A$71,0))</f>
        <v>Raksha Bandhan</v>
      </c>
      <c r="I872" s="7">
        <f>VALUE(Raw_Orders!D872)</f>
        <v>1</v>
      </c>
      <c r="J872" s="11" t="str">
        <f>INDEX(Raw_Products!$D$2:$D$71,MATCH($F872,Raw_Products!$A$2:$A$71,0))</f>
        <v>1488</v>
      </c>
      <c r="K872" s="11">
        <f t="shared" si="26"/>
        <v>1488</v>
      </c>
      <c r="L872" s="12">
        <f>DATE(VALUE(RIGHT(Raw_Orders!E872,4)),VALUE(MID(Raw_Orders!E872,4,2)),VALUE(LEFT(Raw_Orders!E872,2)))</f>
        <v>45088</v>
      </c>
      <c r="M872" s="12">
        <f>DATE(VALUE(RIGHT(Raw_Orders!G872,4)),VALUE(MID(Raw_Orders!G872,4,2)),VALUE(LEFT(Raw_Orders!G872,2)))</f>
        <v>45092</v>
      </c>
      <c r="N872" s="7">
        <f t="shared" si="27"/>
        <v>4</v>
      </c>
      <c r="O872" s="7" t="str">
        <f>Raw_Orders!J872</f>
        <v>Anniversary</v>
      </c>
      <c r="P872" s="7" t="str">
        <f>Raw_Orders!I872</f>
        <v>Secunderabad</v>
      </c>
    </row>
    <row r="873" spans="1:16">
      <c r="A873" s="7" t="str">
        <f>Raw_Orders!A873</f>
        <v>872</v>
      </c>
      <c r="B873" s="7" t="str">
        <f>Raw_Orders!B873</f>
        <v>C094</v>
      </c>
      <c r="C873" s="7" t="str">
        <f>INDEX(Raw_Customers!$B$2:$B$101,MATCH($B873,Raw_Customers!$A$2:$A$101,0))</f>
        <v>Raghav Babu</v>
      </c>
      <c r="D873" s="7" t="str">
        <f>TRIM(INDEX(Raw_Customers!$C$2:$C$101,MATCH($B873,Raw_Customers!$A$2:$A$101,0)))</f>
        <v>Deoghar</v>
      </c>
      <c r="E873" s="7" t="str">
        <f>"+91-"&amp;RIGHT("0000000000"&amp;INDEX(Raw_Customers!$D$2:$D$101,MATCH($B873,Raw_Customers!$A$2:$A$101,0)),10)</f>
        <v>+91-4638480067</v>
      </c>
      <c r="F873" s="7" t="str">
        <f>Raw_Orders!C873</f>
        <v>13</v>
      </c>
      <c r="G873" s="7" t="str">
        <f>INDEX(Raw_Products!$B$2:$B$71,MATCH($F873,Raw_Products!$A$2:$A$71,0))</f>
        <v>Et Set</v>
      </c>
      <c r="H873" s="7" t="str">
        <f>INDEX(Raw_Products!$C$2:$C$71,MATCH($F873,Raw_Products!$A$2:$A$71,0))</f>
        <v>Mugs</v>
      </c>
      <c r="I873" s="7">
        <f>VALUE(Raw_Orders!D873)</f>
        <v>2</v>
      </c>
      <c r="J873" s="11" t="str">
        <f>INDEX(Raw_Products!$D$2:$D$71,MATCH($F873,Raw_Products!$A$2:$A$71,0))</f>
        <v>1141</v>
      </c>
      <c r="K873" s="11">
        <f t="shared" si="26"/>
        <v>2282</v>
      </c>
      <c r="L873" s="12">
        <f>DATE(VALUE(RIGHT(Raw_Orders!E873,4)),VALUE(MID(Raw_Orders!E873,4,2)),VALUE(LEFT(Raw_Orders!E873,2)))</f>
        <v>44990</v>
      </c>
      <c r="M873" s="12">
        <f>DATE(VALUE(RIGHT(Raw_Orders!G873,4)),VALUE(MID(Raw_Orders!G873,4,2)),VALUE(LEFT(Raw_Orders!G873,2)))</f>
        <v>44995</v>
      </c>
      <c r="N873" s="7">
        <f t="shared" si="27"/>
        <v>5</v>
      </c>
      <c r="O873" s="7" t="str">
        <f>Raw_Orders!J873</f>
        <v>Holi</v>
      </c>
      <c r="P873" s="7" t="str">
        <f>Raw_Orders!I873</f>
        <v>Bokaro</v>
      </c>
    </row>
    <row r="874" spans="1:16">
      <c r="A874" s="7" t="str">
        <f>Raw_Orders!A874</f>
        <v>873</v>
      </c>
      <c r="B874" s="7" t="str">
        <f>Raw_Orders!B874</f>
        <v>C027</v>
      </c>
      <c r="C874" s="7" t="str">
        <f>INDEX(Raw_Customers!$B$2:$B$101,MATCH($B874,Raw_Customers!$A$2:$A$101,0))</f>
        <v>Kashvi Sur</v>
      </c>
      <c r="D874" s="7" t="str">
        <f>TRIM(INDEX(Raw_Customers!$C$2:$C$101,MATCH($B874,Raw_Customers!$A$2:$A$101,0)))</f>
        <v>Serampore</v>
      </c>
      <c r="E874" s="7" t="str">
        <f>"+91-"&amp;RIGHT("0000000000"&amp;INDEX(Raw_Customers!$D$2:$D$101,MATCH($B874,Raw_Customers!$A$2:$A$101,0)),10)</f>
        <v>+91-3431035116</v>
      </c>
      <c r="F874" s="7" t="str">
        <f>Raw_Orders!C874</f>
        <v>64</v>
      </c>
      <c r="G874" s="7" t="str">
        <f>INDEX(Raw_Products!$B$2:$B$71,MATCH($F874,Raw_Products!$A$2:$A$71,0))</f>
        <v>Nostrum Box</v>
      </c>
      <c r="H874" s="7" t="str">
        <f>INDEX(Raw_Products!$C$2:$C$71,MATCH($F874,Raw_Products!$A$2:$A$71,0))</f>
        <v>Soft Toys</v>
      </c>
      <c r="I874" s="7">
        <f>VALUE(Raw_Orders!D874)</f>
        <v>4</v>
      </c>
      <c r="J874" s="11" t="str">
        <f>INDEX(Raw_Products!$D$2:$D$71,MATCH($F874,Raw_Products!$A$2:$A$71,0))</f>
        <v>1878</v>
      </c>
      <c r="K874" s="11">
        <f t="shared" si="26"/>
        <v>7512</v>
      </c>
      <c r="L874" s="12">
        <f>DATE(VALUE(RIGHT(Raw_Orders!E874,4)),VALUE(MID(Raw_Orders!E874,4,2)),VALUE(LEFT(Raw_Orders!E874,2)))</f>
        <v>45164</v>
      </c>
      <c r="M874" s="12">
        <f>DATE(VALUE(RIGHT(Raw_Orders!G874,4)),VALUE(MID(Raw_Orders!G874,4,2)),VALUE(LEFT(Raw_Orders!G874,2)))</f>
        <v>45174</v>
      </c>
      <c r="N874" s="7">
        <f t="shared" si="27"/>
        <v>10</v>
      </c>
      <c r="O874" s="7" t="str">
        <f>Raw_Orders!J874</f>
        <v>Raksha Bandhan</v>
      </c>
      <c r="P874" s="7" t="str">
        <f>Raw_Orders!I874</f>
        <v>Nandyal</v>
      </c>
    </row>
    <row r="875" spans="1:16">
      <c r="A875" s="7" t="str">
        <f>Raw_Orders!A875</f>
        <v>874</v>
      </c>
      <c r="B875" s="7" t="str">
        <f>Raw_Orders!B875</f>
        <v>C010</v>
      </c>
      <c r="C875" s="7" t="str">
        <f>INDEX(Raw_Customers!$B$2:$B$101,MATCH($B875,Raw_Customers!$A$2:$A$101,0))</f>
        <v>Darshit Dave</v>
      </c>
      <c r="D875" s="7" t="str">
        <f>TRIM(INDEX(Raw_Customers!$C$2:$C$101,MATCH($B875,Raw_Customers!$A$2:$A$101,0)))</f>
        <v>Kanpur</v>
      </c>
      <c r="E875" s="7" t="str">
        <f>"+91-"&amp;RIGHT("0000000000"&amp;INDEX(Raw_Customers!$D$2:$D$101,MATCH($B875,Raw_Customers!$A$2:$A$101,0)),10)</f>
        <v>+91-1608833065</v>
      </c>
      <c r="F875" s="7" t="str">
        <f>Raw_Orders!C875</f>
        <v>68</v>
      </c>
      <c r="G875" s="7" t="str">
        <f>INDEX(Raw_Products!$B$2:$B$71,MATCH($F875,Raw_Products!$A$2:$A$71,0))</f>
        <v>Quas Gift</v>
      </c>
      <c r="H875" s="7" t="str">
        <f>INDEX(Raw_Products!$C$2:$C$71,MATCH($F875,Raw_Products!$A$2:$A$71,0))</f>
        <v>Soft Toys</v>
      </c>
      <c r="I875" s="7">
        <f>VALUE(Raw_Orders!D875)</f>
        <v>1</v>
      </c>
      <c r="J875" s="11" t="str">
        <f>INDEX(Raw_Products!$D$2:$D$71,MATCH($F875,Raw_Products!$A$2:$A$71,0))</f>
        <v>597</v>
      </c>
      <c r="K875" s="11">
        <f t="shared" si="26"/>
        <v>597</v>
      </c>
      <c r="L875" s="12">
        <f>DATE(VALUE(RIGHT(Raw_Orders!E875,4)),VALUE(MID(Raw_Orders!E875,4,2)),VALUE(LEFT(Raw_Orders!E875,2)))</f>
        <v>44968</v>
      </c>
      <c r="M875" s="12">
        <f>DATE(VALUE(RIGHT(Raw_Orders!G875,4)),VALUE(MID(Raw_Orders!G875,4,2)),VALUE(LEFT(Raw_Orders!G875,2)))</f>
        <v>44978</v>
      </c>
      <c r="N875" s="7">
        <f t="shared" si="27"/>
        <v>10</v>
      </c>
      <c r="O875" s="7" t="str">
        <f>Raw_Orders!J875</f>
        <v>Valentine's Day</v>
      </c>
      <c r="P875" s="7" t="str">
        <f>Raw_Orders!I875</f>
        <v>Ramagundam</v>
      </c>
    </row>
    <row r="876" spans="1:16">
      <c r="A876" s="7" t="str">
        <f>Raw_Orders!A876</f>
        <v>875</v>
      </c>
      <c r="B876" s="7" t="str">
        <f>Raw_Orders!B876</f>
        <v>C011</v>
      </c>
      <c r="C876" s="7" t="str">
        <f>INDEX(Raw_Customers!$B$2:$B$101,MATCH($B876,Raw_Customers!$A$2:$A$101,0))</f>
        <v>Lagan Kapoor</v>
      </c>
      <c r="D876" s="7" t="str">
        <f>TRIM(INDEX(Raw_Customers!$C$2:$C$101,MATCH($B876,Raw_Customers!$A$2:$A$101,0)))</f>
        <v>Orai</v>
      </c>
      <c r="E876" s="7" t="str">
        <f>"+91-"&amp;RIGHT("0000000000"&amp;INDEX(Raw_Customers!$D$2:$D$101,MATCH($B876,Raw_Customers!$A$2:$A$101,0)),10)</f>
        <v>+91-6173563562</v>
      </c>
      <c r="F876" s="7" t="str">
        <f>Raw_Orders!C876</f>
        <v>13</v>
      </c>
      <c r="G876" s="7" t="str">
        <f>INDEX(Raw_Products!$B$2:$B$71,MATCH($F876,Raw_Products!$A$2:$A$71,0))</f>
        <v>Et Set</v>
      </c>
      <c r="H876" s="7" t="str">
        <f>INDEX(Raw_Products!$C$2:$C$71,MATCH($F876,Raw_Products!$A$2:$A$71,0))</f>
        <v>Mugs</v>
      </c>
      <c r="I876" s="7">
        <f>VALUE(Raw_Orders!D876)</f>
        <v>1</v>
      </c>
      <c r="J876" s="11" t="str">
        <f>INDEX(Raw_Products!$D$2:$D$71,MATCH($F876,Raw_Products!$A$2:$A$71,0))</f>
        <v>1141</v>
      </c>
      <c r="K876" s="11">
        <f t="shared" si="26"/>
        <v>1141</v>
      </c>
      <c r="L876" s="12">
        <f>DATE(VALUE(RIGHT(Raw_Orders!E876,4)),VALUE(MID(Raw_Orders!E876,4,2)),VALUE(LEFT(Raw_Orders!E876,2)))</f>
        <v>44990</v>
      </c>
      <c r="M876" s="12">
        <f>DATE(VALUE(RIGHT(Raw_Orders!G876,4)),VALUE(MID(Raw_Orders!G876,4,2)),VALUE(LEFT(Raw_Orders!G876,2)))</f>
        <v>44999</v>
      </c>
      <c r="N876" s="7">
        <f t="shared" si="27"/>
        <v>9</v>
      </c>
      <c r="O876" s="7" t="str">
        <f>Raw_Orders!J876</f>
        <v>Holi</v>
      </c>
      <c r="P876" s="7" t="str">
        <f>Raw_Orders!I876</f>
        <v>Purnia</v>
      </c>
    </row>
    <row r="877" spans="1:16">
      <c r="A877" s="7" t="str">
        <f>Raw_Orders!A877</f>
        <v>876</v>
      </c>
      <c r="B877" s="7" t="str">
        <f>Raw_Orders!B877</f>
        <v>C016</v>
      </c>
      <c r="C877" s="7" t="str">
        <f>INDEX(Raw_Customers!$B$2:$B$101,MATCH($B877,Raw_Customers!$A$2:$A$101,0))</f>
        <v>Amani Ganesh</v>
      </c>
      <c r="D877" s="7" t="str">
        <f>TRIM(INDEX(Raw_Customers!$C$2:$C$101,MATCH($B877,Raw_Customers!$A$2:$A$101,0)))</f>
        <v>Tenali</v>
      </c>
      <c r="E877" s="7" t="str">
        <f>"+91-"&amp;RIGHT("0000000000"&amp;INDEX(Raw_Customers!$D$2:$D$101,MATCH($B877,Raw_Customers!$A$2:$A$101,0)),10)</f>
        <v>+91-8482992702</v>
      </c>
      <c r="F877" s="7" t="str">
        <f>Raw_Orders!C877</f>
        <v>4</v>
      </c>
      <c r="G877" s="7" t="str">
        <f>INDEX(Raw_Products!$B$2:$B$71,MATCH($F877,Raw_Products!$A$2:$A$71,0))</f>
        <v>Accusantium Set</v>
      </c>
      <c r="H877" s="7" t="str">
        <f>INDEX(Raw_Products!$C$2:$C$71,MATCH($F877,Raw_Products!$A$2:$A$71,0))</f>
        <v>Sweets</v>
      </c>
      <c r="I877" s="7">
        <f>VALUE(Raw_Orders!D877)</f>
        <v>4</v>
      </c>
      <c r="J877" s="11" t="str">
        <f>INDEX(Raw_Products!$D$2:$D$71,MATCH($F877,Raw_Products!$A$2:$A$71,0))</f>
        <v>1199</v>
      </c>
      <c r="K877" s="11">
        <f t="shared" si="26"/>
        <v>4796</v>
      </c>
      <c r="L877" s="12">
        <f>DATE(VALUE(RIGHT(Raw_Orders!E877,4)),VALUE(MID(Raw_Orders!E877,4,2)),VALUE(LEFT(Raw_Orders!E877,2)))</f>
        <v>45236</v>
      </c>
      <c r="M877" s="12">
        <f>DATE(VALUE(RIGHT(Raw_Orders!G877,4)),VALUE(MID(Raw_Orders!G877,4,2)),VALUE(LEFT(Raw_Orders!G877,2)))</f>
        <v>45244</v>
      </c>
      <c r="N877" s="7">
        <f t="shared" si="27"/>
        <v>8</v>
      </c>
      <c r="O877" s="7" t="str">
        <f>Raw_Orders!J877</f>
        <v>Diwali</v>
      </c>
      <c r="P877" s="7" t="str">
        <f>Raw_Orders!I877</f>
        <v>Jaunpur</v>
      </c>
    </row>
    <row r="878" spans="1:16">
      <c r="A878" s="7" t="str">
        <f>Raw_Orders!A878</f>
        <v>877</v>
      </c>
      <c r="B878" s="7" t="str">
        <f>Raw_Orders!B878</f>
        <v>C041</v>
      </c>
      <c r="C878" s="7" t="str">
        <f>INDEX(Raw_Customers!$B$2:$B$101,MATCH($B878,Raw_Customers!$A$2:$A$101,0))</f>
        <v>Rati Dhingra</v>
      </c>
      <c r="D878" s="7" t="str">
        <f>TRIM(INDEX(Raw_Customers!$C$2:$C$101,MATCH($B878,Raw_Customers!$A$2:$A$101,0)))</f>
        <v>Karaikudi</v>
      </c>
      <c r="E878" s="7" t="str">
        <f>"+91-"&amp;RIGHT("0000000000"&amp;INDEX(Raw_Customers!$D$2:$D$101,MATCH($B878,Raw_Customers!$A$2:$A$101,0)),10)</f>
        <v>+91-0625408216</v>
      </c>
      <c r="F878" s="7" t="str">
        <f>Raw_Orders!C878</f>
        <v>46</v>
      </c>
      <c r="G878" s="7" t="str">
        <f>INDEX(Raw_Products!$B$2:$B$71,MATCH($F878,Raw_Products!$A$2:$A$71,0))</f>
        <v>Pariatur Set</v>
      </c>
      <c r="H878" s="7" t="str">
        <f>INDEX(Raw_Products!$C$2:$C$71,MATCH($F878,Raw_Products!$A$2:$A$71,0))</f>
        <v>Cake</v>
      </c>
      <c r="I878" s="7">
        <f>VALUE(Raw_Orders!D878)</f>
        <v>5</v>
      </c>
      <c r="J878" s="11" t="str">
        <f>INDEX(Raw_Products!$D$2:$D$71,MATCH($F878,Raw_Products!$A$2:$A$71,0))</f>
        <v>758</v>
      </c>
      <c r="K878" s="11">
        <f t="shared" si="26"/>
        <v>3790</v>
      </c>
      <c r="L878" s="12">
        <f>DATE(VALUE(RIGHT(Raw_Orders!E878,4)),VALUE(MID(Raw_Orders!E878,4,2)),VALUE(LEFT(Raw_Orders!E878,2)))</f>
        <v>44994</v>
      </c>
      <c r="M878" s="12">
        <f>DATE(VALUE(RIGHT(Raw_Orders!G878,4)),VALUE(MID(Raw_Orders!G878,4,2)),VALUE(LEFT(Raw_Orders!G878,2)))</f>
        <v>45003</v>
      </c>
      <c r="N878" s="7">
        <f t="shared" si="27"/>
        <v>9</v>
      </c>
      <c r="O878" s="7" t="str">
        <f>Raw_Orders!J878</f>
        <v>Anniversary</v>
      </c>
      <c r="P878" s="7" t="str">
        <f>Raw_Orders!I878</f>
        <v>Hazaribagh</v>
      </c>
    </row>
    <row r="879" spans="1:16">
      <c r="A879" s="7" t="str">
        <f>Raw_Orders!A879</f>
        <v>878</v>
      </c>
      <c r="B879" s="7" t="str">
        <f>Raw_Orders!B879</f>
        <v>C057</v>
      </c>
      <c r="C879" s="7" t="str">
        <f>INDEX(Raw_Customers!$B$2:$B$101,MATCH($B879,Raw_Customers!$A$2:$A$101,0))</f>
        <v>Zain Hegde</v>
      </c>
      <c r="D879" s="7" t="str">
        <f>TRIM(INDEX(Raw_Customers!$C$2:$C$101,MATCH($B879,Raw_Customers!$A$2:$A$101,0)))</f>
        <v>Delhi</v>
      </c>
      <c r="E879" s="7" t="str">
        <f>"+91-"&amp;RIGHT("0000000000"&amp;INDEX(Raw_Customers!$D$2:$D$101,MATCH($B879,Raw_Customers!$A$2:$A$101,0)),10)</f>
        <v>+91-8736997123</v>
      </c>
      <c r="F879" s="7" t="str">
        <f>Raw_Orders!C879</f>
        <v>4</v>
      </c>
      <c r="G879" s="7" t="str">
        <f>INDEX(Raw_Products!$B$2:$B$71,MATCH($F879,Raw_Products!$A$2:$A$71,0))</f>
        <v>Accusantium Set</v>
      </c>
      <c r="H879" s="7" t="str">
        <f>INDEX(Raw_Products!$C$2:$C$71,MATCH($F879,Raw_Products!$A$2:$A$71,0))</f>
        <v>Sweets</v>
      </c>
      <c r="I879" s="7">
        <f>VALUE(Raw_Orders!D879)</f>
        <v>2</v>
      </c>
      <c r="J879" s="11" t="str">
        <f>INDEX(Raw_Products!$D$2:$D$71,MATCH($F879,Raw_Products!$A$2:$A$71,0))</f>
        <v>1199</v>
      </c>
      <c r="K879" s="11">
        <f t="shared" si="26"/>
        <v>2398</v>
      </c>
      <c r="L879" s="12">
        <f>DATE(VALUE(RIGHT(Raw_Orders!E879,4)),VALUE(MID(Raw_Orders!E879,4,2)),VALUE(LEFT(Raw_Orders!E879,2)))</f>
        <v>45240</v>
      </c>
      <c r="M879" s="12">
        <f>DATE(VALUE(RIGHT(Raw_Orders!G879,4)),VALUE(MID(Raw_Orders!G879,4,2)),VALUE(LEFT(Raw_Orders!G879,2)))</f>
        <v>45249</v>
      </c>
      <c r="N879" s="7">
        <f t="shared" si="27"/>
        <v>9</v>
      </c>
      <c r="O879" s="7" t="str">
        <f>Raw_Orders!J879</f>
        <v>Diwali</v>
      </c>
      <c r="P879" s="7" t="str">
        <f>Raw_Orders!I879</f>
        <v>Singrauli</v>
      </c>
    </row>
    <row r="880" spans="1:16">
      <c r="A880" s="7" t="str">
        <f>Raw_Orders!A880</f>
        <v>879</v>
      </c>
      <c r="B880" s="7" t="str">
        <f>Raw_Orders!B880</f>
        <v>C092</v>
      </c>
      <c r="C880" s="7" t="str">
        <f>INDEX(Raw_Customers!$B$2:$B$101,MATCH($B880,Raw_Customers!$A$2:$A$101,0))</f>
        <v>Zoya Mani</v>
      </c>
      <c r="D880" s="7" t="str">
        <f>TRIM(INDEX(Raw_Customers!$C$2:$C$101,MATCH($B880,Raw_Customers!$A$2:$A$101,0)))</f>
        <v>Dibrugarh</v>
      </c>
      <c r="E880" s="7" t="str">
        <f>"+91-"&amp;RIGHT("0000000000"&amp;INDEX(Raw_Customers!$D$2:$D$101,MATCH($B880,Raw_Customers!$A$2:$A$101,0)),10)</f>
        <v>+91-8918356963</v>
      </c>
      <c r="F880" s="7" t="str">
        <f>Raw_Orders!C880</f>
        <v>33</v>
      </c>
      <c r="G880" s="7" t="str">
        <f>INDEX(Raw_Products!$B$2:$B$71,MATCH($F880,Raw_Products!$A$2:$A$71,0))</f>
        <v>Earum Set</v>
      </c>
      <c r="H880" s="7" t="str">
        <f>INDEX(Raw_Products!$C$2:$C$71,MATCH($F880,Raw_Products!$A$2:$A$71,0))</f>
        <v>Colors</v>
      </c>
      <c r="I880" s="7">
        <f>VALUE(Raw_Orders!D880)</f>
        <v>2</v>
      </c>
      <c r="J880" s="11" t="str">
        <f>INDEX(Raw_Products!$D$2:$D$71,MATCH($F880,Raw_Products!$A$2:$A$71,0))</f>
        <v>314</v>
      </c>
      <c r="K880" s="11">
        <f t="shared" si="26"/>
        <v>628</v>
      </c>
      <c r="L880" s="12">
        <f>DATE(VALUE(RIGHT(Raw_Orders!E880,4)),VALUE(MID(Raw_Orders!E880,4,2)),VALUE(LEFT(Raw_Orders!E880,2)))</f>
        <v>44964</v>
      </c>
      <c r="M880" s="12">
        <f>DATE(VALUE(RIGHT(Raw_Orders!G880,4)),VALUE(MID(Raw_Orders!G880,4,2)),VALUE(LEFT(Raw_Orders!G880,2)))</f>
        <v>44967</v>
      </c>
      <c r="N880" s="7">
        <f t="shared" si="27"/>
        <v>3</v>
      </c>
      <c r="O880" s="7" t="str">
        <f>Raw_Orders!J880</f>
        <v>Valentine's Day</v>
      </c>
      <c r="P880" s="7" t="str">
        <f>Raw_Orders!I880</f>
        <v>Kishanganj</v>
      </c>
    </row>
    <row r="881" spans="1:16">
      <c r="A881" s="7" t="str">
        <f>Raw_Orders!A881</f>
        <v>880</v>
      </c>
      <c r="B881" s="7" t="str">
        <f>Raw_Orders!B881</f>
        <v>C044</v>
      </c>
      <c r="C881" s="7" t="str">
        <f>INDEX(Raw_Customers!$B$2:$B$101,MATCH($B881,Raw_Customers!$A$2:$A$101,0))</f>
        <v>Seher Mann</v>
      </c>
      <c r="D881" s="7" t="str">
        <f>TRIM(INDEX(Raw_Customers!$C$2:$C$101,MATCH($B881,Raw_Customers!$A$2:$A$101,0)))</f>
        <v>Agra</v>
      </c>
      <c r="E881" s="7" t="str">
        <f>"+91-"&amp;RIGHT("0000000000"&amp;INDEX(Raw_Customers!$D$2:$D$101,MATCH($B881,Raw_Customers!$A$2:$A$101,0)),10)</f>
        <v>+91-9843970658</v>
      </c>
      <c r="F881" s="7" t="str">
        <f>Raw_Orders!C881</f>
        <v>34</v>
      </c>
      <c r="G881" s="7" t="str">
        <f>INDEX(Raw_Products!$B$2:$B$71,MATCH($F881,Raw_Products!$A$2:$A$71,0))</f>
        <v>Placeat Pack</v>
      </c>
      <c r="H881" s="7" t="str">
        <f>INDEX(Raw_Products!$C$2:$C$71,MATCH($F881,Raw_Products!$A$2:$A$71,0))</f>
        <v>Soft Toys</v>
      </c>
      <c r="I881" s="7">
        <f>VALUE(Raw_Orders!D881)</f>
        <v>5</v>
      </c>
      <c r="J881" s="11" t="str">
        <f>INDEX(Raw_Products!$D$2:$D$71,MATCH($F881,Raw_Products!$A$2:$A$71,0))</f>
        <v>1335</v>
      </c>
      <c r="K881" s="11">
        <f t="shared" si="26"/>
        <v>6675</v>
      </c>
      <c r="L881" s="12">
        <f>DATE(VALUE(RIGHT(Raw_Orders!E881,4)),VALUE(MID(Raw_Orders!E881,4,2)),VALUE(LEFT(Raw_Orders!E881,2)))</f>
        <v>45167</v>
      </c>
      <c r="M881" s="12">
        <f>DATE(VALUE(RIGHT(Raw_Orders!G881,4)),VALUE(MID(Raw_Orders!G881,4,2)),VALUE(LEFT(Raw_Orders!G881,2)))</f>
        <v>45169</v>
      </c>
      <c r="N881" s="7">
        <f t="shared" si="27"/>
        <v>2</v>
      </c>
      <c r="O881" s="7" t="str">
        <f>Raw_Orders!J881</f>
        <v>Raksha Bandhan</v>
      </c>
      <c r="P881" s="7" t="str">
        <f>Raw_Orders!I881</f>
        <v>Purnia</v>
      </c>
    </row>
    <row r="882" spans="1:16">
      <c r="A882" s="7" t="str">
        <f>Raw_Orders!A882</f>
        <v>881</v>
      </c>
      <c r="B882" s="7" t="str">
        <f>Raw_Orders!B882</f>
        <v>C015</v>
      </c>
      <c r="C882" s="7" t="str">
        <f>INDEX(Raw_Customers!$B$2:$B$101,MATCH($B882,Raw_Customers!$A$2:$A$101,0))</f>
        <v>Romil Bajwa</v>
      </c>
      <c r="D882" s="7" t="str">
        <f>TRIM(INDEX(Raw_Customers!$C$2:$C$101,MATCH($B882,Raw_Customers!$A$2:$A$101,0)))</f>
        <v>Kolkata</v>
      </c>
      <c r="E882" s="7" t="str">
        <f>"+91-"&amp;RIGHT("0000000000"&amp;INDEX(Raw_Customers!$D$2:$D$101,MATCH($B882,Raw_Customers!$A$2:$A$101,0)),10)</f>
        <v>+91-8664164910</v>
      </c>
      <c r="F882" s="7" t="str">
        <f>Raw_Orders!C882</f>
        <v>28</v>
      </c>
      <c r="G882" s="7" t="str">
        <f>INDEX(Raw_Products!$B$2:$B$71,MATCH($F882,Raw_Products!$A$2:$A$71,0))</f>
        <v>Velit Set</v>
      </c>
      <c r="H882" s="7" t="str">
        <f>INDEX(Raw_Products!$C$2:$C$71,MATCH($F882,Raw_Products!$A$2:$A$71,0))</f>
        <v>Sweets</v>
      </c>
      <c r="I882" s="7">
        <f>VALUE(Raw_Orders!D882)</f>
        <v>4</v>
      </c>
      <c r="J882" s="11" t="str">
        <f>INDEX(Raw_Products!$D$2:$D$71,MATCH($F882,Raw_Products!$A$2:$A$71,0))</f>
        <v>1778</v>
      </c>
      <c r="K882" s="11">
        <f t="shared" si="26"/>
        <v>7112</v>
      </c>
      <c r="L882" s="12">
        <f>DATE(VALUE(RIGHT(Raw_Orders!E882,4)),VALUE(MID(Raw_Orders!E882,4,2)),VALUE(LEFT(Raw_Orders!E882,2)))</f>
        <v>45159</v>
      </c>
      <c r="M882" s="12">
        <f>DATE(VALUE(RIGHT(Raw_Orders!G882,4)),VALUE(MID(Raw_Orders!G882,4,2)),VALUE(LEFT(Raw_Orders!G882,2)))</f>
        <v>45166</v>
      </c>
      <c r="N882" s="7">
        <f t="shared" si="27"/>
        <v>7</v>
      </c>
      <c r="O882" s="7" t="str">
        <f>Raw_Orders!J882</f>
        <v>Raksha Bandhan</v>
      </c>
      <c r="P882" s="7" t="str">
        <f>Raw_Orders!I882</f>
        <v>New Delhi</v>
      </c>
    </row>
    <row r="883" spans="1:16">
      <c r="A883" s="7" t="str">
        <f>Raw_Orders!A883</f>
        <v>882</v>
      </c>
      <c r="B883" s="7" t="str">
        <f>Raw_Orders!B883</f>
        <v>C089</v>
      </c>
      <c r="C883" s="7" t="str">
        <f>INDEX(Raw_Customers!$B$2:$B$101,MATCH($B883,Raw_Customers!$A$2:$A$101,0))</f>
        <v>Oorja Dey</v>
      </c>
      <c r="D883" s="7" t="str">
        <f>TRIM(INDEX(Raw_Customers!$C$2:$C$101,MATCH($B883,Raw_Customers!$A$2:$A$101,0)))</f>
        <v>Nellore</v>
      </c>
      <c r="E883" s="7" t="str">
        <f>"+91-"&amp;RIGHT("0000000000"&amp;INDEX(Raw_Customers!$D$2:$D$101,MATCH($B883,Raw_Customers!$A$2:$A$101,0)),10)</f>
        <v>+91-7264144428</v>
      </c>
      <c r="F883" s="7" t="str">
        <f>Raw_Orders!C883</f>
        <v>64</v>
      </c>
      <c r="G883" s="7" t="str">
        <f>INDEX(Raw_Products!$B$2:$B$71,MATCH($F883,Raw_Products!$A$2:$A$71,0))</f>
        <v>Nostrum Box</v>
      </c>
      <c r="H883" s="7" t="str">
        <f>INDEX(Raw_Products!$C$2:$C$71,MATCH($F883,Raw_Products!$A$2:$A$71,0))</f>
        <v>Soft Toys</v>
      </c>
      <c r="I883" s="7">
        <f>VALUE(Raw_Orders!D883)</f>
        <v>2</v>
      </c>
      <c r="J883" s="11" t="str">
        <f>INDEX(Raw_Products!$D$2:$D$71,MATCH($F883,Raw_Products!$A$2:$A$71,0))</f>
        <v>1878</v>
      </c>
      <c r="K883" s="11">
        <f t="shared" si="26"/>
        <v>3756</v>
      </c>
      <c r="L883" s="12">
        <f>DATE(VALUE(RIGHT(Raw_Orders!E883,4)),VALUE(MID(Raw_Orders!E883,4,2)),VALUE(LEFT(Raw_Orders!E883,2)))</f>
        <v>45167</v>
      </c>
      <c r="M883" s="12">
        <f>DATE(VALUE(RIGHT(Raw_Orders!G883,4)),VALUE(MID(Raw_Orders!G883,4,2)),VALUE(LEFT(Raw_Orders!G883,2)))</f>
        <v>45177</v>
      </c>
      <c r="N883" s="7">
        <f t="shared" si="27"/>
        <v>10</v>
      </c>
      <c r="O883" s="7" t="str">
        <f>Raw_Orders!J883</f>
        <v>Raksha Bandhan</v>
      </c>
      <c r="P883" s="7" t="str">
        <f>Raw_Orders!I883</f>
        <v>Srikakulam</v>
      </c>
    </row>
    <row r="884" spans="1:16">
      <c r="A884" s="7" t="str">
        <f>Raw_Orders!A884</f>
        <v>883</v>
      </c>
      <c r="B884" s="7" t="str">
        <f>Raw_Orders!B884</f>
        <v>C041</v>
      </c>
      <c r="C884" s="7" t="str">
        <f>INDEX(Raw_Customers!$B$2:$B$101,MATCH($B884,Raw_Customers!$A$2:$A$101,0))</f>
        <v>Rati Dhingra</v>
      </c>
      <c r="D884" s="7" t="str">
        <f>TRIM(INDEX(Raw_Customers!$C$2:$C$101,MATCH($B884,Raw_Customers!$A$2:$A$101,0)))</f>
        <v>Karaikudi</v>
      </c>
      <c r="E884" s="7" t="str">
        <f>"+91-"&amp;RIGHT("0000000000"&amp;INDEX(Raw_Customers!$D$2:$D$101,MATCH($B884,Raw_Customers!$A$2:$A$101,0)),10)</f>
        <v>+91-0625408216</v>
      </c>
      <c r="F884" s="7" t="str">
        <f>Raw_Orders!C884</f>
        <v>36</v>
      </c>
      <c r="G884" s="7" t="str">
        <f>INDEX(Raw_Products!$B$2:$B$71,MATCH($F884,Raw_Products!$A$2:$A$71,0))</f>
        <v>Cum Gift</v>
      </c>
      <c r="H884" s="7" t="str">
        <f>INDEX(Raw_Products!$C$2:$C$71,MATCH($F884,Raw_Products!$A$2:$A$71,0))</f>
        <v>Plants</v>
      </c>
      <c r="I884" s="7">
        <f>VALUE(Raw_Orders!D884)</f>
        <v>4</v>
      </c>
      <c r="J884" s="11" t="str">
        <f>INDEX(Raw_Products!$D$2:$D$71,MATCH($F884,Raw_Products!$A$2:$A$71,0))</f>
        <v>203</v>
      </c>
      <c r="K884" s="11">
        <f t="shared" si="26"/>
        <v>812</v>
      </c>
      <c r="L884" s="12">
        <f>DATE(VALUE(RIGHT(Raw_Orders!E884,4)),VALUE(MID(Raw_Orders!E884,4,2)),VALUE(LEFT(Raw_Orders!E884,2)))</f>
        <v>45123</v>
      </c>
      <c r="M884" s="12">
        <f>DATE(VALUE(RIGHT(Raw_Orders!G884,4)),VALUE(MID(Raw_Orders!G884,4,2)),VALUE(LEFT(Raw_Orders!G884,2)))</f>
        <v>45124</v>
      </c>
      <c r="N884" s="7">
        <f t="shared" si="27"/>
        <v>1</v>
      </c>
      <c r="O884" s="7" t="str">
        <f>Raw_Orders!J884</f>
        <v>Birthday</v>
      </c>
      <c r="P884" s="7" t="str">
        <f>Raw_Orders!I884</f>
        <v>Shahjahanpur</v>
      </c>
    </row>
    <row r="885" spans="1:16">
      <c r="A885" s="7" t="str">
        <f>Raw_Orders!A885</f>
        <v>884</v>
      </c>
      <c r="B885" s="7" t="str">
        <f>Raw_Orders!B885</f>
        <v>C091</v>
      </c>
      <c r="C885" s="7" t="str">
        <f>INDEX(Raw_Customers!$B$2:$B$101,MATCH($B885,Raw_Customers!$A$2:$A$101,0))</f>
        <v>Adira Rajan</v>
      </c>
      <c r="D885" s="7" t="str">
        <f>TRIM(INDEX(Raw_Customers!$C$2:$C$101,MATCH($B885,Raw_Customers!$A$2:$A$101,0)))</f>
        <v>New Delhi</v>
      </c>
      <c r="E885" s="7" t="str">
        <f>"+91-"&amp;RIGHT("0000000000"&amp;INDEX(Raw_Customers!$D$2:$D$101,MATCH($B885,Raw_Customers!$A$2:$A$101,0)),10)</f>
        <v>+91-5525478357</v>
      </c>
      <c r="F885" s="7" t="str">
        <f>Raw_Orders!C885</f>
        <v>10</v>
      </c>
      <c r="G885" s="7" t="str">
        <f>INDEX(Raw_Products!$B$2:$B$71,MATCH($F885,Raw_Products!$A$2:$A$71,0))</f>
        <v>Accusantium Gift</v>
      </c>
      <c r="H885" s="7" t="str">
        <f>INDEX(Raw_Products!$C$2:$C$71,MATCH($F885,Raw_Products!$A$2:$A$71,0))</f>
        <v>Cake</v>
      </c>
      <c r="I885" s="7">
        <f>VALUE(Raw_Orders!D885)</f>
        <v>3</v>
      </c>
      <c r="J885" s="11" t="str">
        <f>INDEX(Raw_Products!$D$2:$D$71,MATCH($F885,Raw_Products!$A$2:$A$71,0))</f>
        <v>259</v>
      </c>
      <c r="K885" s="11">
        <f t="shared" si="26"/>
        <v>777</v>
      </c>
      <c r="L885" s="12">
        <f>DATE(VALUE(RIGHT(Raw_Orders!E885,4)),VALUE(MID(Raw_Orders!E885,4,2)),VALUE(LEFT(Raw_Orders!E885,2)))</f>
        <v>45003</v>
      </c>
      <c r="M885" s="12">
        <f>DATE(VALUE(RIGHT(Raw_Orders!G885,4)),VALUE(MID(Raw_Orders!G885,4,2)),VALUE(LEFT(Raw_Orders!G885,2)))</f>
        <v>45012</v>
      </c>
      <c r="N885" s="7">
        <f t="shared" si="27"/>
        <v>9</v>
      </c>
      <c r="O885" s="7" t="str">
        <f>Raw_Orders!J885</f>
        <v>Birthday</v>
      </c>
      <c r="P885" s="7" t="str">
        <f>Raw_Orders!I885</f>
        <v>Tezpur</v>
      </c>
    </row>
    <row r="886" spans="1:16">
      <c r="A886" s="7" t="str">
        <f>Raw_Orders!A886</f>
        <v>885</v>
      </c>
      <c r="B886" s="7" t="str">
        <f>Raw_Orders!B886</f>
        <v>C084</v>
      </c>
      <c r="C886" s="7" t="str">
        <f>INDEX(Raw_Customers!$B$2:$B$101,MATCH($B886,Raw_Customers!$A$2:$A$101,0))</f>
        <v>Anahita Shankar</v>
      </c>
      <c r="D886" s="7" t="str">
        <f>TRIM(INDEX(Raw_Customers!$C$2:$C$101,MATCH($B886,Raw_Customers!$A$2:$A$101,0)))</f>
        <v>Tiruchirappalli</v>
      </c>
      <c r="E886" s="7" t="str">
        <f>"+91-"&amp;RIGHT("0000000000"&amp;INDEX(Raw_Customers!$D$2:$D$101,MATCH($B886,Raw_Customers!$A$2:$A$101,0)),10)</f>
        <v>+91-2205603376</v>
      </c>
      <c r="F886" s="7" t="str">
        <f>Raw_Orders!C886</f>
        <v>42</v>
      </c>
      <c r="G886" s="7" t="str">
        <f>INDEX(Raw_Products!$B$2:$B$71,MATCH($F886,Raw_Products!$A$2:$A$71,0))</f>
        <v>Expedita Gift</v>
      </c>
      <c r="H886" s="7" t="str">
        <f>INDEX(Raw_Products!$C$2:$C$71,MATCH($F886,Raw_Products!$A$2:$A$71,0))</f>
        <v>Sweets</v>
      </c>
      <c r="I886" s="7">
        <f>VALUE(Raw_Orders!D886)</f>
        <v>2</v>
      </c>
      <c r="J886" s="11" t="str">
        <f>INDEX(Raw_Products!$D$2:$D$71,MATCH($F886,Raw_Products!$A$2:$A$71,0))</f>
        <v>1744</v>
      </c>
      <c r="K886" s="11">
        <f t="shared" si="26"/>
        <v>3488</v>
      </c>
      <c r="L886" s="12">
        <f>DATE(VALUE(RIGHT(Raw_Orders!E886,4)),VALUE(MID(Raw_Orders!E886,4,2)),VALUE(LEFT(Raw_Orders!E886,2)))</f>
        <v>45216</v>
      </c>
      <c r="M886" s="12">
        <f>DATE(VALUE(RIGHT(Raw_Orders!G886,4)),VALUE(MID(Raw_Orders!G886,4,2)),VALUE(LEFT(Raw_Orders!G886,2)))</f>
        <v>45220</v>
      </c>
      <c r="N886" s="7">
        <f t="shared" si="27"/>
        <v>4</v>
      </c>
      <c r="O886" s="7" t="str">
        <f>Raw_Orders!J886</f>
        <v>All Occasions</v>
      </c>
      <c r="P886" s="7" t="str">
        <f>Raw_Orders!I886</f>
        <v>Pudukkottai</v>
      </c>
    </row>
    <row r="887" spans="1:16">
      <c r="A887" s="7" t="str">
        <f>Raw_Orders!A887</f>
        <v>886</v>
      </c>
      <c r="B887" s="7" t="str">
        <f>Raw_Orders!B887</f>
        <v>C045</v>
      </c>
      <c r="C887" s="7" t="str">
        <f>INDEX(Raw_Customers!$B$2:$B$101,MATCH($B887,Raw_Customers!$A$2:$A$101,0))</f>
        <v>Divit Mahajan</v>
      </c>
      <c r="D887" s="7" t="str">
        <f>TRIM(INDEX(Raw_Customers!$C$2:$C$101,MATCH($B887,Raw_Customers!$A$2:$A$101,0)))</f>
        <v>Maheshtala</v>
      </c>
      <c r="E887" s="7" t="str">
        <f>"+91-"&amp;RIGHT("0000000000"&amp;INDEX(Raw_Customers!$D$2:$D$101,MATCH($B887,Raw_Customers!$A$2:$A$101,0)),10)</f>
        <v>+91-6789522856</v>
      </c>
      <c r="F887" s="7" t="str">
        <f>Raw_Orders!C887</f>
        <v>53</v>
      </c>
      <c r="G887" s="7" t="str">
        <f>INDEX(Raw_Products!$B$2:$B$71,MATCH($F887,Raw_Products!$A$2:$A$71,0))</f>
        <v>Ipsam Set</v>
      </c>
      <c r="H887" s="7" t="str">
        <f>INDEX(Raw_Products!$C$2:$C$71,MATCH($F887,Raw_Products!$A$2:$A$71,0))</f>
        <v>Sweets</v>
      </c>
      <c r="I887" s="7">
        <f>VALUE(Raw_Orders!D887)</f>
        <v>3</v>
      </c>
      <c r="J887" s="11" t="str">
        <f>INDEX(Raw_Products!$D$2:$D$71,MATCH($F887,Raw_Products!$A$2:$A$71,0))</f>
        <v>1672</v>
      </c>
      <c r="K887" s="11">
        <f t="shared" si="26"/>
        <v>5016</v>
      </c>
      <c r="L887" s="12">
        <f>DATE(VALUE(RIGHT(Raw_Orders!E887,4)),VALUE(MID(Raw_Orders!E887,4,2)),VALUE(LEFT(Raw_Orders!E887,2)))</f>
        <v>45159</v>
      </c>
      <c r="M887" s="12">
        <f>DATE(VALUE(RIGHT(Raw_Orders!G887,4)),VALUE(MID(Raw_Orders!G887,4,2)),VALUE(LEFT(Raw_Orders!G887,2)))</f>
        <v>45163</v>
      </c>
      <c r="N887" s="7">
        <f t="shared" si="27"/>
        <v>4</v>
      </c>
      <c r="O887" s="7" t="str">
        <f>Raw_Orders!J887</f>
        <v>Raksha Bandhan</v>
      </c>
      <c r="P887" s="7" t="str">
        <f>Raw_Orders!I887</f>
        <v>Nanded</v>
      </c>
    </row>
    <row r="888" spans="1:16">
      <c r="A888" s="7" t="str">
        <f>Raw_Orders!A888</f>
        <v>887</v>
      </c>
      <c r="B888" s="7" t="str">
        <f>Raw_Orders!B888</f>
        <v>C091</v>
      </c>
      <c r="C888" s="7" t="str">
        <f>INDEX(Raw_Customers!$B$2:$B$101,MATCH($B888,Raw_Customers!$A$2:$A$101,0))</f>
        <v>Adira Rajan</v>
      </c>
      <c r="D888" s="7" t="str">
        <f>TRIM(INDEX(Raw_Customers!$C$2:$C$101,MATCH($B888,Raw_Customers!$A$2:$A$101,0)))</f>
        <v>New Delhi</v>
      </c>
      <c r="E888" s="7" t="str">
        <f>"+91-"&amp;RIGHT("0000000000"&amp;INDEX(Raw_Customers!$D$2:$D$101,MATCH($B888,Raw_Customers!$A$2:$A$101,0)),10)</f>
        <v>+91-5525478357</v>
      </c>
      <c r="F888" s="7" t="str">
        <f>Raw_Orders!C888</f>
        <v>51</v>
      </c>
      <c r="G888" s="7" t="str">
        <f>INDEX(Raw_Products!$B$2:$B$71,MATCH($F888,Raw_Products!$A$2:$A$71,0))</f>
        <v>Fugit Set</v>
      </c>
      <c r="H888" s="7" t="str">
        <f>INDEX(Raw_Products!$C$2:$C$71,MATCH($F888,Raw_Products!$A$2:$A$71,0))</f>
        <v>Soft Toys</v>
      </c>
      <c r="I888" s="7">
        <f>VALUE(Raw_Orders!D888)</f>
        <v>3</v>
      </c>
      <c r="J888" s="11" t="str">
        <f>INDEX(Raw_Products!$D$2:$D$71,MATCH($F888,Raw_Products!$A$2:$A$71,0))</f>
        <v>1084</v>
      </c>
      <c r="K888" s="11">
        <f t="shared" si="26"/>
        <v>3252</v>
      </c>
      <c r="L888" s="12">
        <f>DATE(VALUE(RIGHT(Raw_Orders!E888,4)),VALUE(MID(Raw_Orders!E888,4,2)),VALUE(LEFT(Raw_Orders!E888,2)))</f>
        <v>45106</v>
      </c>
      <c r="M888" s="12">
        <f>DATE(VALUE(RIGHT(Raw_Orders!G888,4)),VALUE(MID(Raw_Orders!G888,4,2)),VALUE(LEFT(Raw_Orders!G888,2)))</f>
        <v>45107</v>
      </c>
      <c r="N888" s="7">
        <f t="shared" si="27"/>
        <v>1</v>
      </c>
      <c r="O888" s="7" t="str">
        <f>Raw_Orders!J888</f>
        <v>All Occasions</v>
      </c>
      <c r="P888" s="7" t="str">
        <f>Raw_Orders!I888</f>
        <v>Visakhapatnam</v>
      </c>
    </row>
    <row r="889" spans="1:16">
      <c r="A889" s="7" t="str">
        <f>Raw_Orders!A889</f>
        <v>888</v>
      </c>
      <c r="B889" s="7" t="str">
        <f>Raw_Orders!B889</f>
        <v>C014</v>
      </c>
      <c r="C889" s="7" t="str">
        <f>INDEX(Raw_Customers!$B$2:$B$101,MATCH($B889,Raw_Customers!$A$2:$A$101,0))</f>
        <v>Indrans Shukla</v>
      </c>
      <c r="D889" s="7" t="str">
        <f>TRIM(INDEX(Raw_Customers!$C$2:$C$101,MATCH($B889,Raw_Customers!$A$2:$A$101,0)))</f>
        <v>Panvel</v>
      </c>
      <c r="E889" s="7" t="str">
        <f>"+91-"&amp;RIGHT("0000000000"&amp;INDEX(Raw_Customers!$D$2:$D$101,MATCH($B889,Raw_Customers!$A$2:$A$101,0)),10)</f>
        <v>+91-2717671919</v>
      </c>
      <c r="F889" s="7" t="str">
        <f>Raw_Orders!C889</f>
        <v>69</v>
      </c>
      <c r="G889" s="7" t="str">
        <f>INDEX(Raw_Products!$B$2:$B$71,MATCH($F889,Raw_Products!$A$2:$A$71,0))</f>
        <v>Id Box</v>
      </c>
      <c r="H889" s="7" t="str">
        <f>INDEX(Raw_Products!$C$2:$C$71,MATCH($F889,Raw_Products!$A$2:$A$71,0))</f>
        <v>Cake</v>
      </c>
      <c r="I889" s="7">
        <f>VALUE(Raw_Orders!D889)</f>
        <v>3</v>
      </c>
      <c r="J889" s="11" t="str">
        <f>INDEX(Raw_Products!$D$2:$D$71,MATCH($F889,Raw_Products!$A$2:$A$71,0))</f>
        <v>998</v>
      </c>
      <c r="K889" s="11">
        <f t="shared" si="26"/>
        <v>2994</v>
      </c>
      <c r="L889" s="12">
        <f>DATE(VALUE(RIGHT(Raw_Orders!E889,4)),VALUE(MID(Raw_Orders!E889,4,2)),VALUE(LEFT(Raw_Orders!E889,2)))</f>
        <v>44991</v>
      </c>
      <c r="M889" s="12">
        <f>DATE(VALUE(RIGHT(Raw_Orders!G889,4)),VALUE(MID(Raw_Orders!G889,4,2)),VALUE(LEFT(Raw_Orders!G889,2)))</f>
        <v>44996</v>
      </c>
      <c r="N889" s="7">
        <f t="shared" si="27"/>
        <v>5</v>
      </c>
      <c r="O889" s="7" t="str">
        <f>Raw_Orders!J889</f>
        <v>Holi</v>
      </c>
      <c r="P889" s="7" t="str">
        <f>Raw_Orders!I889</f>
        <v>Gandhinagar</v>
      </c>
    </row>
    <row r="890" spans="1:16">
      <c r="A890" s="7" t="str">
        <f>Raw_Orders!A890</f>
        <v>889</v>
      </c>
      <c r="B890" s="7" t="str">
        <f>Raw_Orders!B890</f>
        <v>C050</v>
      </c>
      <c r="C890" s="7" t="str">
        <f>INDEX(Raw_Customers!$B$2:$B$101,MATCH($B890,Raw_Customers!$A$2:$A$101,0))</f>
        <v>Chirag Srinivas</v>
      </c>
      <c r="D890" s="7" t="str">
        <f>TRIM(INDEX(Raw_Customers!$C$2:$C$101,MATCH($B890,Raw_Customers!$A$2:$A$101,0)))</f>
        <v>Imphal</v>
      </c>
      <c r="E890" s="7" t="str">
        <f>"+91-"&amp;RIGHT("0000000000"&amp;INDEX(Raw_Customers!$D$2:$D$101,MATCH($B890,Raw_Customers!$A$2:$A$101,0)),10)</f>
        <v>+91-1157961919</v>
      </c>
      <c r="F890" s="7" t="str">
        <f>Raw_Orders!C890</f>
        <v>36</v>
      </c>
      <c r="G890" s="7" t="str">
        <f>INDEX(Raw_Products!$B$2:$B$71,MATCH($F890,Raw_Products!$A$2:$A$71,0))</f>
        <v>Cum Gift</v>
      </c>
      <c r="H890" s="7" t="str">
        <f>INDEX(Raw_Products!$C$2:$C$71,MATCH($F890,Raw_Products!$A$2:$A$71,0))</f>
        <v>Plants</v>
      </c>
      <c r="I890" s="7">
        <f>VALUE(Raw_Orders!D890)</f>
        <v>3</v>
      </c>
      <c r="J890" s="11" t="str">
        <f>INDEX(Raw_Products!$D$2:$D$71,MATCH($F890,Raw_Products!$A$2:$A$71,0))</f>
        <v>203</v>
      </c>
      <c r="K890" s="11">
        <f t="shared" si="26"/>
        <v>609</v>
      </c>
      <c r="L890" s="12">
        <f>DATE(VALUE(RIGHT(Raw_Orders!E890,4)),VALUE(MID(Raw_Orders!E890,4,2)),VALUE(LEFT(Raw_Orders!E890,2)))</f>
        <v>45154</v>
      </c>
      <c r="M890" s="12">
        <f>DATE(VALUE(RIGHT(Raw_Orders!G890,4)),VALUE(MID(Raw_Orders!G890,4,2)),VALUE(LEFT(Raw_Orders!G890,2)))</f>
        <v>45156</v>
      </c>
      <c r="N890" s="7">
        <f t="shared" si="27"/>
        <v>2</v>
      </c>
      <c r="O890" s="7" t="str">
        <f>Raw_Orders!J890</f>
        <v>Birthday</v>
      </c>
      <c r="P890" s="7" t="str">
        <f>Raw_Orders!I890</f>
        <v>Bangalore</v>
      </c>
    </row>
    <row r="891" spans="1:16">
      <c r="A891" s="7" t="str">
        <f>Raw_Orders!A891</f>
        <v>890</v>
      </c>
      <c r="B891" s="7" t="str">
        <f>Raw_Orders!B891</f>
        <v>C064</v>
      </c>
      <c r="C891" s="7" t="str">
        <f>INDEX(Raw_Customers!$B$2:$B$101,MATCH($B891,Raw_Customers!$A$2:$A$101,0))</f>
        <v>Indrajit Kale</v>
      </c>
      <c r="D891" s="7" t="str">
        <f>TRIM(INDEX(Raw_Customers!$C$2:$C$101,MATCH($B891,Raw_Customers!$A$2:$A$101,0)))</f>
        <v>Srikakulam</v>
      </c>
      <c r="E891" s="7" t="str">
        <f>"+91-"&amp;RIGHT("0000000000"&amp;INDEX(Raw_Customers!$D$2:$D$101,MATCH($B891,Raw_Customers!$A$2:$A$101,0)),10)</f>
        <v>+91-6181058210</v>
      </c>
      <c r="F891" s="7" t="str">
        <f>Raw_Orders!C891</f>
        <v>45</v>
      </c>
      <c r="G891" s="7" t="str">
        <f>INDEX(Raw_Products!$B$2:$B$71,MATCH($F891,Raw_Products!$A$2:$A$71,0))</f>
        <v>Iusto Set</v>
      </c>
      <c r="H891" s="7" t="str">
        <f>INDEX(Raw_Products!$C$2:$C$71,MATCH($F891,Raw_Products!$A$2:$A$71,0))</f>
        <v>Raksha Bandhan</v>
      </c>
      <c r="I891" s="7">
        <f>VALUE(Raw_Orders!D891)</f>
        <v>4</v>
      </c>
      <c r="J891" s="11" t="str">
        <f>INDEX(Raw_Products!$D$2:$D$71,MATCH($F891,Raw_Products!$A$2:$A$71,0))</f>
        <v>722</v>
      </c>
      <c r="K891" s="11">
        <f t="shared" si="26"/>
        <v>2888</v>
      </c>
      <c r="L891" s="12">
        <f>DATE(VALUE(RIGHT(Raw_Orders!E891,4)),VALUE(MID(Raw_Orders!E891,4,2)),VALUE(LEFT(Raw_Orders!E891,2)))</f>
        <v>45008</v>
      </c>
      <c r="M891" s="12">
        <f>DATE(VALUE(RIGHT(Raw_Orders!G891,4)),VALUE(MID(Raw_Orders!G891,4,2)),VALUE(LEFT(Raw_Orders!G891,2)))</f>
        <v>45012</v>
      </c>
      <c r="N891" s="7">
        <f t="shared" si="27"/>
        <v>4</v>
      </c>
      <c r="O891" s="7" t="str">
        <f>Raw_Orders!J891</f>
        <v>Birthday</v>
      </c>
      <c r="P891" s="7" t="str">
        <f>Raw_Orders!I891</f>
        <v>Kharagpur</v>
      </c>
    </row>
    <row r="892" spans="1:16">
      <c r="A892" s="7" t="str">
        <f>Raw_Orders!A892</f>
        <v>891</v>
      </c>
      <c r="B892" s="7" t="str">
        <f>Raw_Orders!B892</f>
        <v>C027</v>
      </c>
      <c r="C892" s="7" t="str">
        <f>INDEX(Raw_Customers!$B$2:$B$101,MATCH($B892,Raw_Customers!$A$2:$A$101,0))</f>
        <v>Kashvi Sur</v>
      </c>
      <c r="D892" s="7" t="str">
        <f>TRIM(INDEX(Raw_Customers!$C$2:$C$101,MATCH($B892,Raw_Customers!$A$2:$A$101,0)))</f>
        <v>Serampore</v>
      </c>
      <c r="E892" s="7" t="str">
        <f>"+91-"&amp;RIGHT("0000000000"&amp;INDEX(Raw_Customers!$D$2:$D$101,MATCH($B892,Raw_Customers!$A$2:$A$101,0)),10)</f>
        <v>+91-3431035116</v>
      </c>
      <c r="F892" s="7" t="str">
        <f>Raw_Orders!C892</f>
        <v>58</v>
      </c>
      <c r="G892" s="7" t="str">
        <f>INDEX(Raw_Products!$B$2:$B$71,MATCH($F892,Raw_Products!$A$2:$A$71,0))</f>
        <v>Sed Pack</v>
      </c>
      <c r="H892" s="7" t="str">
        <f>INDEX(Raw_Products!$C$2:$C$71,MATCH($F892,Raw_Products!$A$2:$A$71,0))</f>
        <v>Cake</v>
      </c>
      <c r="I892" s="7">
        <f>VALUE(Raw_Orders!D892)</f>
        <v>2</v>
      </c>
      <c r="J892" s="11" t="str">
        <f>INDEX(Raw_Products!$D$2:$D$71,MATCH($F892,Raw_Products!$A$2:$A$71,0))</f>
        <v>1492</v>
      </c>
      <c r="K892" s="11">
        <f t="shared" si="26"/>
        <v>2984</v>
      </c>
      <c r="L892" s="12">
        <f>DATE(VALUE(RIGHT(Raw_Orders!E892,4)),VALUE(MID(Raw_Orders!E892,4,2)),VALUE(LEFT(Raw_Orders!E892,2)))</f>
        <v>44965</v>
      </c>
      <c r="M892" s="12">
        <f>DATE(VALUE(RIGHT(Raw_Orders!G892,4)),VALUE(MID(Raw_Orders!G892,4,2)),VALUE(LEFT(Raw_Orders!G892,2)))</f>
        <v>44973</v>
      </c>
      <c r="N892" s="7">
        <f t="shared" si="27"/>
        <v>8</v>
      </c>
      <c r="O892" s="7" t="str">
        <f>Raw_Orders!J892</f>
        <v>Valentine's Day</v>
      </c>
      <c r="P892" s="7" t="str">
        <f>Raw_Orders!I892</f>
        <v>Shivpuri</v>
      </c>
    </row>
    <row r="893" spans="1:16">
      <c r="A893" s="7" t="str">
        <f>Raw_Orders!A893</f>
        <v>892</v>
      </c>
      <c r="B893" s="7" t="str">
        <f>Raw_Orders!B893</f>
        <v>C025</v>
      </c>
      <c r="C893" s="7" t="str">
        <f>INDEX(Raw_Customers!$B$2:$B$101,MATCH($B893,Raw_Customers!$A$2:$A$101,0))</f>
        <v>Ira Bava</v>
      </c>
      <c r="D893" s="7" t="str">
        <f>TRIM(INDEX(Raw_Customers!$C$2:$C$101,MATCH($B893,Raw_Customers!$A$2:$A$101,0)))</f>
        <v>Singrauli</v>
      </c>
      <c r="E893" s="7" t="str">
        <f>"+91-"&amp;RIGHT("0000000000"&amp;INDEX(Raw_Customers!$D$2:$D$101,MATCH($B893,Raw_Customers!$A$2:$A$101,0)),10)</f>
        <v>+91-7406193950</v>
      </c>
      <c r="F893" s="7" t="str">
        <f>Raw_Orders!C893</f>
        <v>11</v>
      </c>
      <c r="G893" s="7" t="str">
        <f>INDEX(Raw_Products!$B$2:$B$71,MATCH($F893,Raw_Products!$A$2:$A$71,0))</f>
        <v>Maxime Set</v>
      </c>
      <c r="H893" s="7" t="str">
        <f>INDEX(Raw_Products!$C$2:$C$71,MATCH($F893,Raw_Products!$A$2:$A$71,0))</f>
        <v>Mugs</v>
      </c>
      <c r="I893" s="7">
        <f>VALUE(Raw_Orders!D893)</f>
        <v>4</v>
      </c>
      <c r="J893" s="11" t="str">
        <f>INDEX(Raw_Products!$D$2:$D$71,MATCH($F893,Raw_Products!$A$2:$A$71,0))</f>
        <v>1096</v>
      </c>
      <c r="K893" s="11">
        <f t="shared" si="26"/>
        <v>4384</v>
      </c>
      <c r="L893" s="12">
        <f>DATE(VALUE(RIGHT(Raw_Orders!E893,4)),VALUE(MID(Raw_Orders!E893,4,2)),VALUE(LEFT(Raw_Orders!E893,2)))</f>
        <v>44963</v>
      </c>
      <c r="M893" s="12">
        <f>DATE(VALUE(RIGHT(Raw_Orders!G893,4)),VALUE(MID(Raw_Orders!G893,4,2)),VALUE(LEFT(Raw_Orders!G893,2)))</f>
        <v>44964</v>
      </c>
      <c r="N893" s="7">
        <f t="shared" si="27"/>
        <v>1</v>
      </c>
      <c r="O893" s="7" t="str">
        <f>Raw_Orders!J893</f>
        <v>Valentine's Day</v>
      </c>
      <c r="P893" s="7" t="str">
        <f>Raw_Orders!I893</f>
        <v>Thrissur</v>
      </c>
    </row>
    <row r="894" spans="1:16">
      <c r="A894" s="7" t="str">
        <f>Raw_Orders!A894</f>
        <v>893</v>
      </c>
      <c r="B894" s="7" t="str">
        <f>Raw_Orders!B894</f>
        <v>C010</v>
      </c>
      <c r="C894" s="7" t="str">
        <f>INDEX(Raw_Customers!$B$2:$B$101,MATCH($B894,Raw_Customers!$A$2:$A$101,0))</f>
        <v>Darshit Dave</v>
      </c>
      <c r="D894" s="7" t="str">
        <f>TRIM(INDEX(Raw_Customers!$C$2:$C$101,MATCH($B894,Raw_Customers!$A$2:$A$101,0)))</f>
        <v>Kanpur</v>
      </c>
      <c r="E894" s="7" t="str">
        <f>"+91-"&amp;RIGHT("0000000000"&amp;INDEX(Raw_Customers!$D$2:$D$101,MATCH($B894,Raw_Customers!$A$2:$A$101,0)),10)</f>
        <v>+91-1608833065</v>
      </c>
      <c r="F894" s="7" t="str">
        <f>Raw_Orders!C894</f>
        <v>63</v>
      </c>
      <c r="G894" s="7" t="str">
        <f>INDEX(Raw_Products!$B$2:$B$71,MATCH($F894,Raw_Products!$A$2:$A$71,0))</f>
        <v>Adipisci Set</v>
      </c>
      <c r="H894" s="7" t="str">
        <f>INDEX(Raw_Products!$C$2:$C$71,MATCH($F894,Raw_Products!$A$2:$A$71,0))</f>
        <v>Sweets</v>
      </c>
      <c r="I894" s="7">
        <f>VALUE(Raw_Orders!D894)</f>
        <v>3</v>
      </c>
      <c r="J894" s="11" t="str">
        <f>INDEX(Raw_Products!$D$2:$D$71,MATCH($F894,Raw_Products!$A$2:$A$71,0))</f>
        <v>1348</v>
      </c>
      <c r="K894" s="11">
        <f t="shared" si="26"/>
        <v>4044</v>
      </c>
      <c r="L894" s="12">
        <f>DATE(VALUE(RIGHT(Raw_Orders!E894,4)),VALUE(MID(Raw_Orders!E894,4,2)),VALUE(LEFT(Raw_Orders!E894,2)))</f>
        <v>45013</v>
      </c>
      <c r="M894" s="12">
        <f>DATE(VALUE(RIGHT(Raw_Orders!G894,4)),VALUE(MID(Raw_Orders!G894,4,2)),VALUE(LEFT(Raw_Orders!G894,2)))</f>
        <v>45023</v>
      </c>
      <c r="N894" s="7">
        <f t="shared" si="27"/>
        <v>10</v>
      </c>
      <c r="O894" s="7" t="str">
        <f>Raw_Orders!J894</f>
        <v>All Occasions</v>
      </c>
      <c r="P894" s="7" t="str">
        <f>Raw_Orders!I894</f>
        <v>Sangli-Miraj &amp; Kupwad</v>
      </c>
    </row>
    <row r="895" spans="1:16">
      <c r="A895" s="7" t="str">
        <f>Raw_Orders!A895</f>
        <v>894</v>
      </c>
      <c r="B895" s="7" t="str">
        <f>Raw_Orders!B895</f>
        <v>C092</v>
      </c>
      <c r="C895" s="7" t="str">
        <f>INDEX(Raw_Customers!$B$2:$B$101,MATCH($B895,Raw_Customers!$A$2:$A$101,0))</f>
        <v>Zoya Mani</v>
      </c>
      <c r="D895" s="7" t="str">
        <f>TRIM(INDEX(Raw_Customers!$C$2:$C$101,MATCH($B895,Raw_Customers!$A$2:$A$101,0)))</f>
        <v>Dibrugarh</v>
      </c>
      <c r="E895" s="7" t="str">
        <f>"+91-"&amp;RIGHT("0000000000"&amp;INDEX(Raw_Customers!$D$2:$D$101,MATCH($B895,Raw_Customers!$A$2:$A$101,0)),10)</f>
        <v>+91-8918356963</v>
      </c>
      <c r="F895" s="7" t="str">
        <f>Raw_Orders!C895</f>
        <v>54</v>
      </c>
      <c r="G895" s="7" t="str">
        <f>INDEX(Raw_Products!$B$2:$B$71,MATCH($F895,Raw_Products!$A$2:$A$71,0))</f>
        <v>Occaecati Gift</v>
      </c>
      <c r="H895" s="7" t="str">
        <f>INDEX(Raw_Products!$C$2:$C$71,MATCH($F895,Raw_Products!$A$2:$A$71,0))</f>
        <v>Cake</v>
      </c>
      <c r="I895" s="7">
        <f>VALUE(Raw_Orders!D895)</f>
        <v>4</v>
      </c>
      <c r="J895" s="11" t="str">
        <f>INDEX(Raw_Products!$D$2:$D$71,MATCH($F895,Raw_Products!$A$2:$A$71,0))</f>
        <v>1236</v>
      </c>
      <c r="K895" s="11">
        <f t="shared" si="26"/>
        <v>4944</v>
      </c>
      <c r="L895" s="12">
        <f>DATE(VALUE(RIGHT(Raw_Orders!E895,4)),VALUE(MID(Raw_Orders!E895,4,2)),VALUE(LEFT(Raw_Orders!E895,2)))</f>
        <v>45213</v>
      </c>
      <c r="M895" s="12">
        <f>DATE(VALUE(RIGHT(Raw_Orders!G895,4)),VALUE(MID(Raw_Orders!G895,4,2)),VALUE(LEFT(Raw_Orders!G895,2)))</f>
        <v>45220</v>
      </c>
      <c r="N895" s="7">
        <f t="shared" si="27"/>
        <v>7</v>
      </c>
      <c r="O895" s="7" t="str">
        <f>Raw_Orders!J895</f>
        <v>Anniversary</v>
      </c>
      <c r="P895" s="7" t="str">
        <f>Raw_Orders!I895</f>
        <v>Proddatur</v>
      </c>
    </row>
    <row r="896" spans="1:16">
      <c r="A896" s="7" t="str">
        <f>Raw_Orders!A896</f>
        <v>895</v>
      </c>
      <c r="B896" s="7" t="str">
        <f>Raw_Orders!B896</f>
        <v>C066</v>
      </c>
      <c r="C896" s="7" t="str">
        <f>INDEX(Raw_Customers!$B$2:$B$101,MATCH($B896,Raw_Customers!$A$2:$A$101,0))</f>
        <v>Eshani Buch</v>
      </c>
      <c r="D896" s="7" t="str">
        <f>TRIM(INDEX(Raw_Customers!$C$2:$C$101,MATCH($B896,Raw_Customers!$A$2:$A$101,0)))</f>
        <v>Malegaon</v>
      </c>
      <c r="E896" s="7" t="str">
        <f>"+91-"&amp;RIGHT("0000000000"&amp;INDEX(Raw_Customers!$D$2:$D$101,MATCH($B896,Raw_Customers!$A$2:$A$101,0)),10)</f>
        <v>+91-7436178055</v>
      </c>
      <c r="F896" s="7" t="str">
        <f>Raw_Orders!C896</f>
        <v>45</v>
      </c>
      <c r="G896" s="7" t="str">
        <f>INDEX(Raw_Products!$B$2:$B$71,MATCH($F896,Raw_Products!$A$2:$A$71,0))</f>
        <v>Iusto Set</v>
      </c>
      <c r="H896" s="7" t="str">
        <f>INDEX(Raw_Products!$C$2:$C$71,MATCH($F896,Raw_Products!$A$2:$A$71,0))</f>
        <v>Raksha Bandhan</v>
      </c>
      <c r="I896" s="7">
        <f>VALUE(Raw_Orders!D896)</f>
        <v>1</v>
      </c>
      <c r="J896" s="11" t="str">
        <f>INDEX(Raw_Products!$D$2:$D$71,MATCH($F896,Raw_Products!$A$2:$A$71,0))</f>
        <v>722</v>
      </c>
      <c r="K896" s="11">
        <f t="shared" si="26"/>
        <v>722</v>
      </c>
      <c r="L896" s="12">
        <f>DATE(VALUE(RIGHT(Raw_Orders!E896,4)),VALUE(MID(Raw_Orders!E896,4,2)),VALUE(LEFT(Raw_Orders!E896,2)))</f>
        <v>45013</v>
      </c>
      <c r="M896" s="12">
        <f>DATE(VALUE(RIGHT(Raw_Orders!G896,4)),VALUE(MID(Raw_Orders!G896,4,2)),VALUE(LEFT(Raw_Orders!G896,2)))</f>
        <v>45022</v>
      </c>
      <c r="N896" s="7">
        <f t="shared" si="27"/>
        <v>9</v>
      </c>
      <c r="O896" s="7" t="str">
        <f>Raw_Orders!J896</f>
        <v>Birthday</v>
      </c>
      <c r="P896" s="7" t="str">
        <f>Raw_Orders!I896</f>
        <v>Sambhal</v>
      </c>
    </row>
    <row r="897" spans="1:16">
      <c r="A897" s="7" t="str">
        <f>Raw_Orders!A897</f>
        <v>896</v>
      </c>
      <c r="B897" s="7" t="str">
        <f>Raw_Orders!B897</f>
        <v>C053</v>
      </c>
      <c r="C897" s="7" t="str">
        <f>INDEX(Raw_Customers!$B$2:$B$101,MATCH($B897,Raw_Customers!$A$2:$A$101,0))</f>
        <v>Kismat Kapadia</v>
      </c>
      <c r="D897" s="7" t="str">
        <f>TRIM(INDEX(Raw_Customers!$C$2:$C$101,MATCH($B897,Raw_Customers!$A$2:$A$101,0)))</f>
        <v>Bharatpur</v>
      </c>
      <c r="E897" s="7" t="str">
        <f>"+91-"&amp;RIGHT("0000000000"&amp;INDEX(Raw_Customers!$D$2:$D$101,MATCH($B897,Raw_Customers!$A$2:$A$101,0)),10)</f>
        <v>+91-8068004996</v>
      </c>
      <c r="F897" s="7" t="str">
        <f>Raw_Orders!C897</f>
        <v>46</v>
      </c>
      <c r="G897" s="7" t="str">
        <f>INDEX(Raw_Products!$B$2:$B$71,MATCH($F897,Raw_Products!$A$2:$A$71,0))</f>
        <v>Pariatur Set</v>
      </c>
      <c r="H897" s="7" t="str">
        <f>INDEX(Raw_Products!$C$2:$C$71,MATCH($F897,Raw_Products!$A$2:$A$71,0))</f>
        <v>Cake</v>
      </c>
      <c r="I897" s="7">
        <f>VALUE(Raw_Orders!D897)</f>
        <v>1</v>
      </c>
      <c r="J897" s="11" t="str">
        <f>INDEX(Raw_Products!$D$2:$D$71,MATCH($F897,Raw_Products!$A$2:$A$71,0))</f>
        <v>758</v>
      </c>
      <c r="K897" s="11">
        <f t="shared" si="26"/>
        <v>758</v>
      </c>
      <c r="L897" s="12">
        <f>DATE(VALUE(RIGHT(Raw_Orders!E897,4)),VALUE(MID(Raw_Orders!E897,4,2)),VALUE(LEFT(Raw_Orders!E897,2)))</f>
        <v>45021</v>
      </c>
      <c r="M897" s="12">
        <f>DATE(VALUE(RIGHT(Raw_Orders!G897,4)),VALUE(MID(Raw_Orders!G897,4,2)),VALUE(LEFT(Raw_Orders!G897,2)))</f>
        <v>45026</v>
      </c>
      <c r="N897" s="7">
        <f t="shared" si="27"/>
        <v>5</v>
      </c>
      <c r="O897" s="7" t="str">
        <f>Raw_Orders!J897</f>
        <v>Anniversary</v>
      </c>
      <c r="P897" s="7" t="str">
        <f>Raw_Orders!I897</f>
        <v>Haldia</v>
      </c>
    </row>
    <row r="898" spans="1:16">
      <c r="A898" s="7" t="str">
        <f>Raw_Orders!A898</f>
        <v>897</v>
      </c>
      <c r="B898" s="7" t="str">
        <f>Raw_Orders!B898</f>
        <v>C031</v>
      </c>
      <c r="C898" s="7" t="str">
        <f>INDEX(Raw_Customers!$B$2:$B$101,MATCH($B898,Raw_Customers!$A$2:$A$101,0))</f>
        <v>Madhup Wable</v>
      </c>
      <c r="D898" s="7" t="str">
        <f>TRIM(INDEX(Raw_Customers!$C$2:$C$101,MATCH($B898,Raw_Customers!$A$2:$A$101,0)))</f>
        <v>Sasaram</v>
      </c>
      <c r="E898" s="7" t="str">
        <f>"+91-"&amp;RIGHT("0000000000"&amp;INDEX(Raw_Customers!$D$2:$D$101,MATCH($B898,Raw_Customers!$A$2:$A$101,0)),10)</f>
        <v>+91-0135745753</v>
      </c>
      <c r="F898" s="7" t="str">
        <f>Raw_Orders!C898</f>
        <v>34</v>
      </c>
      <c r="G898" s="7" t="str">
        <f>INDEX(Raw_Products!$B$2:$B$71,MATCH($F898,Raw_Products!$A$2:$A$71,0))</f>
        <v>Placeat Pack</v>
      </c>
      <c r="H898" s="7" t="str">
        <f>INDEX(Raw_Products!$C$2:$C$71,MATCH($F898,Raw_Products!$A$2:$A$71,0))</f>
        <v>Soft Toys</v>
      </c>
      <c r="I898" s="7">
        <f>VALUE(Raw_Orders!D898)</f>
        <v>5</v>
      </c>
      <c r="J898" s="11" t="str">
        <f>INDEX(Raw_Products!$D$2:$D$71,MATCH($F898,Raw_Products!$A$2:$A$71,0))</f>
        <v>1335</v>
      </c>
      <c r="K898" s="11">
        <f t="shared" ref="K898:K961" si="28">I898*J898</f>
        <v>6675</v>
      </c>
      <c r="L898" s="12">
        <f>DATE(VALUE(RIGHT(Raw_Orders!E898,4)),VALUE(MID(Raw_Orders!E898,4,2)),VALUE(LEFT(Raw_Orders!E898,2)))</f>
        <v>45163</v>
      </c>
      <c r="M898" s="12">
        <f>DATE(VALUE(RIGHT(Raw_Orders!G898,4)),VALUE(MID(Raw_Orders!G898,4,2)),VALUE(LEFT(Raw_Orders!G898,2)))</f>
        <v>45170</v>
      </c>
      <c r="N898" s="7">
        <f t="shared" ref="N898:N961" si="29">M898-L898</f>
        <v>7</v>
      </c>
      <c r="O898" s="7" t="str">
        <f>Raw_Orders!J898</f>
        <v>Raksha Bandhan</v>
      </c>
      <c r="P898" s="7" t="str">
        <f>Raw_Orders!I898</f>
        <v>Dhule</v>
      </c>
    </row>
    <row r="899" spans="1:16">
      <c r="A899" s="7" t="str">
        <f>Raw_Orders!A899</f>
        <v>898</v>
      </c>
      <c r="B899" s="7" t="str">
        <f>Raw_Orders!B899</f>
        <v>C018</v>
      </c>
      <c r="C899" s="7" t="str">
        <f>INDEX(Raw_Customers!$B$2:$B$101,MATCH($B899,Raw_Customers!$A$2:$A$101,0))</f>
        <v>Eva Vaidya</v>
      </c>
      <c r="D899" s="7" t="str">
        <f>TRIM(INDEX(Raw_Customers!$C$2:$C$101,MATCH($B899,Raw_Customers!$A$2:$A$101,0)))</f>
        <v>Nizamabad</v>
      </c>
      <c r="E899" s="7" t="str">
        <f>"+91-"&amp;RIGHT("0000000000"&amp;INDEX(Raw_Customers!$D$2:$D$101,MATCH($B899,Raw_Customers!$A$2:$A$101,0)),10)</f>
        <v>+91-9080029661</v>
      </c>
      <c r="F899" s="7" t="str">
        <f>Raw_Orders!C899</f>
        <v>52</v>
      </c>
      <c r="G899" s="7" t="str">
        <f>INDEX(Raw_Products!$B$2:$B$71,MATCH($F899,Raw_Products!$A$2:$A$71,0))</f>
        <v>Dolorum Box</v>
      </c>
      <c r="H899" s="7" t="str">
        <f>INDEX(Raw_Products!$C$2:$C$71,MATCH($F899,Raw_Products!$A$2:$A$71,0))</f>
        <v>Raksha Bandhan</v>
      </c>
      <c r="I899" s="7">
        <f>VALUE(Raw_Orders!D899)</f>
        <v>1</v>
      </c>
      <c r="J899" s="11" t="str">
        <f>INDEX(Raw_Products!$D$2:$D$71,MATCH($F899,Raw_Products!$A$2:$A$71,0))</f>
        <v>236</v>
      </c>
      <c r="K899" s="11">
        <f t="shared" si="28"/>
        <v>236</v>
      </c>
      <c r="L899" s="12">
        <f>DATE(VALUE(RIGHT(Raw_Orders!E899,4)),VALUE(MID(Raw_Orders!E899,4,2)),VALUE(LEFT(Raw_Orders!E899,2)))</f>
        <v>44966</v>
      </c>
      <c r="M899" s="12">
        <f>DATE(VALUE(RIGHT(Raw_Orders!G899,4)),VALUE(MID(Raw_Orders!G899,4,2)),VALUE(LEFT(Raw_Orders!G899,2)))</f>
        <v>44970</v>
      </c>
      <c r="N899" s="7">
        <f t="shared" si="29"/>
        <v>4</v>
      </c>
      <c r="O899" s="7" t="str">
        <f>Raw_Orders!J899</f>
        <v>Valentine's Day</v>
      </c>
      <c r="P899" s="7" t="str">
        <f>Raw_Orders!I899</f>
        <v>Kadapa</v>
      </c>
    </row>
    <row r="900" spans="1:16">
      <c r="A900" s="7" t="str">
        <f>Raw_Orders!A900</f>
        <v>899</v>
      </c>
      <c r="B900" s="7" t="str">
        <f>Raw_Orders!B900</f>
        <v>C011</v>
      </c>
      <c r="C900" s="7" t="str">
        <f>INDEX(Raw_Customers!$B$2:$B$101,MATCH($B900,Raw_Customers!$A$2:$A$101,0))</f>
        <v>Lagan Kapoor</v>
      </c>
      <c r="D900" s="7" t="str">
        <f>TRIM(INDEX(Raw_Customers!$C$2:$C$101,MATCH($B900,Raw_Customers!$A$2:$A$101,0)))</f>
        <v>Orai</v>
      </c>
      <c r="E900" s="7" t="str">
        <f>"+91-"&amp;RIGHT("0000000000"&amp;INDEX(Raw_Customers!$D$2:$D$101,MATCH($B900,Raw_Customers!$A$2:$A$101,0)),10)</f>
        <v>+91-6173563562</v>
      </c>
      <c r="F900" s="7" t="str">
        <f>Raw_Orders!C900</f>
        <v>63</v>
      </c>
      <c r="G900" s="7" t="str">
        <f>INDEX(Raw_Products!$B$2:$B$71,MATCH($F900,Raw_Products!$A$2:$A$71,0))</f>
        <v>Adipisci Set</v>
      </c>
      <c r="H900" s="7" t="str">
        <f>INDEX(Raw_Products!$C$2:$C$71,MATCH($F900,Raw_Products!$A$2:$A$71,0))</f>
        <v>Sweets</v>
      </c>
      <c r="I900" s="7">
        <f>VALUE(Raw_Orders!D900)</f>
        <v>1</v>
      </c>
      <c r="J900" s="11" t="str">
        <f>INDEX(Raw_Products!$D$2:$D$71,MATCH($F900,Raw_Products!$A$2:$A$71,0))</f>
        <v>1348</v>
      </c>
      <c r="K900" s="11">
        <f t="shared" si="28"/>
        <v>1348</v>
      </c>
      <c r="L900" s="12">
        <f>DATE(VALUE(RIGHT(Raw_Orders!E900,4)),VALUE(MID(Raw_Orders!E900,4,2)),VALUE(LEFT(Raw_Orders!E900,2)))</f>
        <v>45277</v>
      </c>
      <c r="M900" s="12">
        <f>DATE(VALUE(RIGHT(Raw_Orders!G900,4)),VALUE(MID(Raw_Orders!G900,4,2)),VALUE(LEFT(Raw_Orders!G900,2)))</f>
        <v>45284</v>
      </c>
      <c r="N900" s="7">
        <f t="shared" si="29"/>
        <v>7</v>
      </c>
      <c r="O900" s="7" t="str">
        <f>Raw_Orders!J900</f>
        <v>All Occasions</v>
      </c>
      <c r="P900" s="7" t="str">
        <f>Raw_Orders!I900</f>
        <v>Bijapur</v>
      </c>
    </row>
    <row r="901" spans="1:16">
      <c r="A901" s="7" t="str">
        <f>Raw_Orders!A901</f>
        <v>900</v>
      </c>
      <c r="B901" s="7" t="str">
        <f>Raw_Orders!B901</f>
        <v>C027</v>
      </c>
      <c r="C901" s="7" t="str">
        <f>INDEX(Raw_Customers!$B$2:$B$101,MATCH($B901,Raw_Customers!$A$2:$A$101,0))</f>
        <v>Kashvi Sur</v>
      </c>
      <c r="D901" s="7" t="str">
        <f>TRIM(INDEX(Raw_Customers!$C$2:$C$101,MATCH($B901,Raw_Customers!$A$2:$A$101,0)))</f>
        <v>Serampore</v>
      </c>
      <c r="E901" s="7" t="str">
        <f>"+91-"&amp;RIGHT("0000000000"&amp;INDEX(Raw_Customers!$D$2:$D$101,MATCH($B901,Raw_Customers!$A$2:$A$101,0)),10)</f>
        <v>+91-3431035116</v>
      </c>
      <c r="F901" s="7" t="str">
        <f>Raw_Orders!C901</f>
        <v>57</v>
      </c>
      <c r="G901" s="7" t="str">
        <f>INDEX(Raw_Products!$B$2:$B$71,MATCH($F901,Raw_Products!$A$2:$A$71,0))</f>
        <v>Voluptatem Box</v>
      </c>
      <c r="H901" s="7" t="str">
        <f>INDEX(Raw_Products!$C$2:$C$71,MATCH($F901,Raw_Products!$A$2:$A$71,0))</f>
        <v>Colors</v>
      </c>
      <c r="I901" s="7">
        <f>VALUE(Raw_Orders!D901)</f>
        <v>3</v>
      </c>
      <c r="J901" s="11" t="str">
        <f>INDEX(Raw_Products!$D$2:$D$71,MATCH($F901,Raw_Products!$A$2:$A$71,0))</f>
        <v>1582</v>
      </c>
      <c r="K901" s="11">
        <f t="shared" si="28"/>
        <v>4746</v>
      </c>
      <c r="L901" s="12">
        <f>DATE(VALUE(RIGHT(Raw_Orders!E901,4)),VALUE(MID(Raw_Orders!E901,4,2)),VALUE(LEFT(Raw_Orders!E901,2)))</f>
        <v>45023</v>
      </c>
      <c r="M901" s="12">
        <f>DATE(VALUE(RIGHT(Raw_Orders!G901,4)),VALUE(MID(Raw_Orders!G901,4,2)),VALUE(LEFT(Raw_Orders!G901,2)))</f>
        <v>45031</v>
      </c>
      <c r="N901" s="7">
        <f t="shared" si="29"/>
        <v>8</v>
      </c>
      <c r="O901" s="7" t="str">
        <f>Raw_Orders!J901</f>
        <v>Birthday</v>
      </c>
      <c r="P901" s="7" t="str">
        <f>Raw_Orders!I901</f>
        <v>Sagar</v>
      </c>
    </row>
    <row r="902" spans="1:16">
      <c r="A902" s="7" t="str">
        <f>Raw_Orders!A902</f>
        <v>901</v>
      </c>
      <c r="B902" s="7" t="str">
        <f>Raw_Orders!B902</f>
        <v>C043</v>
      </c>
      <c r="C902" s="7" t="str">
        <f>INDEX(Raw_Customers!$B$2:$B$101,MATCH($B902,Raw_Customers!$A$2:$A$101,0))</f>
        <v>Yasmin Sheth</v>
      </c>
      <c r="D902" s="7" t="str">
        <f>TRIM(INDEX(Raw_Customers!$C$2:$C$101,MATCH($B902,Raw_Customers!$A$2:$A$101,0)))</f>
        <v>Vellore</v>
      </c>
      <c r="E902" s="7" t="str">
        <f>"+91-"&amp;RIGHT("0000000000"&amp;INDEX(Raw_Customers!$D$2:$D$101,MATCH($B902,Raw_Customers!$A$2:$A$101,0)),10)</f>
        <v>+91-2544865070</v>
      </c>
      <c r="F902" s="7" t="str">
        <f>Raw_Orders!C902</f>
        <v>27</v>
      </c>
      <c r="G902" s="7" t="str">
        <f>INDEX(Raw_Products!$B$2:$B$71,MATCH($F902,Raw_Products!$A$2:$A$71,0))</f>
        <v>Architecto Gift</v>
      </c>
      <c r="H902" s="7" t="str">
        <f>INDEX(Raw_Products!$C$2:$C$71,MATCH($F902,Raw_Products!$A$2:$A$71,0))</f>
        <v>Cake</v>
      </c>
      <c r="I902" s="7">
        <f>VALUE(Raw_Orders!D902)</f>
        <v>4</v>
      </c>
      <c r="J902" s="11" t="str">
        <f>INDEX(Raw_Products!$D$2:$D$71,MATCH($F902,Raw_Products!$A$2:$A$71,0))</f>
        <v>548</v>
      </c>
      <c r="K902" s="11">
        <f t="shared" si="28"/>
        <v>2192</v>
      </c>
      <c r="L902" s="12">
        <f>DATE(VALUE(RIGHT(Raw_Orders!E902,4)),VALUE(MID(Raw_Orders!E902,4,2)),VALUE(LEFT(Raw_Orders!E902,2)))</f>
        <v>45160</v>
      </c>
      <c r="M902" s="12">
        <f>DATE(VALUE(RIGHT(Raw_Orders!G902,4)),VALUE(MID(Raw_Orders!G902,4,2)),VALUE(LEFT(Raw_Orders!G902,2)))</f>
        <v>45165</v>
      </c>
      <c r="N902" s="7">
        <f t="shared" si="29"/>
        <v>5</v>
      </c>
      <c r="O902" s="7" t="str">
        <f>Raw_Orders!J902</f>
        <v>Raksha Bandhan</v>
      </c>
      <c r="P902" s="7" t="str">
        <f>Raw_Orders!I902</f>
        <v>Deoghar</v>
      </c>
    </row>
    <row r="903" spans="1:16">
      <c r="A903" s="7" t="str">
        <f>Raw_Orders!A903</f>
        <v>902</v>
      </c>
      <c r="B903" s="7" t="str">
        <f>Raw_Orders!B903</f>
        <v>C025</v>
      </c>
      <c r="C903" s="7" t="str">
        <f>INDEX(Raw_Customers!$B$2:$B$101,MATCH($B903,Raw_Customers!$A$2:$A$101,0))</f>
        <v>Ira Bava</v>
      </c>
      <c r="D903" s="7" t="str">
        <f>TRIM(INDEX(Raw_Customers!$C$2:$C$101,MATCH($B903,Raw_Customers!$A$2:$A$101,0)))</f>
        <v>Singrauli</v>
      </c>
      <c r="E903" s="7" t="str">
        <f>"+91-"&amp;RIGHT("0000000000"&amp;INDEX(Raw_Customers!$D$2:$D$101,MATCH($B903,Raw_Customers!$A$2:$A$101,0)),10)</f>
        <v>+91-7406193950</v>
      </c>
      <c r="F903" s="7" t="str">
        <f>Raw_Orders!C903</f>
        <v>32</v>
      </c>
      <c r="G903" s="7" t="str">
        <f>INDEX(Raw_Products!$B$2:$B$71,MATCH($F903,Raw_Products!$A$2:$A$71,0))</f>
        <v>Fuga Set</v>
      </c>
      <c r="H903" s="7" t="str">
        <f>INDEX(Raw_Products!$C$2:$C$71,MATCH($F903,Raw_Products!$A$2:$A$71,0))</f>
        <v>Soft Toys</v>
      </c>
      <c r="I903" s="7">
        <f>VALUE(Raw_Orders!D903)</f>
        <v>5</v>
      </c>
      <c r="J903" s="11" t="str">
        <f>INDEX(Raw_Products!$D$2:$D$71,MATCH($F903,Raw_Products!$A$2:$A$71,0))</f>
        <v>1792</v>
      </c>
      <c r="K903" s="11">
        <f t="shared" si="28"/>
        <v>8960</v>
      </c>
      <c r="L903" s="12">
        <f>DATE(VALUE(RIGHT(Raw_Orders!E903,4)),VALUE(MID(Raw_Orders!E903,4,2)),VALUE(LEFT(Raw_Orders!E903,2)))</f>
        <v>45007</v>
      </c>
      <c r="M903" s="12">
        <f>DATE(VALUE(RIGHT(Raw_Orders!G903,4)),VALUE(MID(Raw_Orders!G903,4,2)),VALUE(LEFT(Raw_Orders!G903,2)))</f>
        <v>45009</v>
      </c>
      <c r="N903" s="7">
        <f t="shared" si="29"/>
        <v>2</v>
      </c>
      <c r="O903" s="7" t="str">
        <f>Raw_Orders!J903</f>
        <v>Birthday</v>
      </c>
      <c r="P903" s="7" t="str">
        <f>Raw_Orders!I903</f>
        <v>Bidar</v>
      </c>
    </row>
    <row r="904" spans="1:16">
      <c r="A904" s="7" t="str">
        <f>Raw_Orders!A904</f>
        <v>903</v>
      </c>
      <c r="B904" s="7" t="str">
        <f>Raw_Orders!B904</f>
        <v>C066</v>
      </c>
      <c r="C904" s="7" t="str">
        <f>INDEX(Raw_Customers!$B$2:$B$101,MATCH($B904,Raw_Customers!$A$2:$A$101,0))</f>
        <v>Eshani Buch</v>
      </c>
      <c r="D904" s="7" t="str">
        <f>TRIM(INDEX(Raw_Customers!$C$2:$C$101,MATCH($B904,Raw_Customers!$A$2:$A$101,0)))</f>
        <v>Malegaon</v>
      </c>
      <c r="E904" s="7" t="str">
        <f>"+91-"&amp;RIGHT("0000000000"&amp;INDEX(Raw_Customers!$D$2:$D$101,MATCH($B904,Raw_Customers!$A$2:$A$101,0)),10)</f>
        <v>+91-7436178055</v>
      </c>
      <c r="F904" s="7" t="str">
        <f>Raw_Orders!C904</f>
        <v>63</v>
      </c>
      <c r="G904" s="7" t="str">
        <f>INDEX(Raw_Products!$B$2:$B$71,MATCH($F904,Raw_Products!$A$2:$A$71,0))</f>
        <v>Adipisci Set</v>
      </c>
      <c r="H904" s="7" t="str">
        <f>INDEX(Raw_Products!$C$2:$C$71,MATCH($F904,Raw_Products!$A$2:$A$71,0))</f>
        <v>Sweets</v>
      </c>
      <c r="I904" s="7">
        <f>VALUE(Raw_Orders!D904)</f>
        <v>2</v>
      </c>
      <c r="J904" s="11" t="str">
        <f>INDEX(Raw_Products!$D$2:$D$71,MATCH($F904,Raw_Products!$A$2:$A$71,0))</f>
        <v>1348</v>
      </c>
      <c r="K904" s="11">
        <f t="shared" si="28"/>
        <v>2696</v>
      </c>
      <c r="L904" s="12">
        <f>DATE(VALUE(RIGHT(Raw_Orders!E904,4)),VALUE(MID(Raw_Orders!E904,4,2)),VALUE(LEFT(Raw_Orders!E904,2)))</f>
        <v>45184</v>
      </c>
      <c r="M904" s="12">
        <f>DATE(VALUE(RIGHT(Raw_Orders!G904,4)),VALUE(MID(Raw_Orders!G904,4,2)),VALUE(LEFT(Raw_Orders!G904,2)))</f>
        <v>45191</v>
      </c>
      <c r="N904" s="7">
        <f t="shared" si="29"/>
        <v>7</v>
      </c>
      <c r="O904" s="7" t="str">
        <f>Raw_Orders!J904</f>
        <v>All Occasions</v>
      </c>
      <c r="P904" s="7" t="str">
        <f>Raw_Orders!I904</f>
        <v>Bhusawal</v>
      </c>
    </row>
    <row r="905" spans="1:16">
      <c r="A905" s="7" t="str">
        <f>Raw_Orders!A905</f>
        <v>904</v>
      </c>
      <c r="B905" s="7" t="str">
        <f>Raw_Orders!B905</f>
        <v>C013</v>
      </c>
      <c r="C905" s="7" t="str">
        <f>INDEX(Raw_Customers!$B$2:$B$101,MATCH($B905,Raw_Customers!$A$2:$A$101,0))</f>
        <v>Manikya Goswami</v>
      </c>
      <c r="D905" s="7" t="str">
        <f>TRIM(INDEX(Raw_Customers!$C$2:$C$101,MATCH($B905,Raw_Customers!$A$2:$A$101,0)))</f>
        <v>Mangalore</v>
      </c>
      <c r="E905" s="7" t="str">
        <f>"+91-"&amp;RIGHT("0000000000"&amp;INDEX(Raw_Customers!$D$2:$D$101,MATCH($B905,Raw_Customers!$A$2:$A$101,0)),10)</f>
        <v>+91-2112817503</v>
      </c>
      <c r="F905" s="7" t="str">
        <f>Raw_Orders!C905</f>
        <v>2</v>
      </c>
      <c r="G905" s="7" t="str">
        <f>INDEX(Raw_Products!$B$2:$B$71,MATCH($F905,Raw_Products!$A$2:$A$71,0))</f>
        <v>Voluptas Box</v>
      </c>
      <c r="H905" s="7" t="str">
        <f>INDEX(Raw_Products!$C$2:$C$71,MATCH($F905,Raw_Products!$A$2:$A$71,0))</f>
        <v>Plants</v>
      </c>
      <c r="I905" s="7">
        <f>VALUE(Raw_Orders!D905)</f>
        <v>4</v>
      </c>
      <c r="J905" s="11" t="str">
        <f>INDEX(Raw_Products!$D$2:$D$71,MATCH($F905,Raw_Products!$A$2:$A$71,0))</f>
        <v>441</v>
      </c>
      <c r="K905" s="11">
        <f t="shared" si="28"/>
        <v>1764</v>
      </c>
      <c r="L905" s="12">
        <f>DATE(VALUE(RIGHT(Raw_Orders!E905,4)),VALUE(MID(Raw_Orders!E905,4,2)),VALUE(LEFT(Raw_Orders!E905,2)))</f>
        <v>44969</v>
      </c>
      <c r="M905" s="12">
        <f>DATE(VALUE(RIGHT(Raw_Orders!G905,4)),VALUE(MID(Raw_Orders!G905,4,2)),VALUE(LEFT(Raw_Orders!G905,2)))</f>
        <v>44974</v>
      </c>
      <c r="N905" s="7">
        <f t="shared" si="29"/>
        <v>5</v>
      </c>
      <c r="O905" s="7" t="str">
        <f>Raw_Orders!J905</f>
        <v>Valentine's Day</v>
      </c>
      <c r="P905" s="7" t="str">
        <f>Raw_Orders!I905</f>
        <v>Mira-Bhayandar</v>
      </c>
    </row>
    <row r="906" spans="1:16">
      <c r="A906" s="7" t="str">
        <f>Raw_Orders!A906</f>
        <v>905</v>
      </c>
      <c r="B906" s="7" t="str">
        <f>Raw_Orders!B906</f>
        <v>C080</v>
      </c>
      <c r="C906" s="7" t="str">
        <f>INDEX(Raw_Customers!$B$2:$B$101,MATCH($B906,Raw_Customers!$A$2:$A$101,0))</f>
        <v>Mohanlal Garde</v>
      </c>
      <c r="D906" s="7" t="str">
        <f>TRIM(INDEX(Raw_Customers!$C$2:$C$101,MATCH($B906,Raw_Customers!$A$2:$A$101,0)))</f>
        <v>Bhopal</v>
      </c>
      <c r="E906" s="7" t="str">
        <f>"+91-"&amp;RIGHT("0000000000"&amp;INDEX(Raw_Customers!$D$2:$D$101,MATCH($B906,Raw_Customers!$A$2:$A$101,0)),10)</f>
        <v>+91-8448890371</v>
      </c>
      <c r="F906" s="7" t="str">
        <f>Raw_Orders!C906</f>
        <v>58</v>
      </c>
      <c r="G906" s="7" t="str">
        <f>INDEX(Raw_Products!$B$2:$B$71,MATCH($F906,Raw_Products!$A$2:$A$71,0))</f>
        <v>Sed Pack</v>
      </c>
      <c r="H906" s="7" t="str">
        <f>INDEX(Raw_Products!$C$2:$C$71,MATCH($F906,Raw_Products!$A$2:$A$71,0))</f>
        <v>Cake</v>
      </c>
      <c r="I906" s="7">
        <f>VALUE(Raw_Orders!D906)</f>
        <v>1</v>
      </c>
      <c r="J906" s="11" t="str">
        <f>INDEX(Raw_Products!$D$2:$D$71,MATCH($F906,Raw_Products!$A$2:$A$71,0))</f>
        <v>1492</v>
      </c>
      <c r="K906" s="11">
        <f t="shared" si="28"/>
        <v>1492</v>
      </c>
      <c r="L906" s="12">
        <f>DATE(VALUE(RIGHT(Raw_Orders!E906,4)),VALUE(MID(Raw_Orders!E906,4,2)),VALUE(LEFT(Raw_Orders!E906,2)))</f>
        <v>44967</v>
      </c>
      <c r="M906" s="12">
        <f>DATE(VALUE(RIGHT(Raw_Orders!G906,4)),VALUE(MID(Raw_Orders!G906,4,2)),VALUE(LEFT(Raw_Orders!G906,2)))</f>
        <v>44973</v>
      </c>
      <c r="N906" s="7">
        <f t="shared" si="29"/>
        <v>6</v>
      </c>
      <c r="O906" s="7" t="str">
        <f>Raw_Orders!J906</f>
        <v>Valentine's Day</v>
      </c>
      <c r="P906" s="7" t="str">
        <f>Raw_Orders!I906</f>
        <v>Ichalkaranji</v>
      </c>
    </row>
    <row r="907" spans="1:16">
      <c r="A907" s="7" t="str">
        <f>Raw_Orders!A907</f>
        <v>906</v>
      </c>
      <c r="B907" s="7" t="str">
        <f>Raw_Orders!B907</f>
        <v>C100</v>
      </c>
      <c r="C907" s="7" t="str">
        <f>INDEX(Raw_Customers!$B$2:$B$101,MATCH($B907,Raw_Customers!$A$2:$A$101,0))</f>
        <v>Pranay Chaudhary</v>
      </c>
      <c r="D907" s="7" t="str">
        <f>TRIM(INDEX(Raw_Customers!$C$2:$C$101,MATCH($B907,Raw_Customers!$A$2:$A$101,0)))</f>
        <v>Phagwara</v>
      </c>
      <c r="E907" s="7" t="str">
        <f>"+91-"&amp;RIGHT("0000000000"&amp;INDEX(Raw_Customers!$D$2:$D$101,MATCH($B907,Raw_Customers!$A$2:$A$101,0)),10)</f>
        <v>+91-9478540370</v>
      </c>
      <c r="F907" s="7" t="str">
        <f>Raw_Orders!C907</f>
        <v>49</v>
      </c>
      <c r="G907" s="7" t="str">
        <f>INDEX(Raw_Products!$B$2:$B$71,MATCH($F907,Raw_Products!$A$2:$A$71,0))</f>
        <v>Voluptate Pack</v>
      </c>
      <c r="H907" s="7" t="str">
        <f>INDEX(Raw_Products!$C$2:$C$71,MATCH($F907,Raw_Products!$A$2:$A$71,0))</f>
        <v>Colors</v>
      </c>
      <c r="I907" s="7">
        <f>VALUE(Raw_Orders!D907)</f>
        <v>3</v>
      </c>
      <c r="J907" s="11" t="str">
        <f>INDEX(Raw_Products!$D$2:$D$71,MATCH($F907,Raw_Products!$A$2:$A$71,0))</f>
        <v>903</v>
      </c>
      <c r="K907" s="11">
        <f t="shared" si="28"/>
        <v>2709</v>
      </c>
      <c r="L907" s="12">
        <f>DATE(VALUE(RIGHT(Raw_Orders!E907,4)),VALUE(MID(Raw_Orders!E907,4,2)),VALUE(LEFT(Raw_Orders!E907,2)))</f>
        <v>44963</v>
      </c>
      <c r="M907" s="12">
        <f>DATE(VALUE(RIGHT(Raw_Orders!G907,4)),VALUE(MID(Raw_Orders!G907,4,2)),VALUE(LEFT(Raw_Orders!G907,2)))</f>
        <v>44973</v>
      </c>
      <c r="N907" s="7">
        <f t="shared" si="29"/>
        <v>10</v>
      </c>
      <c r="O907" s="7" t="str">
        <f>Raw_Orders!J907</f>
        <v>Valentine's Day</v>
      </c>
      <c r="P907" s="7" t="str">
        <f>Raw_Orders!I907</f>
        <v>Jalandhar</v>
      </c>
    </row>
    <row r="908" spans="1:16">
      <c r="A908" s="7" t="str">
        <f>Raw_Orders!A908</f>
        <v>907</v>
      </c>
      <c r="B908" s="7" t="str">
        <f>Raw_Orders!B908</f>
        <v>C046</v>
      </c>
      <c r="C908" s="7" t="str">
        <f>INDEX(Raw_Customers!$B$2:$B$101,MATCH($B908,Raw_Customers!$A$2:$A$101,0))</f>
        <v>Tara Kannan</v>
      </c>
      <c r="D908" s="7" t="str">
        <f>TRIM(INDEX(Raw_Customers!$C$2:$C$101,MATCH($B908,Raw_Customers!$A$2:$A$101,0)))</f>
        <v>Guna</v>
      </c>
      <c r="E908" s="7" t="str">
        <f>"+91-"&amp;RIGHT("0000000000"&amp;INDEX(Raw_Customers!$D$2:$D$101,MATCH($B908,Raw_Customers!$A$2:$A$101,0)),10)</f>
        <v>+91-7543187237</v>
      </c>
      <c r="F908" s="7" t="str">
        <f>Raw_Orders!C908</f>
        <v>30</v>
      </c>
      <c r="G908" s="7" t="str">
        <f>INDEX(Raw_Products!$B$2:$B$71,MATCH($F908,Raw_Products!$A$2:$A$71,0))</f>
        <v>Recusandae Pack</v>
      </c>
      <c r="H908" s="7" t="str">
        <f>INDEX(Raw_Products!$C$2:$C$71,MATCH($F908,Raw_Products!$A$2:$A$71,0))</f>
        <v>Colors</v>
      </c>
      <c r="I908" s="7">
        <f>VALUE(Raw_Orders!D908)</f>
        <v>2</v>
      </c>
      <c r="J908" s="11" t="str">
        <f>INDEX(Raw_Products!$D$2:$D$71,MATCH($F908,Raw_Products!$A$2:$A$71,0))</f>
        <v>751</v>
      </c>
      <c r="K908" s="11">
        <f t="shared" si="28"/>
        <v>1502</v>
      </c>
      <c r="L908" s="12">
        <f>DATE(VALUE(RIGHT(Raw_Orders!E908,4)),VALUE(MID(Raw_Orders!E908,4,2)),VALUE(LEFT(Raw_Orders!E908,2)))</f>
        <v>45035</v>
      </c>
      <c r="M908" s="12">
        <f>DATE(VALUE(RIGHT(Raw_Orders!G908,4)),VALUE(MID(Raw_Orders!G908,4,2)),VALUE(LEFT(Raw_Orders!G908,2)))</f>
        <v>45041</v>
      </c>
      <c r="N908" s="7">
        <f t="shared" si="29"/>
        <v>6</v>
      </c>
      <c r="O908" s="7" t="str">
        <f>Raw_Orders!J908</f>
        <v>Anniversary</v>
      </c>
      <c r="P908" s="7" t="str">
        <f>Raw_Orders!I908</f>
        <v>Burhanpur</v>
      </c>
    </row>
    <row r="909" spans="1:16">
      <c r="A909" s="7" t="str">
        <f>Raw_Orders!A909</f>
        <v>908</v>
      </c>
      <c r="B909" s="7" t="str">
        <f>Raw_Orders!B909</f>
        <v>C090</v>
      </c>
      <c r="C909" s="7" t="str">
        <f>INDEX(Raw_Customers!$B$2:$B$101,MATCH($B909,Raw_Customers!$A$2:$A$101,0))</f>
        <v>Drishya De</v>
      </c>
      <c r="D909" s="7" t="str">
        <f>TRIM(INDEX(Raw_Customers!$C$2:$C$101,MATCH($B909,Raw_Customers!$A$2:$A$101,0)))</f>
        <v>Anantapuram</v>
      </c>
      <c r="E909" s="7" t="str">
        <f>"+91-"&amp;RIGHT("0000000000"&amp;INDEX(Raw_Customers!$D$2:$D$101,MATCH($B909,Raw_Customers!$A$2:$A$101,0)),10)</f>
        <v>+91-3327374841</v>
      </c>
      <c r="F909" s="7" t="str">
        <f>Raw_Orders!C909</f>
        <v>28</v>
      </c>
      <c r="G909" s="7" t="str">
        <f>INDEX(Raw_Products!$B$2:$B$71,MATCH($F909,Raw_Products!$A$2:$A$71,0))</f>
        <v>Velit Set</v>
      </c>
      <c r="H909" s="7" t="str">
        <f>INDEX(Raw_Products!$C$2:$C$71,MATCH($F909,Raw_Products!$A$2:$A$71,0))</f>
        <v>Sweets</v>
      </c>
      <c r="I909" s="7">
        <f>VALUE(Raw_Orders!D909)</f>
        <v>5</v>
      </c>
      <c r="J909" s="11" t="str">
        <f>INDEX(Raw_Products!$D$2:$D$71,MATCH($F909,Raw_Products!$A$2:$A$71,0))</f>
        <v>1778</v>
      </c>
      <c r="K909" s="11">
        <f t="shared" si="28"/>
        <v>8890</v>
      </c>
      <c r="L909" s="12">
        <f>DATE(VALUE(RIGHT(Raw_Orders!E909,4)),VALUE(MID(Raw_Orders!E909,4,2)),VALUE(LEFT(Raw_Orders!E909,2)))</f>
        <v>45160</v>
      </c>
      <c r="M909" s="12">
        <f>DATE(VALUE(RIGHT(Raw_Orders!G909,4)),VALUE(MID(Raw_Orders!G909,4,2)),VALUE(LEFT(Raw_Orders!G909,2)))</f>
        <v>45162</v>
      </c>
      <c r="N909" s="7">
        <f t="shared" si="29"/>
        <v>2</v>
      </c>
      <c r="O909" s="7" t="str">
        <f>Raw_Orders!J909</f>
        <v>Raksha Bandhan</v>
      </c>
      <c r="P909" s="7" t="str">
        <f>Raw_Orders!I909</f>
        <v>Ozhukarai</v>
      </c>
    </row>
    <row r="910" spans="1:16">
      <c r="A910" s="7" t="str">
        <f>Raw_Orders!A910</f>
        <v>909</v>
      </c>
      <c r="B910" s="7" t="str">
        <f>Raw_Orders!B910</f>
        <v>C084</v>
      </c>
      <c r="C910" s="7" t="str">
        <f>INDEX(Raw_Customers!$B$2:$B$101,MATCH($B910,Raw_Customers!$A$2:$A$101,0))</f>
        <v>Anahita Shankar</v>
      </c>
      <c r="D910" s="7" t="str">
        <f>TRIM(INDEX(Raw_Customers!$C$2:$C$101,MATCH($B910,Raw_Customers!$A$2:$A$101,0)))</f>
        <v>Tiruchirappalli</v>
      </c>
      <c r="E910" s="7" t="str">
        <f>"+91-"&amp;RIGHT("0000000000"&amp;INDEX(Raw_Customers!$D$2:$D$101,MATCH($B910,Raw_Customers!$A$2:$A$101,0)),10)</f>
        <v>+91-2205603376</v>
      </c>
      <c r="F910" s="7" t="str">
        <f>Raw_Orders!C910</f>
        <v>42</v>
      </c>
      <c r="G910" s="7" t="str">
        <f>INDEX(Raw_Products!$B$2:$B$71,MATCH($F910,Raw_Products!$A$2:$A$71,0))</f>
        <v>Expedita Gift</v>
      </c>
      <c r="H910" s="7" t="str">
        <f>INDEX(Raw_Products!$C$2:$C$71,MATCH($F910,Raw_Products!$A$2:$A$71,0))</f>
        <v>Sweets</v>
      </c>
      <c r="I910" s="7">
        <f>VALUE(Raw_Orders!D910)</f>
        <v>1</v>
      </c>
      <c r="J910" s="11" t="str">
        <f>INDEX(Raw_Products!$D$2:$D$71,MATCH($F910,Raw_Products!$A$2:$A$71,0))</f>
        <v>1744</v>
      </c>
      <c r="K910" s="11">
        <f t="shared" si="28"/>
        <v>1744</v>
      </c>
      <c r="L910" s="12">
        <f>DATE(VALUE(RIGHT(Raw_Orders!E910,4)),VALUE(MID(Raw_Orders!E910,4,2)),VALUE(LEFT(Raw_Orders!E910,2)))</f>
        <v>45234</v>
      </c>
      <c r="M910" s="12">
        <f>DATE(VALUE(RIGHT(Raw_Orders!G910,4)),VALUE(MID(Raw_Orders!G910,4,2)),VALUE(LEFT(Raw_Orders!G910,2)))</f>
        <v>45238</v>
      </c>
      <c r="N910" s="7">
        <f t="shared" si="29"/>
        <v>4</v>
      </c>
      <c r="O910" s="7" t="str">
        <f>Raw_Orders!J910</f>
        <v>All Occasions</v>
      </c>
      <c r="P910" s="7" t="str">
        <f>Raw_Orders!I910</f>
        <v>Hyderabad</v>
      </c>
    </row>
    <row r="911" spans="1:16">
      <c r="A911" s="7" t="str">
        <f>Raw_Orders!A911</f>
        <v>910</v>
      </c>
      <c r="B911" s="7" t="str">
        <f>Raw_Orders!B911</f>
        <v>C066</v>
      </c>
      <c r="C911" s="7" t="str">
        <f>INDEX(Raw_Customers!$B$2:$B$101,MATCH($B911,Raw_Customers!$A$2:$A$101,0))</f>
        <v>Eshani Buch</v>
      </c>
      <c r="D911" s="7" t="str">
        <f>TRIM(INDEX(Raw_Customers!$C$2:$C$101,MATCH($B911,Raw_Customers!$A$2:$A$101,0)))</f>
        <v>Malegaon</v>
      </c>
      <c r="E911" s="7" t="str">
        <f>"+91-"&amp;RIGHT("0000000000"&amp;INDEX(Raw_Customers!$D$2:$D$101,MATCH($B911,Raw_Customers!$A$2:$A$101,0)),10)</f>
        <v>+91-7436178055</v>
      </c>
      <c r="F911" s="7" t="str">
        <f>Raw_Orders!C911</f>
        <v>55</v>
      </c>
      <c r="G911" s="7" t="str">
        <f>INDEX(Raw_Products!$B$2:$B$71,MATCH($F911,Raw_Products!$A$2:$A$71,0))</f>
        <v>Dolores Gift</v>
      </c>
      <c r="H911" s="7" t="str">
        <f>INDEX(Raw_Products!$C$2:$C$71,MATCH($F911,Raw_Products!$A$2:$A$71,0))</f>
        <v>Soft Toys</v>
      </c>
      <c r="I911" s="7">
        <f>VALUE(Raw_Orders!D911)</f>
        <v>4</v>
      </c>
      <c r="J911" s="11" t="str">
        <f>INDEX(Raw_Products!$D$2:$D$71,MATCH($F911,Raw_Products!$A$2:$A$71,0))</f>
        <v>1904</v>
      </c>
      <c r="K911" s="11">
        <f t="shared" si="28"/>
        <v>7616</v>
      </c>
      <c r="L911" s="12">
        <f>DATE(VALUE(RIGHT(Raw_Orders!E911,4)),VALUE(MID(Raw_Orders!E911,4,2)),VALUE(LEFT(Raw_Orders!E911,2)))</f>
        <v>45164</v>
      </c>
      <c r="M911" s="12">
        <f>DATE(VALUE(RIGHT(Raw_Orders!G911,4)),VALUE(MID(Raw_Orders!G911,4,2)),VALUE(LEFT(Raw_Orders!G911,2)))</f>
        <v>45173</v>
      </c>
      <c r="N911" s="7">
        <f t="shared" si="29"/>
        <v>9</v>
      </c>
      <c r="O911" s="7" t="str">
        <f>Raw_Orders!J911</f>
        <v>Raksha Bandhan</v>
      </c>
      <c r="P911" s="7" t="str">
        <f>Raw_Orders!I911</f>
        <v>Kamarhati</v>
      </c>
    </row>
    <row r="912" spans="1:16">
      <c r="A912" s="7" t="str">
        <f>Raw_Orders!A912</f>
        <v>911</v>
      </c>
      <c r="B912" s="7" t="str">
        <f>Raw_Orders!B912</f>
        <v>C071</v>
      </c>
      <c r="C912" s="7" t="str">
        <f>INDEX(Raw_Customers!$B$2:$B$101,MATCH($B912,Raw_Customers!$A$2:$A$101,0))</f>
        <v>Purab Sheth</v>
      </c>
      <c r="D912" s="7" t="str">
        <f>TRIM(INDEX(Raw_Customers!$C$2:$C$101,MATCH($B912,Raw_Customers!$A$2:$A$101,0)))</f>
        <v>Tiruppur</v>
      </c>
      <c r="E912" s="7" t="str">
        <f>"+91-"&amp;RIGHT("0000000000"&amp;INDEX(Raw_Customers!$D$2:$D$101,MATCH($B912,Raw_Customers!$A$2:$A$101,0)),10)</f>
        <v>+91-8410472405</v>
      </c>
      <c r="F912" s="7" t="str">
        <f>Raw_Orders!C912</f>
        <v>22</v>
      </c>
      <c r="G912" s="7" t="str">
        <f>INDEX(Raw_Products!$B$2:$B$71,MATCH($F912,Raw_Products!$A$2:$A$71,0))</f>
        <v>Exercitationem Pack</v>
      </c>
      <c r="H912" s="7" t="str">
        <f>INDEX(Raw_Products!$C$2:$C$71,MATCH($F912,Raw_Products!$A$2:$A$71,0))</f>
        <v>Soft Toys</v>
      </c>
      <c r="I912" s="7">
        <f>VALUE(Raw_Orders!D912)</f>
        <v>4</v>
      </c>
      <c r="J912" s="11" t="str">
        <f>INDEX(Raw_Products!$D$2:$D$71,MATCH($F912,Raw_Products!$A$2:$A$71,0))</f>
        <v>1639</v>
      </c>
      <c r="K912" s="11">
        <f t="shared" si="28"/>
        <v>6556</v>
      </c>
      <c r="L912" s="12">
        <f>DATE(VALUE(RIGHT(Raw_Orders!E912,4)),VALUE(MID(Raw_Orders!E912,4,2)),VALUE(LEFT(Raw_Orders!E912,2)))</f>
        <v>44949</v>
      </c>
      <c r="M912" s="12">
        <f>DATE(VALUE(RIGHT(Raw_Orders!G912,4)),VALUE(MID(Raw_Orders!G912,4,2)),VALUE(LEFT(Raw_Orders!G912,2)))</f>
        <v>44954</v>
      </c>
      <c r="N912" s="7">
        <f t="shared" si="29"/>
        <v>5</v>
      </c>
      <c r="O912" s="7" t="str">
        <f>Raw_Orders!J912</f>
        <v>All Occasions</v>
      </c>
      <c r="P912" s="7" t="str">
        <f>Raw_Orders!I912</f>
        <v>Nangloi Jat</v>
      </c>
    </row>
    <row r="913" spans="1:16">
      <c r="A913" s="7" t="str">
        <f>Raw_Orders!A913</f>
        <v>912</v>
      </c>
      <c r="B913" s="7" t="str">
        <f>Raw_Orders!B913</f>
        <v>C062</v>
      </c>
      <c r="C913" s="7" t="str">
        <f>INDEX(Raw_Customers!$B$2:$B$101,MATCH($B913,Raw_Customers!$A$2:$A$101,0))</f>
        <v>Inaaya  Sarraf</v>
      </c>
      <c r="D913" s="7" t="str">
        <f>TRIM(INDEX(Raw_Customers!$C$2:$C$101,MATCH($B913,Raw_Customers!$A$2:$A$101,0)))</f>
        <v>Nagpur</v>
      </c>
      <c r="E913" s="7" t="str">
        <f>"+91-"&amp;RIGHT("0000000000"&amp;INDEX(Raw_Customers!$D$2:$D$101,MATCH($B913,Raw_Customers!$A$2:$A$101,0)),10)</f>
        <v>+91-5915082470</v>
      </c>
      <c r="F913" s="7" t="str">
        <f>Raw_Orders!C913</f>
        <v>9</v>
      </c>
      <c r="G913" s="7" t="str">
        <f>INDEX(Raw_Products!$B$2:$B$71,MATCH($F913,Raw_Products!$A$2:$A$71,0))</f>
        <v>Aperiam Box</v>
      </c>
      <c r="H913" s="7" t="str">
        <f>INDEX(Raw_Products!$C$2:$C$71,MATCH($F913,Raw_Products!$A$2:$A$71,0))</f>
        <v>Colors</v>
      </c>
      <c r="I913" s="7">
        <f>VALUE(Raw_Orders!D913)</f>
        <v>4</v>
      </c>
      <c r="J913" s="11" t="str">
        <f>INDEX(Raw_Products!$D$2:$D$71,MATCH($F913,Raw_Products!$A$2:$A$71,0))</f>
        <v>1605</v>
      </c>
      <c r="K913" s="11">
        <f t="shared" si="28"/>
        <v>6420</v>
      </c>
      <c r="L913" s="12">
        <f>DATE(VALUE(RIGHT(Raw_Orders!E913,4)),VALUE(MID(Raw_Orders!E913,4,2)),VALUE(LEFT(Raw_Orders!E913,2)))</f>
        <v>45167</v>
      </c>
      <c r="M913" s="12">
        <f>DATE(VALUE(RIGHT(Raw_Orders!G913,4)),VALUE(MID(Raw_Orders!G913,4,2)),VALUE(LEFT(Raw_Orders!G913,2)))</f>
        <v>45175</v>
      </c>
      <c r="N913" s="7">
        <f t="shared" si="29"/>
        <v>8</v>
      </c>
      <c r="O913" s="7" t="str">
        <f>Raw_Orders!J913</f>
        <v>Raksha Bandhan</v>
      </c>
      <c r="P913" s="7" t="str">
        <f>Raw_Orders!I913</f>
        <v>Ghaziabad</v>
      </c>
    </row>
    <row r="914" spans="1:16">
      <c r="A914" s="7" t="str">
        <f>Raw_Orders!A914</f>
        <v>913</v>
      </c>
      <c r="B914" s="7" t="str">
        <f>Raw_Orders!B914</f>
        <v>C092</v>
      </c>
      <c r="C914" s="7" t="str">
        <f>INDEX(Raw_Customers!$B$2:$B$101,MATCH($B914,Raw_Customers!$A$2:$A$101,0))</f>
        <v>Zoya Mani</v>
      </c>
      <c r="D914" s="7" t="str">
        <f>TRIM(INDEX(Raw_Customers!$C$2:$C$101,MATCH($B914,Raw_Customers!$A$2:$A$101,0)))</f>
        <v>Dibrugarh</v>
      </c>
      <c r="E914" s="7" t="str">
        <f>"+91-"&amp;RIGHT("0000000000"&amp;INDEX(Raw_Customers!$D$2:$D$101,MATCH($B914,Raw_Customers!$A$2:$A$101,0)),10)</f>
        <v>+91-8918356963</v>
      </c>
      <c r="F914" s="7" t="str">
        <f>Raw_Orders!C914</f>
        <v>56</v>
      </c>
      <c r="G914" s="7" t="str">
        <f>INDEX(Raw_Products!$B$2:$B$71,MATCH($F914,Raw_Products!$A$2:$A$71,0))</f>
        <v>Quia Gift</v>
      </c>
      <c r="H914" s="7" t="str">
        <f>INDEX(Raw_Products!$C$2:$C$71,MATCH($F914,Raw_Products!$A$2:$A$71,0))</f>
        <v>Raksha Bandhan</v>
      </c>
      <c r="I914" s="7">
        <f>VALUE(Raw_Orders!D914)</f>
        <v>5</v>
      </c>
      <c r="J914" s="11" t="str">
        <f>INDEX(Raw_Products!$D$2:$D$71,MATCH($F914,Raw_Products!$A$2:$A$71,0))</f>
        <v>1272</v>
      </c>
      <c r="K914" s="11">
        <f t="shared" si="28"/>
        <v>6360</v>
      </c>
      <c r="L914" s="12">
        <f>DATE(VALUE(RIGHT(Raw_Orders!E914,4)),VALUE(MID(Raw_Orders!E914,4,2)),VALUE(LEFT(Raw_Orders!E914,2)))</f>
        <v>45270</v>
      </c>
      <c r="M914" s="12">
        <f>DATE(VALUE(RIGHT(Raw_Orders!G914,4)),VALUE(MID(Raw_Orders!G914,4,2)),VALUE(LEFT(Raw_Orders!G914,2)))</f>
        <v>45272</v>
      </c>
      <c r="N914" s="7">
        <f t="shared" si="29"/>
        <v>2</v>
      </c>
      <c r="O914" s="7" t="str">
        <f>Raw_Orders!J914</f>
        <v>Anniversary</v>
      </c>
      <c r="P914" s="7" t="str">
        <f>Raw_Orders!I914</f>
        <v>Bharatpur</v>
      </c>
    </row>
    <row r="915" spans="1:16">
      <c r="A915" s="7" t="str">
        <f>Raw_Orders!A915</f>
        <v>914</v>
      </c>
      <c r="B915" s="7" t="str">
        <f>Raw_Orders!B915</f>
        <v>C048</v>
      </c>
      <c r="C915" s="7" t="str">
        <f>INDEX(Raw_Customers!$B$2:$B$101,MATCH($B915,Raw_Customers!$A$2:$A$101,0))</f>
        <v>Aradhya Kale</v>
      </c>
      <c r="D915" s="7" t="str">
        <f>TRIM(INDEX(Raw_Customers!$C$2:$C$101,MATCH($B915,Raw_Customers!$A$2:$A$101,0)))</f>
        <v>Guntakal</v>
      </c>
      <c r="E915" s="7" t="str">
        <f>"+91-"&amp;RIGHT("0000000000"&amp;INDEX(Raw_Customers!$D$2:$D$101,MATCH($B915,Raw_Customers!$A$2:$A$101,0)),10)</f>
        <v>+91-7979926231</v>
      </c>
      <c r="F915" s="7" t="str">
        <f>Raw_Orders!C915</f>
        <v>33</v>
      </c>
      <c r="G915" s="7" t="str">
        <f>INDEX(Raw_Products!$B$2:$B$71,MATCH($F915,Raw_Products!$A$2:$A$71,0))</f>
        <v>Earum Set</v>
      </c>
      <c r="H915" s="7" t="str">
        <f>INDEX(Raw_Products!$C$2:$C$71,MATCH($F915,Raw_Products!$A$2:$A$71,0))</f>
        <v>Colors</v>
      </c>
      <c r="I915" s="7">
        <f>VALUE(Raw_Orders!D915)</f>
        <v>4</v>
      </c>
      <c r="J915" s="11" t="str">
        <f>INDEX(Raw_Products!$D$2:$D$71,MATCH($F915,Raw_Products!$A$2:$A$71,0))</f>
        <v>314</v>
      </c>
      <c r="K915" s="11">
        <f t="shared" si="28"/>
        <v>1256</v>
      </c>
      <c r="L915" s="12">
        <f>DATE(VALUE(RIGHT(Raw_Orders!E915,4)),VALUE(MID(Raw_Orders!E915,4,2)),VALUE(LEFT(Raw_Orders!E915,2)))</f>
        <v>44966</v>
      </c>
      <c r="M915" s="12">
        <f>DATE(VALUE(RIGHT(Raw_Orders!G915,4)),VALUE(MID(Raw_Orders!G915,4,2)),VALUE(LEFT(Raw_Orders!G915,2)))</f>
        <v>44971</v>
      </c>
      <c r="N915" s="7">
        <f t="shared" si="29"/>
        <v>5</v>
      </c>
      <c r="O915" s="7" t="str">
        <f>Raw_Orders!J915</f>
        <v>Valentine's Day</v>
      </c>
      <c r="P915" s="7" t="str">
        <f>Raw_Orders!I915</f>
        <v>Sambhal</v>
      </c>
    </row>
    <row r="916" spans="1:16">
      <c r="A916" s="7" t="str">
        <f>Raw_Orders!A916</f>
        <v>915</v>
      </c>
      <c r="B916" s="7" t="str">
        <f>Raw_Orders!B916</f>
        <v>C014</v>
      </c>
      <c r="C916" s="7" t="str">
        <f>INDEX(Raw_Customers!$B$2:$B$101,MATCH($B916,Raw_Customers!$A$2:$A$101,0))</f>
        <v>Indrans Shukla</v>
      </c>
      <c r="D916" s="7" t="str">
        <f>TRIM(INDEX(Raw_Customers!$C$2:$C$101,MATCH($B916,Raw_Customers!$A$2:$A$101,0)))</f>
        <v>Panvel</v>
      </c>
      <c r="E916" s="7" t="str">
        <f>"+91-"&amp;RIGHT("0000000000"&amp;INDEX(Raw_Customers!$D$2:$D$101,MATCH($B916,Raw_Customers!$A$2:$A$101,0)),10)</f>
        <v>+91-2717671919</v>
      </c>
      <c r="F916" s="7" t="str">
        <f>Raw_Orders!C916</f>
        <v>35</v>
      </c>
      <c r="G916" s="7" t="str">
        <f>INDEX(Raw_Products!$B$2:$B$71,MATCH($F916,Raw_Products!$A$2:$A$71,0))</f>
        <v>Nam Gift</v>
      </c>
      <c r="H916" s="7" t="str">
        <f>INDEX(Raw_Products!$C$2:$C$71,MATCH($F916,Raw_Products!$A$2:$A$71,0))</f>
        <v>Colors</v>
      </c>
      <c r="I916" s="7">
        <f>VALUE(Raw_Orders!D916)</f>
        <v>1</v>
      </c>
      <c r="J916" s="11" t="str">
        <f>INDEX(Raw_Products!$D$2:$D$71,MATCH($F916,Raw_Products!$A$2:$A$71,0))</f>
        <v>1865</v>
      </c>
      <c r="K916" s="11">
        <f t="shared" si="28"/>
        <v>1865</v>
      </c>
      <c r="L916" s="12">
        <f>DATE(VALUE(RIGHT(Raw_Orders!E916,4)),VALUE(MID(Raw_Orders!E916,4,2)),VALUE(LEFT(Raw_Orders!E916,2)))</f>
        <v>44991</v>
      </c>
      <c r="M916" s="12">
        <f>DATE(VALUE(RIGHT(Raw_Orders!G916,4)),VALUE(MID(Raw_Orders!G916,4,2)),VALUE(LEFT(Raw_Orders!G916,2)))</f>
        <v>44999</v>
      </c>
      <c r="N916" s="7">
        <f t="shared" si="29"/>
        <v>8</v>
      </c>
      <c r="O916" s="7" t="str">
        <f>Raw_Orders!J916</f>
        <v>Holi</v>
      </c>
      <c r="P916" s="7" t="str">
        <f>Raw_Orders!I916</f>
        <v>Uluberia</v>
      </c>
    </row>
    <row r="917" spans="1:16">
      <c r="A917" s="7" t="str">
        <f>Raw_Orders!A917</f>
        <v>916</v>
      </c>
      <c r="B917" s="7" t="str">
        <f>Raw_Orders!B917</f>
        <v>C063</v>
      </c>
      <c r="C917" s="7" t="str">
        <f>INDEX(Raw_Customers!$B$2:$B$101,MATCH($B917,Raw_Customers!$A$2:$A$101,0))</f>
        <v>Arhaan Ahluwalia</v>
      </c>
      <c r="D917" s="7" t="str">
        <f>TRIM(INDEX(Raw_Customers!$C$2:$C$101,MATCH($B917,Raw_Customers!$A$2:$A$101,0)))</f>
        <v>Jamnagar</v>
      </c>
      <c r="E917" s="7" t="str">
        <f>"+91-"&amp;RIGHT("0000000000"&amp;INDEX(Raw_Customers!$D$2:$D$101,MATCH($B917,Raw_Customers!$A$2:$A$101,0)),10)</f>
        <v>+91-5287021467</v>
      </c>
      <c r="F917" s="7" t="str">
        <f>Raw_Orders!C917</f>
        <v>33</v>
      </c>
      <c r="G917" s="7" t="str">
        <f>INDEX(Raw_Products!$B$2:$B$71,MATCH($F917,Raw_Products!$A$2:$A$71,0))</f>
        <v>Earum Set</v>
      </c>
      <c r="H917" s="7" t="str">
        <f>INDEX(Raw_Products!$C$2:$C$71,MATCH($F917,Raw_Products!$A$2:$A$71,0))</f>
        <v>Colors</v>
      </c>
      <c r="I917" s="7">
        <f>VALUE(Raw_Orders!D917)</f>
        <v>2</v>
      </c>
      <c r="J917" s="11" t="str">
        <f>INDEX(Raw_Products!$D$2:$D$71,MATCH($F917,Raw_Products!$A$2:$A$71,0))</f>
        <v>314</v>
      </c>
      <c r="K917" s="11">
        <f t="shared" si="28"/>
        <v>628</v>
      </c>
      <c r="L917" s="12">
        <f>DATE(VALUE(RIGHT(Raw_Orders!E917,4)),VALUE(MID(Raw_Orders!E917,4,2)),VALUE(LEFT(Raw_Orders!E917,2)))</f>
        <v>44963</v>
      </c>
      <c r="M917" s="12">
        <f>DATE(VALUE(RIGHT(Raw_Orders!G917,4)),VALUE(MID(Raw_Orders!G917,4,2)),VALUE(LEFT(Raw_Orders!G917,2)))</f>
        <v>44971</v>
      </c>
      <c r="N917" s="7">
        <f t="shared" si="29"/>
        <v>8</v>
      </c>
      <c r="O917" s="7" t="str">
        <f>Raw_Orders!J917</f>
        <v>Valentine's Day</v>
      </c>
      <c r="P917" s="7" t="str">
        <f>Raw_Orders!I917</f>
        <v>Darbhanga</v>
      </c>
    </row>
    <row r="918" spans="1:16">
      <c r="A918" s="7" t="str">
        <f>Raw_Orders!A918</f>
        <v>917</v>
      </c>
      <c r="B918" s="7" t="str">
        <f>Raw_Orders!B918</f>
        <v>C052</v>
      </c>
      <c r="C918" s="7" t="str">
        <f>INDEX(Raw_Customers!$B$2:$B$101,MATCH($B918,Raw_Customers!$A$2:$A$101,0))</f>
        <v>Vardaniya Apte</v>
      </c>
      <c r="D918" s="7" t="str">
        <f>TRIM(INDEX(Raw_Customers!$C$2:$C$101,MATCH($B918,Raw_Customers!$A$2:$A$101,0)))</f>
        <v>Dhanbad</v>
      </c>
      <c r="E918" s="7" t="str">
        <f>"+91-"&amp;RIGHT("0000000000"&amp;INDEX(Raw_Customers!$D$2:$D$101,MATCH($B918,Raw_Customers!$A$2:$A$101,0)),10)</f>
        <v>+91-5846932069</v>
      </c>
      <c r="F918" s="7" t="str">
        <f>Raw_Orders!C918</f>
        <v>12</v>
      </c>
      <c r="G918" s="7" t="str">
        <f>INDEX(Raw_Products!$B$2:$B$71,MATCH($F918,Raw_Products!$A$2:$A$71,0))</f>
        <v>Non Set</v>
      </c>
      <c r="H918" s="7" t="str">
        <f>INDEX(Raw_Products!$C$2:$C$71,MATCH($F918,Raw_Products!$A$2:$A$71,0))</f>
        <v>Plants</v>
      </c>
      <c r="I918" s="7">
        <f>VALUE(Raw_Orders!D918)</f>
        <v>3</v>
      </c>
      <c r="J918" s="11" t="str">
        <f>INDEX(Raw_Products!$D$2:$D$71,MATCH($F918,Raw_Products!$A$2:$A$71,0))</f>
        <v>672</v>
      </c>
      <c r="K918" s="11">
        <f t="shared" si="28"/>
        <v>2016</v>
      </c>
      <c r="L918" s="12">
        <f>DATE(VALUE(RIGHT(Raw_Orders!E918,4)),VALUE(MID(Raw_Orders!E918,4,2)),VALUE(LEFT(Raw_Orders!E918,2)))</f>
        <v>44950</v>
      </c>
      <c r="M918" s="12">
        <f>DATE(VALUE(RIGHT(Raw_Orders!G918,4)),VALUE(MID(Raw_Orders!G918,4,2)),VALUE(LEFT(Raw_Orders!G918,2)))</f>
        <v>44955</v>
      </c>
      <c r="N918" s="7">
        <f t="shared" si="29"/>
        <v>5</v>
      </c>
      <c r="O918" s="7" t="str">
        <f>Raw_Orders!J918</f>
        <v>Anniversary</v>
      </c>
      <c r="P918" s="7" t="str">
        <f>Raw_Orders!I918</f>
        <v>Bareilly</v>
      </c>
    </row>
    <row r="919" spans="1:16">
      <c r="A919" s="7" t="str">
        <f>Raw_Orders!A919</f>
        <v>918</v>
      </c>
      <c r="B919" s="7" t="str">
        <f>Raw_Orders!B919</f>
        <v>C083</v>
      </c>
      <c r="C919" s="7" t="str">
        <f>INDEX(Raw_Customers!$B$2:$B$101,MATCH($B919,Raw_Customers!$A$2:$A$101,0))</f>
        <v>Aaryahi Sodhi</v>
      </c>
      <c r="D919" s="7" t="str">
        <f>TRIM(INDEX(Raw_Customers!$C$2:$C$101,MATCH($B919,Raw_Customers!$A$2:$A$101,0)))</f>
        <v>Raurkela Industrial Township</v>
      </c>
      <c r="E919" s="7" t="str">
        <f>"+91-"&amp;RIGHT("0000000000"&amp;INDEX(Raw_Customers!$D$2:$D$101,MATCH($B919,Raw_Customers!$A$2:$A$101,0)),10)</f>
        <v>+91-2690208110</v>
      </c>
      <c r="F919" s="7" t="str">
        <f>Raw_Orders!C919</f>
        <v>19</v>
      </c>
      <c r="G919" s="7" t="str">
        <f>INDEX(Raw_Products!$B$2:$B$71,MATCH($F919,Raw_Products!$A$2:$A$71,0))</f>
        <v>Iure Gift</v>
      </c>
      <c r="H919" s="7" t="str">
        <f>INDEX(Raw_Products!$C$2:$C$71,MATCH($F919,Raw_Products!$A$2:$A$71,0))</f>
        <v>Mugs</v>
      </c>
      <c r="I919" s="7">
        <f>VALUE(Raw_Orders!D919)</f>
        <v>2</v>
      </c>
      <c r="J919" s="11" t="str">
        <f>INDEX(Raw_Products!$D$2:$D$71,MATCH($F919,Raw_Products!$A$2:$A$71,0))</f>
        <v>1234</v>
      </c>
      <c r="K919" s="11">
        <f t="shared" si="28"/>
        <v>2468</v>
      </c>
      <c r="L919" s="12">
        <f>DATE(VALUE(RIGHT(Raw_Orders!E919,4)),VALUE(MID(Raw_Orders!E919,4,2)),VALUE(LEFT(Raw_Orders!E919,2)))</f>
        <v>44969</v>
      </c>
      <c r="M919" s="12">
        <f>DATE(VALUE(RIGHT(Raw_Orders!G919,4)),VALUE(MID(Raw_Orders!G919,4,2)),VALUE(LEFT(Raw_Orders!G919,2)))</f>
        <v>44978</v>
      </c>
      <c r="N919" s="7">
        <f t="shared" si="29"/>
        <v>9</v>
      </c>
      <c r="O919" s="7" t="str">
        <f>Raw_Orders!J919</f>
        <v>Valentine's Day</v>
      </c>
      <c r="P919" s="7" t="str">
        <f>Raw_Orders!I919</f>
        <v>Pali</v>
      </c>
    </row>
    <row r="920" spans="1:16">
      <c r="A920" s="7" t="str">
        <f>Raw_Orders!A920</f>
        <v>919</v>
      </c>
      <c r="B920" s="7" t="str">
        <f>Raw_Orders!B920</f>
        <v>C038</v>
      </c>
      <c r="C920" s="7" t="str">
        <f>INDEX(Raw_Customers!$B$2:$B$101,MATCH($B920,Raw_Customers!$A$2:$A$101,0))</f>
        <v>Yakshit Shah</v>
      </c>
      <c r="D920" s="7" t="str">
        <f>TRIM(INDEX(Raw_Customers!$C$2:$C$101,MATCH($B920,Raw_Customers!$A$2:$A$101,0)))</f>
        <v>Aizawl</v>
      </c>
      <c r="E920" s="7" t="str">
        <f>"+91-"&amp;RIGHT("0000000000"&amp;INDEX(Raw_Customers!$D$2:$D$101,MATCH($B920,Raw_Customers!$A$2:$A$101,0)),10)</f>
        <v>+91-2847411902</v>
      </c>
      <c r="F920" s="7" t="str">
        <f>Raw_Orders!C920</f>
        <v>35</v>
      </c>
      <c r="G920" s="7" t="str">
        <f>INDEX(Raw_Products!$B$2:$B$71,MATCH($F920,Raw_Products!$A$2:$A$71,0))</f>
        <v>Nam Gift</v>
      </c>
      <c r="H920" s="7" t="str">
        <f>INDEX(Raw_Products!$C$2:$C$71,MATCH($F920,Raw_Products!$A$2:$A$71,0))</f>
        <v>Colors</v>
      </c>
      <c r="I920" s="7">
        <f>VALUE(Raw_Orders!D920)</f>
        <v>5</v>
      </c>
      <c r="J920" s="11" t="str">
        <f>INDEX(Raw_Products!$D$2:$D$71,MATCH($F920,Raw_Products!$A$2:$A$71,0))</f>
        <v>1865</v>
      </c>
      <c r="K920" s="11">
        <f t="shared" si="28"/>
        <v>9325</v>
      </c>
      <c r="L920" s="12">
        <f>DATE(VALUE(RIGHT(Raw_Orders!E920,4)),VALUE(MID(Raw_Orders!E920,4,2)),VALUE(LEFT(Raw_Orders!E920,2)))</f>
        <v>44985</v>
      </c>
      <c r="M920" s="12">
        <f>DATE(VALUE(RIGHT(Raw_Orders!G920,4)),VALUE(MID(Raw_Orders!G920,4,2)),VALUE(LEFT(Raw_Orders!G920,2)))</f>
        <v>44989</v>
      </c>
      <c r="N920" s="7">
        <f t="shared" si="29"/>
        <v>4</v>
      </c>
      <c r="O920" s="7" t="str">
        <f>Raw_Orders!J920</f>
        <v>Holi</v>
      </c>
      <c r="P920" s="7" t="str">
        <f>Raw_Orders!I920</f>
        <v>Delhi</v>
      </c>
    </row>
    <row r="921" spans="1:16">
      <c r="A921" s="7" t="str">
        <f>Raw_Orders!A921</f>
        <v>920</v>
      </c>
      <c r="B921" s="7" t="str">
        <f>Raw_Orders!B921</f>
        <v>C026</v>
      </c>
      <c r="C921" s="7" t="str">
        <f>INDEX(Raw_Customers!$B$2:$B$101,MATCH($B921,Raw_Customers!$A$2:$A$101,0))</f>
        <v>Ira Chahal</v>
      </c>
      <c r="D921" s="7" t="str">
        <f>TRIM(INDEX(Raw_Customers!$C$2:$C$101,MATCH($B921,Raw_Customers!$A$2:$A$101,0)))</f>
        <v>Farrukhabad</v>
      </c>
      <c r="E921" s="7" t="str">
        <f>"+91-"&amp;RIGHT("0000000000"&amp;INDEX(Raw_Customers!$D$2:$D$101,MATCH($B921,Raw_Customers!$A$2:$A$101,0)),10)</f>
        <v>+91-8716483532</v>
      </c>
      <c r="F921" s="7" t="str">
        <f>Raw_Orders!C921</f>
        <v>45</v>
      </c>
      <c r="G921" s="7" t="str">
        <f>INDEX(Raw_Products!$B$2:$B$71,MATCH($F921,Raw_Products!$A$2:$A$71,0))</f>
        <v>Iusto Set</v>
      </c>
      <c r="H921" s="7" t="str">
        <f>INDEX(Raw_Products!$C$2:$C$71,MATCH($F921,Raw_Products!$A$2:$A$71,0))</f>
        <v>Raksha Bandhan</v>
      </c>
      <c r="I921" s="7">
        <f>VALUE(Raw_Orders!D921)</f>
        <v>1</v>
      </c>
      <c r="J921" s="11" t="str">
        <f>INDEX(Raw_Products!$D$2:$D$71,MATCH($F921,Raw_Products!$A$2:$A$71,0))</f>
        <v>722</v>
      </c>
      <c r="K921" s="11">
        <f t="shared" si="28"/>
        <v>722</v>
      </c>
      <c r="L921" s="12">
        <f>DATE(VALUE(RIGHT(Raw_Orders!E921,4)),VALUE(MID(Raw_Orders!E921,4,2)),VALUE(LEFT(Raw_Orders!E921,2)))</f>
        <v>45106</v>
      </c>
      <c r="M921" s="12">
        <f>DATE(VALUE(RIGHT(Raw_Orders!G921,4)),VALUE(MID(Raw_Orders!G921,4,2)),VALUE(LEFT(Raw_Orders!G921,2)))</f>
        <v>45115</v>
      </c>
      <c r="N921" s="7">
        <f t="shared" si="29"/>
        <v>9</v>
      </c>
      <c r="O921" s="7" t="str">
        <f>Raw_Orders!J921</f>
        <v>Birthday</v>
      </c>
      <c r="P921" s="7" t="str">
        <f>Raw_Orders!I921</f>
        <v>Gorakhpur</v>
      </c>
    </row>
    <row r="922" spans="1:16">
      <c r="A922" s="7" t="str">
        <f>Raw_Orders!A922</f>
        <v>921</v>
      </c>
      <c r="B922" s="7" t="str">
        <f>Raw_Orders!B922</f>
        <v>C078</v>
      </c>
      <c r="C922" s="7" t="str">
        <f>INDEX(Raw_Customers!$B$2:$B$101,MATCH($B922,Raw_Customers!$A$2:$A$101,0))</f>
        <v>Jivika Rajan</v>
      </c>
      <c r="D922" s="7" t="str">
        <f>TRIM(INDEX(Raw_Customers!$C$2:$C$101,MATCH($B922,Raw_Customers!$A$2:$A$101,0)))</f>
        <v>Bhubaneswar</v>
      </c>
      <c r="E922" s="7" t="str">
        <f>"+91-"&amp;RIGHT("0000000000"&amp;INDEX(Raw_Customers!$D$2:$D$101,MATCH($B922,Raw_Customers!$A$2:$A$101,0)),10)</f>
        <v>+91-3005266310</v>
      </c>
      <c r="F922" s="7" t="str">
        <f>Raw_Orders!C922</f>
        <v>23</v>
      </c>
      <c r="G922" s="7" t="str">
        <f>INDEX(Raw_Products!$B$2:$B$71,MATCH($F922,Raw_Products!$A$2:$A$71,0))</f>
        <v>Dignissimos Pack</v>
      </c>
      <c r="H922" s="7" t="str">
        <f>INDEX(Raw_Products!$C$2:$C$71,MATCH($F922,Raw_Products!$A$2:$A$71,0))</f>
        <v>Sweets</v>
      </c>
      <c r="I922" s="7">
        <f>VALUE(Raw_Orders!D922)</f>
        <v>4</v>
      </c>
      <c r="J922" s="11" t="str">
        <f>INDEX(Raw_Products!$D$2:$D$71,MATCH($F922,Raw_Products!$A$2:$A$71,0))</f>
        <v>1098</v>
      </c>
      <c r="K922" s="11">
        <f t="shared" si="28"/>
        <v>4392</v>
      </c>
      <c r="L922" s="12">
        <f>DATE(VALUE(RIGHT(Raw_Orders!E922,4)),VALUE(MID(Raw_Orders!E922,4,2)),VALUE(LEFT(Raw_Orders!E922,2)))</f>
        <v>45187</v>
      </c>
      <c r="M922" s="12">
        <f>DATE(VALUE(RIGHT(Raw_Orders!G922,4)),VALUE(MID(Raw_Orders!G922,4,2)),VALUE(LEFT(Raw_Orders!G922,2)))</f>
        <v>45192</v>
      </c>
      <c r="N922" s="7">
        <f t="shared" si="29"/>
        <v>5</v>
      </c>
      <c r="O922" s="7" t="str">
        <f>Raw_Orders!J922</f>
        <v>Anniversary</v>
      </c>
      <c r="P922" s="7" t="str">
        <f>Raw_Orders!I922</f>
        <v>Ghaziabad</v>
      </c>
    </row>
    <row r="923" spans="1:16">
      <c r="A923" s="7" t="str">
        <f>Raw_Orders!A923</f>
        <v>922</v>
      </c>
      <c r="B923" s="7" t="str">
        <f>Raw_Orders!B923</f>
        <v>C009</v>
      </c>
      <c r="C923" s="7" t="str">
        <f>INDEX(Raw_Customers!$B$2:$B$101,MATCH($B923,Raw_Customers!$A$2:$A$101,0))</f>
        <v>Ritvik Borah</v>
      </c>
      <c r="D923" s="7" t="str">
        <f>TRIM(INDEX(Raw_Customers!$C$2:$C$101,MATCH($B923,Raw_Customers!$A$2:$A$101,0)))</f>
        <v>Madurai</v>
      </c>
      <c r="E923" s="7" t="str">
        <f>"+91-"&amp;RIGHT("0000000000"&amp;INDEX(Raw_Customers!$D$2:$D$101,MATCH($B923,Raw_Customers!$A$2:$A$101,0)),10)</f>
        <v>+91-1336765676</v>
      </c>
      <c r="F923" s="7" t="str">
        <f>Raw_Orders!C923</f>
        <v>23</v>
      </c>
      <c r="G923" s="7" t="str">
        <f>INDEX(Raw_Products!$B$2:$B$71,MATCH($F923,Raw_Products!$A$2:$A$71,0))</f>
        <v>Dignissimos Pack</v>
      </c>
      <c r="H923" s="7" t="str">
        <f>INDEX(Raw_Products!$C$2:$C$71,MATCH($F923,Raw_Products!$A$2:$A$71,0))</f>
        <v>Sweets</v>
      </c>
      <c r="I923" s="7">
        <f>VALUE(Raw_Orders!D923)</f>
        <v>1</v>
      </c>
      <c r="J923" s="11" t="str">
        <f>INDEX(Raw_Products!$D$2:$D$71,MATCH($F923,Raw_Products!$A$2:$A$71,0))</f>
        <v>1098</v>
      </c>
      <c r="K923" s="11">
        <f t="shared" si="28"/>
        <v>1098</v>
      </c>
      <c r="L923" s="12">
        <f>DATE(VALUE(RIGHT(Raw_Orders!E923,4)),VALUE(MID(Raw_Orders!E923,4,2)),VALUE(LEFT(Raw_Orders!E923,2)))</f>
        <v>45274</v>
      </c>
      <c r="M923" s="12">
        <f>DATE(VALUE(RIGHT(Raw_Orders!G923,4)),VALUE(MID(Raw_Orders!G923,4,2)),VALUE(LEFT(Raw_Orders!G923,2)))</f>
        <v>45278</v>
      </c>
      <c r="N923" s="7">
        <f t="shared" si="29"/>
        <v>4</v>
      </c>
      <c r="O923" s="7" t="str">
        <f>Raw_Orders!J923</f>
        <v>Anniversary</v>
      </c>
      <c r="P923" s="7" t="str">
        <f>Raw_Orders!I923</f>
        <v>Mahbubnagar</v>
      </c>
    </row>
    <row r="924" spans="1:16">
      <c r="A924" s="7" t="str">
        <f>Raw_Orders!A924</f>
        <v>923</v>
      </c>
      <c r="B924" s="7" t="str">
        <f>Raw_Orders!B924</f>
        <v>C034</v>
      </c>
      <c r="C924" s="7" t="str">
        <f>INDEX(Raw_Customers!$B$2:$B$101,MATCH($B924,Raw_Customers!$A$2:$A$101,0))</f>
        <v>Hridaan Sood</v>
      </c>
      <c r="D924" s="7" t="str">
        <f>TRIM(INDEX(Raw_Customers!$C$2:$C$101,MATCH($B924,Raw_Customers!$A$2:$A$101,0)))</f>
        <v>Bhatpara</v>
      </c>
      <c r="E924" s="7" t="str">
        <f>"+91-"&amp;RIGHT("0000000000"&amp;INDEX(Raw_Customers!$D$2:$D$101,MATCH($B924,Raw_Customers!$A$2:$A$101,0)),10)</f>
        <v>+91-6652710577</v>
      </c>
      <c r="F924" s="7" t="str">
        <f>Raw_Orders!C924</f>
        <v>7</v>
      </c>
      <c r="G924" s="7" t="str">
        <f>INDEX(Raw_Products!$B$2:$B$71,MATCH($F924,Raw_Products!$A$2:$A$71,0))</f>
        <v>Quos Set</v>
      </c>
      <c r="H924" s="7" t="str">
        <f>INDEX(Raw_Products!$C$2:$C$71,MATCH($F924,Raw_Products!$A$2:$A$71,0))</f>
        <v>Soft Toys</v>
      </c>
      <c r="I924" s="7">
        <f>VALUE(Raw_Orders!D924)</f>
        <v>4</v>
      </c>
      <c r="J924" s="11" t="str">
        <f>INDEX(Raw_Products!$D$2:$D$71,MATCH($F924,Raw_Products!$A$2:$A$71,0))</f>
        <v>409</v>
      </c>
      <c r="K924" s="11">
        <f t="shared" si="28"/>
        <v>1636</v>
      </c>
      <c r="L924" s="12">
        <f>DATE(VALUE(RIGHT(Raw_Orders!E924,4)),VALUE(MID(Raw_Orders!E924,4,2)),VALUE(LEFT(Raw_Orders!E924,2)))</f>
        <v>44984</v>
      </c>
      <c r="M924" s="12">
        <f>DATE(VALUE(RIGHT(Raw_Orders!G924,4)),VALUE(MID(Raw_Orders!G924,4,2)),VALUE(LEFT(Raw_Orders!G924,2)))</f>
        <v>44985</v>
      </c>
      <c r="N924" s="7">
        <f t="shared" si="29"/>
        <v>1</v>
      </c>
      <c r="O924" s="7" t="str">
        <f>Raw_Orders!J924</f>
        <v>Holi</v>
      </c>
      <c r="P924" s="7" t="str">
        <f>Raw_Orders!I924</f>
        <v>Ahmedabad</v>
      </c>
    </row>
    <row r="925" spans="1:16">
      <c r="A925" s="7" t="str">
        <f>Raw_Orders!A925</f>
        <v>924</v>
      </c>
      <c r="B925" s="7" t="str">
        <f>Raw_Orders!B925</f>
        <v>C013</v>
      </c>
      <c r="C925" s="7" t="str">
        <f>INDEX(Raw_Customers!$B$2:$B$101,MATCH($B925,Raw_Customers!$A$2:$A$101,0))</f>
        <v>Manikya Goswami</v>
      </c>
      <c r="D925" s="7" t="str">
        <f>TRIM(INDEX(Raw_Customers!$C$2:$C$101,MATCH($B925,Raw_Customers!$A$2:$A$101,0)))</f>
        <v>Mangalore</v>
      </c>
      <c r="E925" s="7" t="str">
        <f>"+91-"&amp;RIGHT("0000000000"&amp;INDEX(Raw_Customers!$D$2:$D$101,MATCH($B925,Raw_Customers!$A$2:$A$101,0)),10)</f>
        <v>+91-2112817503</v>
      </c>
      <c r="F925" s="7" t="str">
        <f>Raw_Orders!C925</f>
        <v>17</v>
      </c>
      <c r="G925" s="7" t="str">
        <f>INDEX(Raw_Products!$B$2:$B$71,MATCH($F925,Raw_Products!$A$2:$A$71,0))</f>
        <v>Delectus Gift</v>
      </c>
      <c r="H925" s="7" t="str">
        <f>INDEX(Raw_Products!$C$2:$C$71,MATCH($F925,Raw_Products!$A$2:$A$71,0))</f>
        <v>Soft Toys</v>
      </c>
      <c r="I925" s="7">
        <f>VALUE(Raw_Orders!D925)</f>
        <v>1</v>
      </c>
      <c r="J925" s="11" t="str">
        <f>INDEX(Raw_Products!$D$2:$D$71,MATCH($F925,Raw_Products!$A$2:$A$71,0))</f>
        <v>1899</v>
      </c>
      <c r="K925" s="11">
        <f t="shared" si="28"/>
        <v>1899</v>
      </c>
      <c r="L925" s="12">
        <f>DATE(VALUE(RIGHT(Raw_Orders!E925,4)),VALUE(MID(Raw_Orders!E925,4,2)),VALUE(LEFT(Raw_Orders!E925,2)))</f>
        <v>45010</v>
      </c>
      <c r="M925" s="12">
        <f>DATE(VALUE(RIGHT(Raw_Orders!G925,4)),VALUE(MID(Raw_Orders!G925,4,2)),VALUE(LEFT(Raw_Orders!G925,2)))</f>
        <v>45020</v>
      </c>
      <c r="N925" s="7">
        <f t="shared" si="29"/>
        <v>10</v>
      </c>
      <c r="O925" s="7" t="str">
        <f>Raw_Orders!J925</f>
        <v>Anniversary</v>
      </c>
      <c r="P925" s="7" t="str">
        <f>Raw_Orders!I925</f>
        <v>Sagar</v>
      </c>
    </row>
    <row r="926" spans="1:16">
      <c r="A926" s="7" t="str">
        <f>Raw_Orders!A926</f>
        <v>925</v>
      </c>
      <c r="B926" s="7" t="str">
        <f>Raw_Orders!B926</f>
        <v>C012</v>
      </c>
      <c r="C926" s="7" t="str">
        <f>INDEX(Raw_Customers!$B$2:$B$101,MATCH($B926,Raw_Customers!$A$2:$A$101,0))</f>
        <v>Onkar Mangat</v>
      </c>
      <c r="D926" s="7" t="str">
        <f>TRIM(INDEX(Raw_Customers!$C$2:$C$101,MATCH($B926,Raw_Customers!$A$2:$A$101,0)))</f>
        <v>Bilaspur</v>
      </c>
      <c r="E926" s="7" t="str">
        <f>"+91-"&amp;RIGHT("0000000000"&amp;INDEX(Raw_Customers!$D$2:$D$101,MATCH($B926,Raw_Customers!$A$2:$A$101,0)),10)</f>
        <v>+91-9921125624</v>
      </c>
      <c r="F926" s="7" t="str">
        <f>Raw_Orders!C926</f>
        <v>31</v>
      </c>
      <c r="G926" s="7" t="str">
        <f>INDEX(Raw_Products!$B$2:$B$71,MATCH($F926,Raw_Products!$A$2:$A$71,0))</f>
        <v>Nihil Box</v>
      </c>
      <c r="H926" s="7" t="str">
        <f>INDEX(Raw_Products!$C$2:$C$71,MATCH($F926,Raw_Products!$A$2:$A$71,0))</f>
        <v>Colors</v>
      </c>
      <c r="I926" s="7">
        <f>VALUE(Raw_Orders!D926)</f>
        <v>1</v>
      </c>
      <c r="J926" s="11" t="str">
        <f>INDEX(Raw_Products!$D$2:$D$71,MATCH($F926,Raw_Products!$A$2:$A$71,0))</f>
        <v>1804</v>
      </c>
      <c r="K926" s="11">
        <f t="shared" si="28"/>
        <v>1804</v>
      </c>
      <c r="L926" s="12">
        <f>DATE(VALUE(RIGHT(Raw_Orders!E926,4)),VALUE(MID(Raw_Orders!E926,4,2)),VALUE(LEFT(Raw_Orders!E926,2)))</f>
        <v>44934</v>
      </c>
      <c r="M926" s="12">
        <f>DATE(VALUE(RIGHT(Raw_Orders!G926,4)),VALUE(MID(Raw_Orders!G926,4,2)),VALUE(LEFT(Raw_Orders!G926,2)))</f>
        <v>44938</v>
      </c>
      <c r="N926" s="7">
        <f t="shared" si="29"/>
        <v>4</v>
      </c>
      <c r="O926" s="7" t="str">
        <f>Raw_Orders!J926</f>
        <v>All Occasions</v>
      </c>
      <c r="P926" s="7" t="str">
        <f>Raw_Orders!I926</f>
        <v>Pallavaram</v>
      </c>
    </row>
    <row r="927" spans="1:16">
      <c r="A927" s="7" t="str">
        <f>Raw_Orders!A927</f>
        <v>926</v>
      </c>
      <c r="B927" s="7" t="str">
        <f>Raw_Orders!B927</f>
        <v>C049</v>
      </c>
      <c r="C927" s="7" t="str">
        <f>INDEX(Raw_Customers!$B$2:$B$101,MATCH($B927,Raw_Customers!$A$2:$A$101,0))</f>
        <v>Aarush Balasubramanian</v>
      </c>
      <c r="D927" s="7" t="str">
        <f>TRIM(INDEX(Raw_Customers!$C$2:$C$101,MATCH($B927,Raw_Customers!$A$2:$A$101,0)))</f>
        <v>Imphal</v>
      </c>
      <c r="E927" s="7" t="str">
        <f>"+91-"&amp;RIGHT("0000000000"&amp;INDEX(Raw_Customers!$D$2:$D$101,MATCH($B927,Raw_Customers!$A$2:$A$101,0)),10)</f>
        <v>+91-1436426958</v>
      </c>
      <c r="F927" s="7" t="str">
        <f>Raw_Orders!C927</f>
        <v>40</v>
      </c>
      <c r="G927" s="7" t="str">
        <f>INDEX(Raw_Products!$B$2:$B$71,MATCH($F927,Raw_Products!$A$2:$A$71,0))</f>
        <v>Provident Pack</v>
      </c>
      <c r="H927" s="7" t="str">
        <f>INDEX(Raw_Products!$C$2:$C$71,MATCH($F927,Raw_Products!$A$2:$A$71,0))</f>
        <v>Sweets</v>
      </c>
      <c r="I927" s="7">
        <f>VALUE(Raw_Orders!D927)</f>
        <v>4</v>
      </c>
      <c r="J927" s="11" t="str">
        <f>INDEX(Raw_Products!$D$2:$D$71,MATCH($F927,Raw_Products!$A$2:$A$71,0))</f>
        <v>1923</v>
      </c>
      <c r="K927" s="11">
        <f t="shared" si="28"/>
        <v>7692</v>
      </c>
      <c r="L927" s="12">
        <f>DATE(VALUE(RIGHT(Raw_Orders!E927,4)),VALUE(MID(Raw_Orders!E927,4,2)),VALUE(LEFT(Raw_Orders!E927,2)))</f>
        <v>45013</v>
      </c>
      <c r="M927" s="12">
        <f>DATE(VALUE(RIGHT(Raw_Orders!G927,4)),VALUE(MID(Raw_Orders!G927,4,2)),VALUE(LEFT(Raw_Orders!G927,2)))</f>
        <v>45016</v>
      </c>
      <c r="N927" s="7">
        <f t="shared" si="29"/>
        <v>3</v>
      </c>
      <c r="O927" s="7" t="str">
        <f>Raw_Orders!J927</f>
        <v>Anniversary</v>
      </c>
      <c r="P927" s="7" t="str">
        <f>Raw_Orders!I927</f>
        <v>Kulti</v>
      </c>
    </row>
    <row r="928" spans="1:16">
      <c r="A928" s="7" t="str">
        <f>Raw_Orders!A928</f>
        <v>927</v>
      </c>
      <c r="B928" s="7" t="str">
        <f>Raw_Orders!B928</f>
        <v>C100</v>
      </c>
      <c r="C928" s="7" t="str">
        <f>INDEX(Raw_Customers!$B$2:$B$101,MATCH($B928,Raw_Customers!$A$2:$A$101,0))</f>
        <v>Pranay Chaudhary</v>
      </c>
      <c r="D928" s="7" t="str">
        <f>TRIM(INDEX(Raw_Customers!$C$2:$C$101,MATCH($B928,Raw_Customers!$A$2:$A$101,0)))</f>
        <v>Phagwara</v>
      </c>
      <c r="E928" s="7" t="str">
        <f>"+91-"&amp;RIGHT("0000000000"&amp;INDEX(Raw_Customers!$D$2:$D$101,MATCH($B928,Raw_Customers!$A$2:$A$101,0)),10)</f>
        <v>+91-9478540370</v>
      </c>
      <c r="F928" s="7" t="str">
        <f>Raw_Orders!C928</f>
        <v>43</v>
      </c>
      <c r="G928" s="7" t="str">
        <f>INDEX(Raw_Products!$B$2:$B$71,MATCH($F928,Raw_Products!$A$2:$A$71,0))</f>
        <v>Quisquam Pack</v>
      </c>
      <c r="H928" s="7" t="str">
        <f>INDEX(Raw_Products!$C$2:$C$71,MATCH($F928,Raw_Products!$A$2:$A$71,0))</f>
        <v>Raksha Bandhan</v>
      </c>
      <c r="I928" s="7">
        <f>VALUE(Raw_Orders!D928)</f>
        <v>4</v>
      </c>
      <c r="J928" s="11" t="str">
        <f>INDEX(Raw_Products!$D$2:$D$71,MATCH($F928,Raw_Products!$A$2:$A$71,0))</f>
        <v>750</v>
      </c>
      <c r="K928" s="11">
        <f t="shared" si="28"/>
        <v>3000</v>
      </c>
      <c r="L928" s="12">
        <f>DATE(VALUE(RIGHT(Raw_Orders!E928,4)),VALUE(MID(Raw_Orders!E928,4,2)),VALUE(LEFT(Raw_Orders!E928,2)))</f>
        <v>45233</v>
      </c>
      <c r="M928" s="12">
        <f>DATE(VALUE(RIGHT(Raw_Orders!G928,4)),VALUE(MID(Raw_Orders!G928,4,2)),VALUE(LEFT(Raw_Orders!G928,2)))</f>
        <v>45241</v>
      </c>
      <c r="N928" s="7">
        <f t="shared" si="29"/>
        <v>8</v>
      </c>
      <c r="O928" s="7" t="str">
        <f>Raw_Orders!J928</f>
        <v>Diwali</v>
      </c>
      <c r="P928" s="7" t="str">
        <f>Raw_Orders!I928</f>
        <v>Gopalpur</v>
      </c>
    </row>
    <row r="929" spans="1:16">
      <c r="A929" s="7" t="str">
        <f>Raw_Orders!A929</f>
        <v>928</v>
      </c>
      <c r="B929" s="7" t="str">
        <f>Raw_Orders!B929</f>
        <v>C012</v>
      </c>
      <c r="C929" s="7" t="str">
        <f>INDEX(Raw_Customers!$B$2:$B$101,MATCH($B929,Raw_Customers!$A$2:$A$101,0))</f>
        <v>Onkar Mangat</v>
      </c>
      <c r="D929" s="7" t="str">
        <f>TRIM(INDEX(Raw_Customers!$C$2:$C$101,MATCH($B929,Raw_Customers!$A$2:$A$101,0)))</f>
        <v>Bilaspur</v>
      </c>
      <c r="E929" s="7" t="str">
        <f>"+91-"&amp;RIGHT("0000000000"&amp;INDEX(Raw_Customers!$D$2:$D$101,MATCH($B929,Raw_Customers!$A$2:$A$101,0)),10)</f>
        <v>+91-9921125624</v>
      </c>
      <c r="F929" s="7" t="str">
        <f>Raw_Orders!C929</f>
        <v>23</v>
      </c>
      <c r="G929" s="7" t="str">
        <f>INDEX(Raw_Products!$B$2:$B$71,MATCH($F929,Raw_Products!$A$2:$A$71,0))</f>
        <v>Dignissimos Pack</v>
      </c>
      <c r="H929" s="7" t="str">
        <f>INDEX(Raw_Products!$C$2:$C$71,MATCH($F929,Raw_Products!$A$2:$A$71,0))</f>
        <v>Sweets</v>
      </c>
      <c r="I929" s="7">
        <f>VALUE(Raw_Orders!D929)</f>
        <v>3</v>
      </c>
      <c r="J929" s="11" t="str">
        <f>INDEX(Raw_Products!$D$2:$D$71,MATCH($F929,Raw_Products!$A$2:$A$71,0))</f>
        <v>1098</v>
      </c>
      <c r="K929" s="11">
        <f t="shared" si="28"/>
        <v>3294</v>
      </c>
      <c r="L929" s="12">
        <f>DATE(VALUE(RIGHT(Raw_Orders!E929,4)),VALUE(MID(Raw_Orders!E929,4,2)),VALUE(LEFT(Raw_Orders!E929,2)))</f>
        <v>45249</v>
      </c>
      <c r="M929" s="12">
        <f>DATE(VALUE(RIGHT(Raw_Orders!G929,4)),VALUE(MID(Raw_Orders!G929,4,2)),VALUE(LEFT(Raw_Orders!G929,2)))</f>
        <v>45257</v>
      </c>
      <c r="N929" s="7">
        <f t="shared" si="29"/>
        <v>8</v>
      </c>
      <c r="O929" s="7" t="str">
        <f>Raw_Orders!J929</f>
        <v>Anniversary</v>
      </c>
      <c r="P929" s="7" t="str">
        <f>Raw_Orders!I929</f>
        <v>Bihar Sharif</v>
      </c>
    </row>
    <row r="930" spans="1:16">
      <c r="A930" s="7" t="str">
        <f>Raw_Orders!A930</f>
        <v>929</v>
      </c>
      <c r="B930" s="7" t="str">
        <f>Raw_Orders!B930</f>
        <v>C085</v>
      </c>
      <c r="C930" s="7" t="str">
        <f>INDEX(Raw_Customers!$B$2:$B$101,MATCH($B930,Raw_Customers!$A$2:$A$101,0))</f>
        <v>Bhamini Johal</v>
      </c>
      <c r="D930" s="7" t="str">
        <f>TRIM(INDEX(Raw_Customers!$C$2:$C$101,MATCH($B930,Raw_Customers!$A$2:$A$101,0)))</f>
        <v>Raipur</v>
      </c>
      <c r="E930" s="7" t="str">
        <f>"+91-"&amp;RIGHT("0000000000"&amp;INDEX(Raw_Customers!$D$2:$D$101,MATCH($B930,Raw_Customers!$A$2:$A$101,0)),10)</f>
        <v>+91-3129106402</v>
      </c>
      <c r="F930" s="7" t="str">
        <f>Raw_Orders!C930</f>
        <v>23</v>
      </c>
      <c r="G930" s="7" t="str">
        <f>INDEX(Raw_Products!$B$2:$B$71,MATCH($F930,Raw_Products!$A$2:$A$71,0))</f>
        <v>Dignissimos Pack</v>
      </c>
      <c r="H930" s="7" t="str">
        <f>INDEX(Raw_Products!$C$2:$C$71,MATCH($F930,Raw_Products!$A$2:$A$71,0))</f>
        <v>Sweets</v>
      </c>
      <c r="I930" s="7">
        <f>VALUE(Raw_Orders!D930)</f>
        <v>1</v>
      </c>
      <c r="J930" s="11" t="str">
        <f>INDEX(Raw_Products!$D$2:$D$71,MATCH($F930,Raw_Products!$A$2:$A$71,0))</f>
        <v>1098</v>
      </c>
      <c r="K930" s="11">
        <f t="shared" si="28"/>
        <v>1098</v>
      </c>
      <c r="L930" s="12">
        <f>DATE(VALUE(RIGHT(Raw_Orders!E930,4)),VALUE(MID(Raw_Orders!E930,4,2)),VALUE(LEFT(Raw_Orders!E930,2)))</f>
        <v>45004</v>
      </c>
      <c r="M930" s="12">
        <f>DATE(VALUE(RIGHT(Raw_Orders!G930,4)),VALUE(MID(Raw_Orders!G930,4,2)),VALUE(LEFT(Raw_Orders!G930,2)))</f>
        <v>45011</v>
      </c>
      <c r="N930" s="7">
        <f t="shared" si="29"/>
        <v>7</v>
      </c>
      <c r="O930" s="7" t="str">
        <f>Raw_Orders!J930</f>
        <v>Anniversary</v>
      </c>
      <c r="P930" s="7" t="str">
        <f>Raw_Orders!I930</f>
        <v>Kavali</v>
      </c>
    </row>
    <row r="931" spans="1:16">
      <c r="A931" s="7" t="str">
        <f>Raw_Orders!A931</f>
        <v>930</v>
      </c>
      <c r="B931" s="7" t="str">
        <f>Raw_Orders!B931</f>
        <v>C083</v>
      </c>
      <c r="C931" s="7" t="str">
        <f>INDEX(Raw_Customers!$B$2:$B$101,MATCH($B931,Raw_Customers!$A$2:$A$101,0))</f>
        <v>Aaryahi Sodhi</v>
      </c>
      <c r="D931" s="7" t="str">
        <f>TRIM(INDEX(Raw_Customers!$C$2:$C$101,MATCH($B931,Raw_Customers!$A$2:$A$101,0)))</f>
        <v>Raurkela Industrial Township</v>
      </c>
      <c r="E931" s="7" t="str">
        <f>"+91-"&amp;RIGHT("0000000000"&amp;INDEX(Raw_Customers!$D$2:$D$101,MATCH($B931,Raw_Customers!$A$2:$A$101,0)),10)</f>
        <v>+91-2690208110</v>
      </c>
      <c r="F931" s="7" t="str">
        <f>Raw_Orders!C931</f>
        <v>61</v>
      </c>
      <c r="G931" s="7" t="str">
        <f>INDEX(Raw_Products!$B$2:$B$71,MATCH($F931,Raw_Products!$A$2:$A$71,0))</f>
        <v>Iusto Box</v>
      </c>
      <c r="H931" s="7" t="str">
        <f>INDEX(Raw_Products!$C$2:$C$71,MATCH($F931,Raw_Products!$A$2:$A$71,0))</f>
        <v>Plants</v>
      </c>
      <c r="I931" s="7">
        <f>VALUE(Raw_Orders!D931)</f>
        <v>3</v>
      </c>
      <c r="J931" s="11" t="str">
        <f>INDEX(Raw_Products!$D$2:$D$71,MATCH($F931,Raw_Products!$A$2:$A$71,0))</f>
        <v>810</v>
      </c>
      <c r="K931" s="11">
        <f t="shared" si="28"/>
        <v>2430</v>
      </c>
      <c r="L931" s="12">
        <f>DATE(VALUE(RIGHT(Raw_Orders!E931,4)),VALUE(MID(Raw_Orders!E931,4,2)),VALUE(LEFT(Raw_Orders!E931,2)))</f>
        <v>45080</v>
      </c>
      <c r="M931" s="12">
        <f>DATE(VALUE(RIGHT(Raw_Orders!G931,4)),VALUE(MID(Raw_Orders!G931,4,2)),VALUE(LEFT(Raw_Orders!G931,2)))</f>
        <v>45084</v>
      </c>
      <c r="N931" s="7">
        <f t="shared" si="29"/>
        <v>4</v>
      </c>
      <c r="O931" s="7" t="str">
        <f>Raw_Orders!J931</f>
        <v>Anniversary</v>
      </c>
      <c r="P931" s="7" t="str">
        <f>Raw_Orders!I931</f>
        <v>Gangtok</v>
      </c>
    </row>
    <row r="932" spans="1:16">
      <c r="A932" s="7" t="str">
        <f>Raw_Orders!A932</f>
        <v>931</v>
      </c>
      <c r="B932" s="7" t="str">
        <f>Raw_Orders!B932</f>
        <v>C053</v>
      </c>
      <c r="C932" s="7" t="str">
        <f>INDEX(Raw_Customers!$B$2:$B$101,MATCH($B932,Raw_Customers!$A$2:$A$101,0))</f>
        <v>Kismat Kapadia</v>
      </c>
      <c r="D932" s="7" t="str">
        <f>TRIM(INDEX(Raw_Customers!$C$2:$C$101,MATCH($B932,Raw_Customers!$A$2:$A$101,0)))</f>
        <v>Bharatpur</v>
      </c>
      <c r="E932" s="7" t="str">
        <f>"+91-"&amp;RIGHT("0000000000"&amp;INDEX(Raw_Customers!$D$2:$D$101,MATCH($B932,Raw_Customers!$A$2:$A$101,0)),10)</f>
        <v>+91-8068004996</v>
      </c>
      <c r="F932" s="7" t="str">
        <f>Raw_Orders!C932</f>
        <v>14</v>
      </c>
      <c r="G932" s="7" t="str">
        <f>INDEX(Raw_Products!$B$2:$B$71,MATCH($F932,Raw_Products!$A$2:$A$71,0))</f>
        <v>Deserunt Box</v>
      </c>
      <c r="H932" s="7" t="str">
        <f>INDEX(Raw_Products!$C$2:$C$71,MATCH($F932,Raw_Products!$A$2:$A$71,0))</f>
        <v>Colors</v>
      </c>
      <c r="I932" s="7">
        <f>VALUE(Raw_Orders!D932)</f>
        <v>1</v>
      </c>
      <c r="J932" s="11" t="str">
        <f>INDEX(Raw_Products!$D$2:$D$71,MATCH($F932,Raw_Products!$A$2:$A$71,0))</f>
        <v>1915</v>
      </c>
      <c r="K932" s="11">
        <f t="shared" si="28"/>
        <v>1915</v>
      </c>
      <c r="L932" s="12">
        <f>DATE(VALUE(RIGHT(Raw_Orders!E932,4)),VALUE(MID(Raw_Orders!E932,4,2)),VALUE(LEFT(Raw_Orders!E932,2)))</f>
        <v>45033</v>
      </c>
      <c r="M932" s="12">
        <f>DATE(VALUE(RIGHT(Raw_Orders!G932,4)),VALUE(MID(Raw_Orders!G932,4,2)),VALUE(LEFT(Raw_Orders!G932,2)))</f>
        <v>45035</v>
      </c>
      <c r="N932" s="7">
        <f t="shared" si="29"/>
        <v>2</v>
      </c>
      <c r="O932" s="7" t="str">
        <f>Raw_Orders!J932</f>
        <v>Birthday</v>
      </c>
      <c r="P932" s="7" t="str">
        <f>Raw_Orders!I932</f>
        <v>Mahbubnagar</v>
      </c>
    </row>
    <row r="933" spans="1:16">
      <c r="A933" s="7" t="str">
        <f>Raw_Orders!A933</f>
        <v>932</v>
      </c>
      <c r="B933" s="7" t="str">
        <f>Raw_Orders!B933</f>
        <v>C038</v>
      </c>
      <c r="C933" s="7" t="str">
        <f>INDEX(Raw_Customers!$B$2:$B$101,MATCH($B933,Raw_Customers!$A$2:$A$101,0))</f>
        <v>Yakshit Shah</v>
      </c>
      <c r="D933" s="7" t="str">
        <f>TRIM(INDEX(Raw_Customers!$C$2:$C$101,MATCH($B933,Raw_Customers!$A$2:$A$101,0)))</f>
        <v>Aizawl</v>
      </c>
      <c r="E933" s="7" t="str">
        <f>"+91-"&amp;RIGHT("0000000000"&amp;INDEX(Raw_Customers!$D$2:$D$101,MATCH($B933,Raw_Customers!$A$2:$A$101,0)),10)</f>
        <v>+91-2847411902</v>
      </c>
      <c r="F933" s="7" t="str">
        <f>Raw_Orders!C933</f>
        <v>63</v>
      </c>
      <c r="G933" s="7" t="str">
        <f>INDEX(Raw_Products!$B$2:$B$71,MATCH($F933,Raw_Products!$A$2:$A$71,0))</f>
        <v>Adipisci Set</v>
      </c>
      <c r="H933" s="7" t="str">
        <f>INDEX(Raw_Products!$C$2:$C$71,MATCH($F933,Raw_Products!$A$2:$A$71,0))</f>
        <v>Sweets</v>
      </c>
      <c r="I933" s="7">
        <f>VALUE(Raw_Orders!D933)</f>
        <v>2</v>
      </c>
      <c r="J933" s="11" t="str">
        <f>INDEX(Raw_Products!$D$2:$D$71,MATCH($F933,Raw_Products!$A$2:$A$71,0))</f>
        <v>1348</v>
      </c>
      <c r="K933" s="11">
        <f t="shared" si="28"/>
        <v>2696</v>
      </c>
      <c r="L933" s="12">
        <f>DATE(VALUE(RIGHT(Raw_Orders!E933,4)),VALUE(MID(Raw_Orders!E933,4,2)),VALUE(LEFT(Raw_Orders!E933,2)))</f>
        <v>45228</v>
      </c>
      <c r="M933" s="12">
        <f>DATE(VALUE(RIGHT(Raw_Orders!G933,4)),VALUE(MID(Raw_Orders!G933,4,2)),VALUE(LEFT(Raw_Orders!G933,2)))</f>
        <v>45232</v>
      </c>
      <c r="N933" s="7">
        <f t="shared" si="29"/>
        <v>4</v>
      </c>
      <c r="O933" s="7" t="str">
        <f>Raw_Orders!J933</f>
        <v>All Occasions</v>
      </c>
      <c r="P933" s="7" t="str">
        <f>Raw_Orders!I933</f>
        <v>Durgapur</v>
      </c>
    </row>
    <row r="934" spans="1:16">
      <c r="A934" s="7" t="str">
        <f>Raw_Orders!A934</f>
        <v>933</v>
      </c>
      <c r="B934" s="7" t="str">
        <f>Raw_Orders!B934</f>
        <v>C038</v>
      </c>
      <c r="C934" s="7" t="str">
        <f>INDEX(Raw_Customers!$B$2:$B$101,MATCH($B934,Raw_Customers!$A$2:$A$101,0))</f>
        <v>Yakshit Shah</v>
      </c>
      <c r="D934" s="7" t="str">
        <f>TRIM(INDEX(Raw_Customers!$C$2:$C$101,MATCH($B934,Raw_Customers!$A$2:$A$101,0)))</f>
        <v>Aizawl</v>
      </c>
      <c r="E934" s="7" t="str">
        <f>"+91-"&amp;RIGHT("0000000000"&amp;INDEX(Raw_Customers!$D$2:$D$101,MATCH($B934,Raw_Customers!$A$2:$A$101,0)),10)</f>
        <v>+91-2847411902</v>
      </c>
      <c r="F934" s="7" t="str">
        <f>Raw_Orders!C934</f>
        <v>51</v>
      </c>
      <c r="G934" s="7" t="str">
        <f>INDEX(Raw_Products!$B$2:$B$71,MATCH($F934,Raw_Products!$A$2:$A$71,0))</f>
        <v>Fugit Set</v>
      </c>
      <c r="H934" s="7" t="str">
        <f>INDEX(Raw_Products!$C$2:$C$71,MATCH($F934,Raw_Products!$A$2:$A$71,0))</f>
        <v>Soft Toys</v>
      </c>
      <c r="I934" s="7">
        <f>VALUE(Raw_Orders!D934)</f>
        <v>3</v>
      </c>
      <c r="J934" s="11" t="str">
        <f>INDEX(Raw_Products!$D$2:$D$71,MATCH($F934,Raw_Products!$A$2:$A$71,0))</f>
        <v>1084</v>
      </c>
      <c r="K934" s="11">
        <f t="shared" si="28"/>
        <v>3252</v>
      </c>
      <c r="L934" s="12">
        <f>DATE(VALUE(RIGHT(Raw_Orders!E934,4)),VALUE(MID(Raw_Orders!E934,4,2)),VALUE(LEFT(Raw_Orders!E934,2)))</f>
        <v>45244</v>
      </c>
      <c r="M934" s="12">
        <f>DATE(VALUE(RIGHT(Raw_Orders!G934,4)),VALUE(MID(Raw_Orders!G934,4,2)),VALUE(LEFT(Raw_Orders!G934,2)))</f>
        <v>45253</v>
      </c>
      <c r="N934" s="7">
        <f t="shared" si="29"/>
        <v>9</v>
      </c>
      <c r="O934" s="7" t="str">
        <f>Raw_Orders!J934</f>
        <v>All Occasions</v>
      </c>
      <c r="P934" s="7" t="str">
        <f>Raw_Orders!I934</f>
        <v>Muzaffarnagar</v>
      </c>
    </row>
    <row r="935" spans="1:16">
      <c r="A935" s="7" t="str">
        <f>Raw_Orders!A935</f>
        <v>934</v>
      </c>
      <c r="B935" s="7" t="str">
        <f>Raw_Orders!B935</f>
        <v>C022</v>
      </c>
      <c r="C935" s="7" t="str">
        <f>INDEX(Raw_Customers!$B$2:$B$101,MATCH($B935,Raw_Customers!$A$2:$A$101,0))</f>
        <v>Ivana Rout</v>
      </c>
      <c r="D935" s="7" t="str">
        <f>TRIM(INDEX(Raw_Customers!$C$2:$C$101,MATCH($B935,Raw_Customers!$A$2:$A$101,0)))</f>
        <v>Khandwa</v>
      </c>
      <c r="E935" s="7" t="str">
        <f>"+91-"&amp;RIGHT("0000000000"&amp;INDEX(Raw_Customers!$D$2:$D$101,MATCH($B935,Raw_Customers!$A$2:$A$101,0)),10)</f>
        <v>+91-3111711777</v>
      </c>
      <c r="F935" s="7" t="str">
        <f>Raw_Orders!C935</f>
        <v>27</v>
      </c>
      <c r="G935" s="7" t="str">
        <f>INDEX(Raw_Products!$B$2:$B$71,MATCH($F935,Raw_Products!$A$2:$A$71,0))</f>
        <v>Architecto Gift</v>
      </c>
      <c r="H935" s="7" t="str">
        <f>INDEX(Raw_Products!$C$2:$C$71,MATCH($F935,Raw_Products!$A$2:$A$71,0))</f>
        <v>Cake</v>
      </c>
      <c r="I935" s="7">
        <f>VALUE(Raw_Orders!D935)</f>
        <v>5</v>
      </c>
      <c r="J935" s="11" t="str">
        <f>INDEX(Raw_Products!$D$2:$D$71,MATCH($F935,Raw_Products!$A$2:$A$71,0))</f>
        <v>548</v>
      </c>
      <c r="K935" s="11">
        <f t="shared" si="28"/>
        <v>2740</v>
      </c>
      <c r="L935" s="12">
        <f>DATE(VALUE(RIGHT(Raw_Orders!E935,4)),VALUE(MID(Raw_Orders!E935,4,2)),VALUE(LEFT(Raw_Orders!E935,2)))</f>
        <v>45160</v>
      </c>
      <c r="M935" s="12">
        <f>DATE(VALUE(RIGHT(Raw_Orders!G935,4)),VALUE(MID(Raw_Orders!G935,4,2)),VALUE(LEFT(Raw_Orders!G935,2)))</f>
        <v>45161</v>
      </c>
      <c r="N935" s="7">
        <f t="shared" si="29"/>
        <v>1</v>
      </c>
      <c r="O935" s="7" t="str">
        <f>Raw_Orders!J935</f>
        <v>Raksha Bandhan</v>
      </c>
      <c r="P935" s="7" t="str">
        <f>Raw_Orders!I935</f>
        <v>Agartala</v>
      </c>
    </row>
    <row r="936" spans="1:16">
      <c r="A936" s="7" t="str">
        <f>Raw_Orders!A936</f>
        <v>935</v>
      </c>
      <c r="B936" s="7" t="str">
        <f>Raw_Orders!B936</f>
        <v>C046</v>
      </c>
      <c r="C936" s="7" t="str">
        <f>INDEX(Raw_Customers!$B$2:$B$101,MATCH($B936,Raw_Customers!$A$2:$A$101,0))</f>
        <v>Tara Kannan</v>
      </c>
      <c r="D936" s="7" t="str">
        <f>TRIM(INDEX(Raw_Customers!$C$2:$C$101,MATCH($B936,Raw_Customers!$A$2:$A$101,0)))</f>
        <v>Guna</v>
      </c>
      <c r="E936" s="7" t="str">
        <f>"+91-"&amp;RIGHT("0000000000"&amp;INDEX(Raw_Customers!$D$2:$D$101,MATCH($B936,Raw_Customers!$A$2:$A$101,0)),10)</f>
        <v>+91-7543187237</v>
      </c>
      <c r="F936" s="7" t="str">
        <f>Raw_Orders!C936</f>
        <v>27</v>
      </c>
      <c r="G936" s="7" t="str">
        <f>INDEX(Raw_Products!$B$2:$B$71,MATCH($F936,Raw_Products!$A$2:$A$71,0))</f>
        <v>Architecto Gift</v>
      </c>
      <c r="H936" s="7" t="str">
        <f>INDEX(Raw_Products!$C$2:$C$71,MATCH($F936,Raw_Products!$A$2:$A$71,0))</f>
        <v>Cake</v>
      </c>
      <c r="I936" s="7">
        <f>VALUE(Raw_Orders!D936)</f>
        <v>5</v>
      </c>
      <c r="J936" s="11" t="str">
        <f>INDEX(Raw_Products!$D$2:$D$71,MATCH($F936,Raw_Products!$A$2:$A$71,0))</f>
        <v>548</v>
      </c>
      <c r="K936" s="11">
        <f t="shared" si="28"/>
        <v>2740</v>
      </c>
      <c r="L936" s="12">
        <f>DATE(VALUE(RIGHT(Raw_Orders!E936,4)),VALUE(MID(Raw_Orders!E936,4,2)),VALUE(LEFT(Raw_Orders!E936,2)))</f>
        <v>45158</v>
      </c>
      <c r="M936" s="12">
        <f>DATE(VALUE(RIGHT(Raw_Orders!G936,4)),VALUE(MID(Raw_Orders!G936,4,2)),VALUE(LEFT(Raw_Orders!G936,2)))</f>
        <v>45167</v>
      </c>
      <c r="N936" s="7">
        <f t="shared" si="29"/>
        <v>9</v>
      </c>
      <c r="O936" s="7" t="str">
        <f>Raw_Orders!J936</f>
        <v>Raksha Bandhan</v>
      </c>
      <c r="P936" s="7" t="str">
        <f>Raw_Orders!I936</f>
        <v>Kurnool</v>
      </c>
    </row>
    <row r="937" spans="1:16">
      <c r="A937" s="7" t="str">
        <f>Raw_Orders!A937</f>
        <v>936</v>
      </c>
      <c r="B937" s="7" t="str">
        <f>Raw_Orders!B937</f>
        <v>C045</v>
      </c>
      <c r="C937" s="7" t="str">
        <f>INDEX(Raw_Customers!$B$2:$B$101,MATCH($B937,Raw_Customers!$A$2:$A$101,0))</f>
        <v>Divit Mahajan</v>
      </c>
      <c r="D937" s="7" t="str">
        <f>TRIM(INDEX(Raw_Customers!$C$2:$C$101,MATCH($B937,Raw_Customers!$A$2:$A$101,0)))</f>
        <v>Maheshtala</v>
      </c>
      <c r="E937" s="7" t="str">
        <f>"+91-"&amp;RIGHT("0000000000"&amp;INDEX(Raw_Customers!$D$2:$D$101,MATCH($B937,Raw_Customers!$A$2:$A$101,0)),10)</f>
        <v>+91-6789522856</v>
      </c>
      <c r="F937" s="7" t="str">
        <f>Raw_Orders!C937</f>
        <v>43</v>
      </c>
      <c r="G937" s="7" t="str">
        <f>INDEX(Raw_Products!$B$2:$B$71,MATCH($F937,Raw_Products!$A$2:$A$71,0))</f>
        <v>Quisquam Pack</v>
      </c>
      <c r="H937" s="7" t="str">
        <f>INDEX(Raw_Products!$C$2:$C$71,MATCH($F937,Raw_Products!$A$2:$A$71,0))</f>
        <v>Raksha Bandhan</v>
      </c>
      <c r="I937" s="7">
        <f>VALUE(Raw_Orders!D937)</f>
        <v>4</v>
      </c>
      <c r="J937" s="11" t="str">
        <f>INDEX(Raw_Products!$D$2:$D$71,MATCH($F937,Raw_Products!$A$2:$A$71,0))</f>
        <v>750</v>
      </c>
      <c r="K937" s="11">
        <f t="shared" si="28"/>
        <v>3000</v>
      </c>
      <c r="L937" s="12">
        <f>DATE(VALUE(RIGHT(Raw_Orders!E937,4)),VALUE(MID(Raw_Orders!E937,4,2)),VALUE(LEFT(Raw_Orders!E937,2)))</f>
        <v>45232</v>
      </c>
      <c r="M937" s="12">
        <f>DATE(VALUE(RIGHT(Raw_Orders!G937,4)),VALUE(MID(Raw_Orders!G937,4,2)),VALUE(LEFT(Raw_Orders!G937,2)))</f>
        <v>45238</v>
      </c>
      <c r="N937" s="7">
        <f t="shared" si="29"/>
        <v>6</v>
      </c>
      <c r="O937" s="7" t="str">
        <f>Raw_Orders!J937</f>
        <v>Diwali</v>
      </c>
      <c r="P937" s="7" t="str">
        <f>Raw_Orders!I937</f>
        <v>Bardhaman</v>
      </c>
    </row>
    <row r="938" spans="1:16">
      <c r="A938" s="7" t="str">
        <f>Raw_Orders!A938</f>
        <v>937</v>
      </c>
      <c r="B938" s="7" t="str">
        <f>Raw_Orders!B938</f>
        <v>C097</v>
      </c>
      <c r="C938" s="7" t="str">
        <f>INDEX(Raw_Customers!$B$2:$B$101,MATCH($B938,Raw_Customers!$A$2:$A$101,0))</f>
        <v>Nakul Randhawa</v>
      </c>
      <c r="D938" s="7" t="str">
        <f>TRIM(INDEX(Raw_Customers!$C$2:$C$101,MATCH($B938,Raw_Customers!$A$2:$A$101,0)))</f>
        <v>Sri Ganganagar</v>
      </c>
      <c r="E938" s="7" t="str">
        <f>"+91-"&amp;RIGHT("0000000000"&amp;INDEX(Raw_Customers!$D$2:$D$101,MATCH($B938,Raw_Customers!$A$2:$A$101,0)),10)</f>
        <v>+91-0456900126</v>
      </c>
      <c r="F938" s="7" t="str">
        <f>Raw_Orders!C938</f>
        <v>51</v>
      </c>
      <c r="G938" s="7" t="str">
        <f>INDEX(Raw_Products!$B$2:$B$71,MATCH($F938,Raw_Products!$A$2:$A$71,0))</f>
        <v>Fugit Set</v>
      </c>
      <c r="H938" s="7" t="str">
        <f>INDEX(Raw_Products!$C$2:$C$71,MATCH($F938,Raw_Products!$A$2:$A$71,0))</f>
        <v>Soft Toys</v>
      </c>
      <c r="I938" s="7">
        <f>VALUE(Raw_Orders!D938)</f>
        <v>2</v>
      </c>
      <c r="J938" s="11" t="str">
        <f>INDEX(Raw_Products!$D$2:$D$71,MATCH($F938,Raw_Products!$A$2:$A$71,0))</f>
        <v>1084</v>
      </c>
      <c r="K938" s="11">
        <f t="shared" si="28"/>
        <v>2168</v>
      </c>
      <c r="L938" s="12">
        <f>DATE(VALUE(RIGHT(Raw_Orders!E938,4)),VALUE(MID(Raw_Orders!E938,4,2)),VALUE(LEFT(Raw_Orders!E938,2)))</f>
        <v>44996</v>
      </c>
      <c r="M938" s="12">
        <f>DATE(VALUE(RIGHT(Raw_Orders!G938,4)),VALUE(MID(Raw_Orders!G938,4,2)),VALUE(LEFT(Raw_Orders!G938,2)))</f>
        <v>45000</v>
      </c>
      <c r="N938" s="7">
        <f t="shared" si="29"/>
        <v>4</v>
      </c>
      <c r="O938" s="7" t="str">
        <f>Raw_Orders!J938</f>
        <v>All Occasions</v>
      </c>
      <c r="P938" s="7" t="str">
        <f>Raw_Orders!I938</f>
        <v>Rohtak</v>
      </c>
    </row>
    <row r="939" spans="1:16">
      <c r="A939" s="7" t="str">
        <f>Raw_Orders!A939</f>
        <v>938</v>
      </c>
      <c r="B939" s="7" t="str">
        <f>Raw_Orders!B939</f>
        <v>C005</v>
      </c>
      <c r="C939" s="7" t="str">
        <f>INDEX(Raw_Customers!$B$2:$B$101,MATCH($B939,Raw_Customers!$A$2:$A$101,0))</f>
        <v>Hiran Kaul</v>
      </c>
      <c r="D939" s="7" t="str">
        <f>TRIM(INDEX(Raw_Customers!$C$2:$C$101,MATCH($B939,Raw_Customers!$A$2:$A$101,0)))</f>
        <v>Kottayam</v>
      </c>
      <c r="E939" s="7" t="str">
        <f>"+91-"&amp;RIGHT("0000000000"&amp;INDEX(Raw_Customers!$D$2:$D$101,MATCH($B939,Raw_Customers!$A$2:$A$101,0)),10)</f>
        <v>+91-2207644242</v>
      </c>
      <c r="F939" s="7" t="str">
        <f>Raw_Orders!C939</f>
        <v>59</v>
      </c>
      <c r="G939" s="7" t="str">
        <f>INDEX(Raw_Products!$B$2:$B$71,MATCH($F939,Raw_Products!$A$2:$A$71,0))</f>
        <v>Pariatur Box</v>
      </c>
      <c r="H939" s="7" t="str">
        <f>INDEX(Raw_Products!$C$2:$C$71,MATCH($F939,Raw_Products!$A$2:$A$71,0))</f>
        <v>Cake</v>
      </c>
      <c r="I939" s="7">
        <f>VALUE(Raw_Orders!D939)</f>
        <v>3</v>
      </c>
      <c r="J939" s="11" t="str">
        <f>INDEX(Raw_Products!$D$2:$D$71,MATCH($F939,Raw_Products!$A$2:$A$71,0))</f>
        <v>811</v>
      </c>
      <c r="K939" s="11">
        <f t="shared" si="28"/>
        <v>2433</v>
      </c>
      <c r="L939" s="12">
        <f>DATE(VALUE(RIGHT(Raw_Orders!E939,4)),VALUE(MID(Raw_Orders!E939,4,2)),VALUE(LEFT(Raw_Orders!E939,2)))</f>
        <v>45167</v>
      </c>
      <c r="M939" s="12">
        <f>DATE(VALUE(RIGHT(Raw_Orders!G939,4)),VALUE(MID(Raw_Orders!G939,4,2)),VALUE(LEFT(Raw_Orders!G939,2)))</f>
        <v>45177</v>
      </c>
      <c r="N939" s="7">
        <f t="shared" si="29"/>
        <v>10</v>
      </c>
      <c r="O939" s="7" t="str">
        <f>Raw_Orders!J939</f>
        <v>Raksha Bandhan</v>
      </c>
      <c r="P939" s="7" t="str">
        <f>Raw_Orders!I939</f>
        <v>Ratlam</v>
      </c>
    </row>
    <row r="940" spans="1:16">
      <c r="A940" s="7" t="str">
        <f>Raw_Orders!A940</f>
        <v>939</v>
      </c>
      <c r="B940" s="7" t="str">
        <f>Raw_Orders!B940</f>
        <v>C084</v>
      </c>
      <c r="C940" s="7" t="str">
        <f>INDEX(Raw_Customers!$B$2:$B$101,MATCH($B940,Raw_Customers!$A$2:$A$101,0))</f>
        <v>Anahita Shankar</v>
      </c>
      <c r="D940" s="7" t="str">
        <f>TRIM(INDEX(Raw_Customers!$C$2:$C$101,MATCH($B940,Raw_Customers!$A$2:$A$101,0)))</f>
        <v>Tiruchirappalli</v>
      </c>
      <c r="E940" s="7" t="str">
        <f>"+91-"&amp;RIGHT("0000000000"&amp;INDEX(Raw_Customers!$D$2:$D$101,MATCH($B940,Raw_Customers!$A$2:$A$101,0)),10)</f>
        <v>+91-2205603376</v>
      </c>
      <c r="F940" s="7" t="str">
        <f>Raw_Orders!C940</f>
        <v>9</v>
      </c>
      <c r="G940" s="7" t="str">
        <f>INDEX(Raw_Products!$B$2:$B$71,MATCH($F940,Raw_Products!$A$2:$A$71,0))</f>
        <v>Aperiam Box</v>
      </c>
      <c r="H940" s="7" t="str">
        <f>INDEX(Raw_Products!$C$2:$C$71,MATCH($F940,Raw_Products!$A$2:$A$71,0))</f>
        <v>Colors</v>
      </c>
      <c r="I940" s="7">
        <f>VALUE(Raw_Orders!D940)</f>
        <v>4</v>
      </c>
      <c r="J940" s="11" t="str">
        <f>INDEX(Raw_Products!$D$2:$D$71,MATCH($F940,Raw_Products!$A$2:$A$71,0))</f>
        <v>1605</v>
      </c>
      <c r="K940" s="11">
        <f t="shared" si="28"/>
        <v>6420</v>
      </c>
      <c r="L940" s="12">
        <f>DATE(VALUE(RIGHT(Raw_Orders!E940,4)),VALUE(MID(Raw_Orders!E940,4,2)),VALUE(LEFT(Raw_Orders!E940,2)))</f>
        <v>45158</v>
      </c>
      <c r="M940" s="12">
        <f>DATE(VALUE(RIGHT(Raw_Orders!G940,4)),VALUE(MID(Raw_Orders!G940,4,2)),VALUE(LEFT(Raw_Orders!G940,2)))</f>
        <v>45159</v>
      </c>
      <c r="N940" s="7">
        <f t="shared" si="29"/>
        <v>1</v>
      </c>
      <c r="O940" s="7" t="str">
        <f>Raw_Orders!J940</f>
        <v>Raksha Bandhan</v>
      </c>
      <c r="P940" s="7" t="str">
        <f>Raw_Orders!I940</f>
        <v>Bhilai</v>
      </c>
    </row>
    <row r="941" spans="1:16">
      <c r="A941" s="7" t="str">
        <f>Raw_Orders!A941</f>
        <v>940</v>
      </c>
      <c r="B941" s="7" t="str">
        <f>Raw_Orders!B941</f>
        <v>C082</v>
      </c>
      <c r="C941" s="7" t="str">
        <f>INDEX(Raw_Customers!$B$2:$B$101,MATCH($B941,Raw_Customers!$A$2:$A$101,0))</f>
        <v>Anya Chaudhari</v>
      </c>
      <c r="D941" s="7" t="str">
        <f>TRIM(INDEX(Raw_Customers!$C$2:$C$101,MATCH($B941,Raw_Customers!$A$2:$A$101,0)))</f>
        <v>Ahmednagar</v>
      </c>
      <c r="E941" s="7" t="str">
        <f>"+91-"&amp;RIGHT("0000000000"&amp;INDEX(Raw_Customers!$D$2:$D$101,MATCH($B941,Raw_Customers!$A$2:$A$101,0)),10)</f>
        <v>+91-0813770782</v>
      </c>
      <c r="F941" s="7" t="str">
        <f>Raw_Orders!C941</f>
        <v>57</v>
      </c>
      <c r="G941" s="7" t="str">
        <f>INDEX(Raw_Products!$B$2:$B$71,MATCH($F941,Raw_Products!$A$2:$A$71,0))</f>
        <v>Voluptatem Box</v>
      </c>
      <c r="H941" s="7" t="str">
        <f>INDEX(Raw_Products!$C$2:$C$71,MATCH($F941,Raw_Products!$A$2:$A$71,0))</f>
        <v>Colors</v>
      </c>
      <c r="I941" s="7">
        <f>VALUE(Raw_Orders!D941)</f>
        <v>4</v>
      </c>
      <c r="J941" s="11" t="str">
        <f>INDEX(Raw_Products!$D$2:$D$71,MATCH($F941,Raw_Products!$A$2:$A$71,0))</f>
        <v>1582</v>
      </c>
      <c r="K941" s="11">
        <f t="shared" si="28"/>
        <v>6328</v>
      </c>
      <c r="L941" s="12">
        <f>DATE(VALUE(RIGHT(Raw_Orders!E941,4)),VALUE(MID(Raw_Orders!E941,4,2)),VALUE(LEFT(Raw_Orders!E941,2)))</f>
        <v>44937</v>
      </c>
      <c r="M941" s="12">
        <f>DATE(VALUE(RIGHT(Raw_Orders!G941,4)),VALUE(MID(Raw_Orders!G941,4,2)),VALUE(LEFT(Raw_Orders!G941,2)))</f>
        <v>44938</v>
      </c>
      <c r="N941" s="7">
        <f t="shared" si="29"/>
        <v>1</v>
      </c>
      <c r="O941" s="7" t="str">
        <f>Raw_Orders!J941</f>
        <v>Birthday</v>
      </c>
      <c r="P941" s="7" t="str">
        <f>Raw_Orders!I941</f>
        <v>Orai</v>
      </c>
    </row>
    <row r="942" spans="1:16">
      <c r="A942" s="7" t="str">
        <f>Raw_Orders!A942</f>
        <v>941</v>
      </c>
      <c r="B942" s="7" t="str">
        <f>Raw_Orders!B942</f>
        <v>C058</v>
      </c>
      <c r="C942" s="7" t="str">
        <f>INDEX(Raw_Customers!$B$2:$B$101,MATCH($B942,Raw_Customers!$A$2:$A$101,0))</f>
        <v>Charvi Kanda</v>
      </c>
      <c r="D942" s="7" t="str">
        <f>TRIM(INDEX(Raw_Customers!$C$2:$C$101,MATCH($B942,Raw_Customers!$A$2:$A$101,0)))</f>
        <v>Guntakal</v>
      </c>
      <c r="E942" s="7" t="str">
        <f>"+91-"&amp;RIGHT("0000000000"&amp;INDEX(Raw_Customers!$D$2:$D$101,MATCH($B942,Raw_Customers!$A$2:$A$101,0)),10)</f>
        <v>+91-9771604920</v>
      </c>
      <c r="F942" s="7" t="str">
        <f>Raw_Orders!C942</f>
        <v>18</v>
      </c>
      <c r="G942" s="7" t="str">
        <f>INDEX(Raw_Products!$B$2:$B$71,MATCH($F942,Raw_Products!$A$2:$A$71,0))</f>
        <v>Nemo Set</v>
      </c>
      <c r="H942" s="7" t="str">
        <f>INDEX(Raw_Products!$C$2:$C$71,MATCH($F942,Raw_Products!$A$2:$A$71,0))</f>
        <v>Plants</v>
      </c>
      <c r="I942" s="7">
        <f>VALUE(Raw_Orders!D942)</f>
        <v>4</v>
      </c>
      <c r="J942" s="11" t="str">
        <f>INDEX(Raw_Products!$D$2:$D$71,MATCH($F942,Raw_Products!$A$2:$A$71,0))</f>
        <v>781</v>
      </c>
      <c r="K942" s="11">
        <f t="shared" si="28"/>
        <v>3124</v>
      </c>
      <c r="L942" s="12">
        <f>DATE(VALUE(RIGHT(Raw_Orders!E942,4)),VALUE(MID(Raw_Orders!E942,4,2)),VALUE(LEFT(Raw_Orders!E942,2)))</f>
        <v>45065</v>
      </c>
      <c r="M942" s="12">
        <f>DATE(VALUE(RIGHT(Raw_Orders!G942,4)),VALUE(MID(Raw_Orders!G942,4,2)),VALUE(LEFT(Raw_Orders!G942,2)))</f>
        <v>45068</v>
      </c>
      <c r="N942" s="7">
        <f t="shared" si="29"/>
        <v>3</v>
      </c>
      <c r="O942" s="7" t="str">
        <f>Raw_Orders!J942</f>
        <v>Birthday</v>
      </c>
      <c r="P942" s="7" t="str">
        <f>Raw_Orders!I942</f>
        <v>Bidar</v>
      </c>
    </row>
    <row r="943" spans="1:16">
      <c r="A943" s="7" t="str">
        <f>Raw_Orders!A943</f>
        <v>942</v>
      </c>
      <c r="B943" s="7" t="str">
        <f>Raw_Orders!B943</f>
        <v>C024</v>
      </c>
      <c r="C943" s="7" t="str">
        <f>INDEX(Raw_Customers!$B$2:$B$101,MATCH($B943,Raw_Customers!$A$2:$A$101,0))</f>
        <v>Jhanvi Chowdhury</v>
      </c>
      <c r="D943" s="7" t="str">
        <f>TRIM(INDEX(Raw_Customers!$C$2:$C$101,MATCH($B943,Raw_Customers!$A$2:$A$101,0)))</f>
        <v>Kavali</v>
      </c>
      <c r="E943" s="7" t="str">
        <f>"+91-"&amp;RIGHT("0000000000"&amp;INDEX(Raw_Customers!$D$2:$D$101,MATCH($B943,Raw_Customers!$A$2:$A$101,0)),10)</f>
        <v>+91-0316756360</v>
      </c>
      <c r="F943" s="7" t="str">
        <f>Raw_Orders!C943</f>
        <v>51</v>
      </c>
      <c r="G943" s="7" t="str">
        <f>INDEX(Raw_Products!$B$2:$B$71,MATCH($F943,Raw_Products!$A$2:$A$71,0))</f>
        <v>Fugit Set</v>
      </c>
      <c r="H943" s="7" t="str">
        <f>INDEX(Raw_Products!$C$2:$C$71,MATCH($F943,Raw_Products!$A$2:$A$71,0))</f>
        <v>Soft Toys</v>
      </c>
      <c r="I943" s="7">
        <f>VALUE(Raw_Orders!D943)</f>
        <v>1</v>
      </c>
      <c r="J943" s="11" t="str">
        <f>INDEX(Raw_Products!$D$2:$D$71,MATCH($F943,Raw_Products!$A$2:$A$71,0))</f>
        <v>1084</v>
      </c>
      <c r="K943" s="11">
        <f t="shared" si="28"/>
        <v>1084</v>
      </c>
      <c r="L943" s="12">
        <f>DATE(VALUE(RIGHT(Raw_Orders!E943,4)),VALUE(MID(Raw_Orders!E943,4,2)),VALUE(LEFT(Raw_Orders!E943,2)))</f>
        <v>45283</v>
      </c>
      <c r="M943" s="12">
        <f>DATE(VALUE(RIGHT(Raw_Orders!G943,4)),VALUE(MID(Raw_Orders!G943,4,2)),VALUE(LEFT(Raw_Orders!G943,2)))</f>
        <v>45286</v>
      </c>
      <c r="N943" s="7">
        <f t="shared" si="29"/>
        <v>3</v>
      </c>
      <c r="O943" s="7" t="str">
        <f>Raw_Orders!J943</f>
        <v>All Occasions</v>
      </c>
      <c r="P943" s="7" t="str">
        <f>Raw_Orders!I943</f>
        <v>Surat</v>
      </c>
    </row>
    <row r="944" spans="1:16">
      <c r="A944" s="7" t="str">
        <f>Raw_Orders!A944</f>
        <v>943</v>
      </c>
      <c r="B944" s="7" t="str">
        <f>Raw_Orders!B944</f>
        <v>C026</v>
      </c>
      <c r="C944" s="7" t="str">
        <f>INDEX(Raw_Customers!$B$2:$B$101,MATCH($B944,Raw_Customers!$A$2:$A$101,0))</f>
        <v>Ira Chahal</v>
      </c>
      <c r="D944" s="7" t="str">
        <f>TRIM(INDEX(Raw_Customers!$C$2:$C$101,MATCH($B944,Raw_Customers!$A$2:$A$101,0)))</f>
        <v>Farrukhabad</v>
      </c>
      <c r="E944" s="7" t="str">
        <f>"+91-"&amp;RIGHT("0000000000"&amp;INDEX(Raw_Customers!$D$2:$D$101,MATCH($B944,Raw_Customers!$A$2:$A$101,0)),10)</f>
        <v>+91-8716483532</v>
      </c>
      <c r="F944" s="7" t="str">
        <f>Raw_Orders!C944</f>
        <v>22</v>
      </c>
      <c r="G944" s="7" t="str">
        <f>INDEX(Raw_Products!$B$2:$B$71,MATCH($F944,Raw_Products!$A$2:$A$71,0))</f>
        <v>Exercitationem Pack</v>
      </c>
      <c r="H944" s="7" t="str">
        <f>INDEX(Raw_Products!$C$2:$C$71,MATCH($F944,Raw_Products!$A$2:$A$71,0))</f>
        <v>Soft Toys</v>
      </c>
      <c r="I944" s="7">
        <f>VALUE(Raw_Orders!D944)</f>
        <v>4</v>
      </c>
      <c r="J944" s="11" t="str">
        <f>INDEX(Raw_Products!$D$2:$D$71,MATCH($F944,Raw_Products!$A$2:$A$71,0))</f>
        <v>1639</v>
      </c>
      <c r="K944" s="11">
        <f t="shared" si="28"/>
        <v>6556</v>
      </c>
      <c r="L944" s="12">
        <f>DATE(VALUE(RIGHT(Raw_Orders!E944,4)),VALUE(MID(Raw_Orders!E944,4,2)),VALUE(LEFT(Raw_Orders!E944,2)))</f>
        <v>44976</v>
      </c>
      <c r="M944" s="12">
        <f>DATE(VALUE(RIGHT(Raw_Orders!G944,4)),VALUE(MID(Raw_Orders!G944,4,2)),VALUE(LEFT(Raw_Orders!G944,2)))</f>
        <v>44979</v>
      </c>
      <c r="N944" s="7">
        <f t="shared" si="29"/>
        <v>3</v>
      </c>
      <c r="O944" s="7" t="str">
        <f>Raw_Orders!J944</f>
        <v>All Occasions</v>
      </c>
      <c r="P944" s="7" t="str">
        <f>Raw_Orders!I944</f>
        <v>Narasaraopet</v>
      </c>
    </row>
    <row r="945" spans="1:16">
      <c r="A945" s="7" t="str">
        <f>Raw_Orders!A945</f>
        <v>944</v>
      </c>
      <c r="B945" s="7" t="str">
        <f>Raw_Orders!B945</f>
        <v>C024</v>
      </c>
      <c r="C945" s="7" t="str">
        <f>INDEX(Raw_Customers!$B$2:$B$101,MATCH($B945,Raw_Customers!$A$2:$A$101,0))</f>
        <v>Jhanvi Chowdhury</v>
      </c>
      <c r="D945" s="7" t="str">
        <f>TRIM(INDEX(Raw_Customers!$C$2:$C$101,MATCH($B945,Raw_Customers!$A$2:$A$101,0)))</f>
        <v>Kavali</v>
      </c>
      <c r="E945" s="7" t="str">
        <f>"+91-"&amp;RIGHT("0000000000"&amp;INDEX(Raw_Customers!$D$2:$D$101,MATCH($B945,Raw_Customers!$A$2:$A$101,0)),10)</f>
        <v>+91-0316756360</v>
      </c>
      <c r="F945" s="7" t="str">
        <f>Raw_Orders!C945</f>
        <v>67</v>
      </c>
      <c r="G945" s="7" t="str">
        <f>INDEX(Raw_Products!$B$2:$B$71,MATCH($F945,Raw_Products!$A$2:$A$71,0))</f>
        <v>Maiores Box</v>
      </c>
      <c r="H945" s="7" t="str">
        <f>INDEX(Raw_Products!$C$2:$C$71,MATCH($F945,Raw_Products!$A$2:$A$71,0))</f>
        <v>Raksha Bandhan</v>
      </c>
      <c r="I945" s="7">
        <f>VALUE(Raw_Orders!D945)</f>
        <v>4</v>
      </c>
      <c r="J945" s="11" t="str">
        <f>INDEX(Raw_Products!$D$2:$D$71,MATCH($F945,Raw_Products!$A$2:$A$71,0))</f>
        <v>1374</v>
      </c>
      <c r="K945" s="11">
        <f t="shared" si="28"/>
        <v>5496</v>
      </c>
      <c r="L945" s="12">
        <f>DATE(VALUE(RIGHT(Raw_Orders!E945,4)),VALUE(MID(Raw_Orders!E945,4,2)),VALUE(LEFT(Raw_Orders!E945,2)))</f>
        <v>45247</v>
      </c>
      <c r="M945" s="12">
        <f>DATE(VALUE(RIGHT(Raw_Orders!G945,4)),VALUE(MID(Raw_Orders!G945,4,2)),VALUE(LEFT(Raw_Orders!G945,2)))</f>
        <v>45251</v>
      </c>
      <c r="N945" s="7">
        <f t="shared" si="29"/>
        <v>4</v>
      </c>
      <c r="O945" s="7" t="str">
        <f>Raw_Orders!J945</f>
        <v>Anniversary</v>
      </c>
      <c r="P945" s="7" t="str">
        <f>Raw_Orders!I945</f>
        <v>Amravati</v>
      </c>
    </row>
    <row r="946" spans="1:16">
      <c r="A946" s="7" t="str">
        <f>Raw_Orders!A946</f>
        <v>945</v>
      </c>
      <c r="B946" s="7" t="str">
        <f>Raw_Orders!B946</f>
        <v>C038</v>
      </c>
      <c r="C946" s="7" t="str">
        <f>INDEX(Raw_Customers!$B$2:$B$101,MATCH($B946,Raw_Customers!$A$2:$A$101,0))</f>
        <v>Yakshit Shah</v>
      </c>
      <c r="D946" s="7" t="str">
        <f>TRIM(INDEX(Raw_Customers!$C$2:$C$101,MATCH($B946,Raw_Customers!$A$2:$A$101,0)))</f>
        <v>Aizawl</v>
      </c>
      <c r="E946" s="7" t="str">
        <f>"+91-"&amp;RIGHT("0000000000"&amp;INDEX(Raw_Customers!$D$2:$D$101,MATCH($B946,Raw_Customers!$A$2:$A$101,0)),10)</f>
        <v>+91-2847411902</v>
      </c>
      <c r="F946" s="7" t="str">
        <f>Raw_Orders!C946</f>
        <v>18</v>
      </c>
      <c r="G946" s="7" t="str">
        <f>INDEX(Raw_Products!$B$2:$B$71,MATCH($F946,Raw_Products!$A$2:$A$71,0))</f>
        <v>Nemo Set</v>
      </c>
      <c r="H946" s="7" t="str">
        <f>INDEX(Raw_Products!$C$2:$C$71,MATCH($F946,Raw_Products!$A$2:$A$71,0))</f>
        <v>Plants</v>
      </c>
      <c r="I946" s="7">
        <f>VALUE(Raw_Orders!D946)</f>
        <v>2</v>
      </c>
      <c r="J946" s="11" t="str">
        <f>INDEX(Raw_Products!$D$2:$D$71,MATCH($F946,Raw_Products!$A$2:$A$71,0))</f>
        <v>781</v>
      </c>
      <c r="K946" s="11">
        <f t="shared" si="28"/>
        <v>1562</v>
      </c>
      <c r="L946" s="12">
        <f>DATE(VALUE(RIGHT(Raw_Orders!E946,4)),VALUE(MID(Raw_Orders!E946,4,2)),VALUE(LEFT(Raw_Orders!E946,2)))</f>
        <v>45137</v>
      </c>
      <c r="M946" s="12">
        <f>DATE(VALUE(RIGHT(Raw_Orders!G946,4)),VALUE(MID(Raw_Orders!G946,4,2)),VALUE(LEFT(Raw_Orders!G946,2)))</f>
        <v>45144</v>
      </c>
      <c r="N946" s="7">
        <f t="shared" si="29"/>
        <v>7</v>
      </c>
      <c r="O946" s="7" t="str">
        <f>Raw_Orders!J946</f>
        <v>Birthday</v>
      </c>
      <c r="P946" s="7" t="str">
        <f>Raw_Orders!I946</f>
        <v>Raebareli</v>
      </c>
    </row>
    <row r="947" spans="1:16">
      <c r="A947" s="7" t="str">
        <f>Raw_Orders!A947</f>
        <v>946</v>
      </c>
      <c r="B947" s="7" t="str">
        <f>Raw_Orders!B947</f>
        <v>C050</v>
      </c>
      <c r="C947" s="7" t="str">
        <f>INDEX(Raw_Customers!$B$2:$B$101,MATCH($B947,Raw_Customers!$A$2:$A$101,0))</f>
        <v>Chirag Srinivas</v>
      </c>
      <c r="D947" s="7" t="str">
        <f>TRIM(INDEX(Raw_Customers!$C$2:$C$101,MATCH($B947,Raw_Customers!$A$2:$A$101,0)))</f>
        <v>Imphal</v>
      </c>
      <c r="E947" s="7" t="str">
        <f>"+91-"&amp;RIGHT("0000000000"&amp;INDEX(Raw_Customers!$D$2:$D$101,MATCH($B947,Raw_Customers!$A$2:$A$101,0)),10)</f>
        <v>+91-1157961919</v>
      </c>
      <c r="F947" s="7" t="str">
        <f>Raw_Orders!C947</f>
        <v>17</v>
      </c>
      <c r="G947" s="7" t="str">
        <f>INDEX(Raw_Products!$B$2:$B$71,MATCH($F947,Raw_Products!$A$2:$A$71,0))</f>
        <v>Delectus Gift</v>
      </c>
      <c r="H947" s="7" t="str">
        <f>INDEX(Raw_Products!$C$2:$C$71,MATCH($F947,Raw_Products!$A$2:$A$71,0))</f>
        <v>Soft Toys</v>
      </c>
      <c r="I947" s="7">
        <f>VALUE(Raw_Orders!D947)</f>
        <v>4</v>
      </c>
      <c r="J947" s="11" t="str">
        <f>INDEX(Raw_Products!$D$2:$D$71,MATCH($F947,Raw_Products!$A$2:$A$71,0))</f>
        <v>1899</v>
      </c>
      <c r="K947" s="11">
        <f t="shared" si="28"/>
        <v>7596</v>
      </c>
      <c r="L947" s="12">
        <f>DATE(VALUE(RIGHT(Raw_Orders!E947,4)),VALUE(MID(Raw_Orders!E947,4,2)),VALUE(LEFT(Raw_Orders!E947,2)))</f>
        <v>45262</v>
      </c>
      <c r="M947" s="12">
        <f>DATE(VALUE(RIGHT(Raw_Orders!G947,4)),VALUE(MID(Raw_Orders!G947,4,2)),VALUE(LEFT(Raw_Orders!G947,2)))</f>
        <v>45269</v>
      </c>
      <c r="N947" s="7">
        <f t="shared" si="29"/>
        <v>7</v>
      </c>
      <c r="O947" s="7" t="str">
        <f>Raw_Orders!J947</f>
        <v>Anniversary</v>
      </c>
      <c r="P947" s="7" t="str">
        <f>Raw_Orders!I947</f>
        <v>Ratlam</v>
      </c>
    </row>
    <row r="948" spans="1:16">
      <c r="A948" s="7" t="str">
        <f>Raw_Orders!A948</f>
        <v>947</v>
      </c>
      <c r="B948" s="7" t="str">
        <f>Raw_Orders!B948</f>
        <v>C100</v>
      </c>
      <c r="C948" s="7" t="str">
        <f>INDEX(Raw_Customers!$B$2:$B$101,MATCH($B948,Raw_Customers!$A$2:$A$101,0))</f>
        <v>Pranay Chaudhary</v>
      </c>
      <c r="D948" s="7" t="str">
        <f>TRIM(INDEX(Raw_Customers!$C$2:$C$101,MATCH($B948,Raw_Customers!$A$2:$A$101,0)))</f>
        <v>Phagwara</v>
      </c>
      <c r="E948" s="7" t="str">
        <f>"+91-"&amp;RIGHT("0000000000"&amp;INDEX(Raw_Customers!$D$2:$D$101,MATCH($B948,Raw_Customers!$A$2:$A$101,0)),10)</f>
        <v>+91-9478540370</v>
      </c>
      <c r="F948" s="7" t="str">
        <f>Raw_Orders!C948</f>
        <v>38</v>
      </c>
      <c r="G948" s="7" t="str">
        <f>INDEX(Raw_Products!$B$2:$B$71,MATCH($F948,Raw_Products!$A$2:$A$71,0))</f>
        <v>Mollitia Set</v>
      </c>
      <c r="H948" s="7" t="str">
        <f>INDEX(Raw_Products!$C$2:$C$71,MATCH($F948,Raw_Products!$A$2:$A$71,0))</f>
        <v>Cake</v>
      </c>
      <c r="I948" s="7">
        <f>VALUE(Raw_Orders!D948)</f>
        <v>3</v>
      </c>
      <c r="J948" s="11" t="str">
        <f>INDEX(Raw_Products!$D$2:$D$71,MATCH($F948,Raw_Products!$A$2:$A$71,0))</f>
        <v>562</v>
      </c>
      <c r="K948" s="11">
        <f t="shared" si="28"/>
        <v>1686</v>
      </c>
      <c r="L948" s="12">
        <f>DATE(VALUE(RIGHT(Raw_Orders!E948,4)),VALUE(MID(Raw_Orders!E948,4,2)),VALUE(LEFT(Raw_Orders!E948,2)))</f>
        <v>45205</v>
      </c>
      <c r="M948" s="12">
        <f>DATE(VALUE(RIGHT(Raw_Orders!G948,4)),VALUE(MID(Raw_Orders!G948,4,2)),VALUE(LEFT(Raw_Orders!G948,2)))</f>
        <v>45207</v>
      </c>
      <c r="N948" s="7">
        <f t="shared" si="29"/>
        <v>2</v>
      </c>
      <c r="O948" s="7" t="str">
        <f>Raw_Orders!J948</f>
        <v>Birthday</v>
      </c>
      <c r="P948" s="7" t="str">
        <f>Raw_Orders!I948</f>
        <v>Nadiad</v>
      </c>
    </row>
    <row r="949" spans="1:16">
      <c r="A949" s="7" t="str">
        <f>Raw_Orders!A949</f>
        <v>948</v>
      </c>
      <c r="B949" s="7" t="str">
        <f>Raw_Orders!B949</f>
        <v>C061</v>
      </c>
      <c r="C949" s="7" t="str">
        <f>INDEX(Raw_Customers!$B$2:$B$101,MATCH($B949,Raw_Customers!$A$2:$A$101,0))</f>
        <v>Akarsh Ramesh</v>
      </c>
      <c r="D949" s="7" t="str">
        <f>TRIM(INDEX(Raw_Customers!$C$2:$C$101,MATCH($B949,Raw_Customers!$A$2:$A$101,0)))</f>
        <v>Kavali</v>
      </c>
      <c r="E949" s="7" t="str">
        <f>"+91-"&amp;RIGHT("0000000000"&amp;INDEX(Raw_Customers!$D$2:$D$101,MATCH($B949,Raw_Customers!$A$2:$A$101,0)),10)</f>
        <v>+91-4318554567</v>
      </c>
      <c r="F949" s="7" t="str">
        <f>Raw_Orders!C949</f>
        <v>26</v>
      </c>
      <c r="G949" s="7" t="str">
        <f>INDEX(Raw_Products!$B$2:$B$71,MATCH($F949,Raw_Products!$A$2:$A$71,0))</f>
        <v>Aliquam Box</v>
      </c>
      <c r="H949" s="7" t="str">
        <f>INDEX(Raw_Products!$C$2:$C$71,MATCH($F949,Raw_Products!$A$2:$A$71,0))</f>
        <v>Colors</v>
      </c>
      <c r="I949" s="7">
        <f>VALUE(Raw_Orders!D949)</f>
        <v>3</v>
      </c>
      <c r="J949" s="11" t="str">
        <f>INDEX(Raw_Products!$D$2:$D$71,MATCH($F949,Raw_Products!$A$2:$A$71,0))</f>
        <v>289</v>
      </c>
      <c r="K949" s="11">
        <f t="shared" si="28"/>
        <v>867</v>
      </c>
      <c r="L949" s="12">
        <f>DATE(VALUE(RIGHT(Raw_Orders!E949,4)),VALUE(MID(Raw_Orders!E949,4,2)),VALUE(LEFT(Raw_Orders!E949,2)))</f>
        <v>44989</v>
      </c>
      <c r="M949" s="12">
        <f>DATE(VALUE(RIGHT(Raw_Orders!G949,4)),VALUE(MID(Raw_Orders!G949,4,2)),VALUE(LEFT(Raw_Orders!G949,2)))</f>
        <v>44992</v>
      </c>
      <c r="N949" s="7">
        <f t="shared" si="29"/>
        <v>3</v>
      </c>
      <c r="O949" s="7" t="str">
        <f>Raw_Orders!J949</f>
        <v>Holi</v>
      </c>
      <c r="P949" s="7" t="str">
        <f>Raw_Orders!I949</f>
        <v>Dehradun</v>
      </c>
    </row>
    <row r="950" spans="1:16">
      <c r="A950" s="7" t="str">
        <f>Raw_Orders!A950</f>
        <v>949</v>
      </c>
      <c r="B950" s="7" t="str">
        <f>Raw_Orders!B950</f>
        <v>C020</v>
      </c>
      <c r="C950" s="7" t="str">
        <f>INDEX(Raw_Customers!$B$2:$B$101,MATCH($B950,Raw_Customers!$A$2:$A$101,0))</f>
        <v>Samaira Ganesh</v>
      </c>
      <c r="D950" s="7" t="str">
        <f>TRIM(INDEX(Raw_Customers!$C$2:$C$101,MATCH($B950,Raw_Customers!$A$2:$A$101,0)))</f>
        <v>Machilipatnam</v>
      </c>
      <c r="E950" s="7" t="str">
        <f>"+91-"&amp;RIGHT("0000000000"&amp;INDEX(Raw_Customers!$D$2:$D$101,MATCH($B950,Raw_Customers!$A$2:$A$101,0)),10)</f>
        <v>+91-1731643700</v>
      </c>
      <c r="F950" s="7" t="str">
        <f>Raw_Orders!C950</f>
        <v>6</v>
      </c>
      <c r="G950" s="7" t="str">
        <f>INDEX(Raw_Products!$B$2:$B$71,MATCH($F950,Raw_Products!$A$2:$A$71,0))</f>
        <v>Quos Box</v>
      </c>
      <c r="H950" s="7" t="str">
        <f>INDEX(Raw_Products!$C$2:$C$71,MATCH($F950,Raw_Products!$A$2:$A$71,0))</f>
        <v>Cake</v>
      </c>
      <c r="I950" s="7">
        <f>VALUE(Raw_Orders!D950)</f>
        <v>4</v>
      </c>
      <c r="J950" s="11" t="str">
        <f>INDEX(Raw_Products!$D$2:$D$71,MATCH($F950,Raw_Products!$A$2:$A$71,0))</f>
        <v>1112</v>
      </c>
      <c r="K950" s="11">
        <f t="shared" si="28"/>
        <v>4448</v>
      </c>
      <c r="L950" s="12">
        <f>DATE(VALUE(RIGHT(Raw_Orders!E950,4)),VALUE(MID(Raw_Orders!E950,4,2)),VALUE(LEFT(Raw_Orders!E950,2)))</f>
        <v>44984</v>
      </c>
      <c r="M950" s="12">
        <f>DATE(VALUE(RIGHT(Raw_Orders!G950,4)),VALUE(MID(Raw_Orders!G950,4,2)),VALUE(LEFT(Raw_Orders!G950,2)))</f>
        <v>44991</v>
      </c>
      <c r="N950" s="7">
        <f t="shared" si="29"/>
        <v>7</v>
      </c>
      <c r="O950" s="7" t="str">
        <f>Raw_Orders!J950</f>
        <v>Holi</v>
      </c>
      <c r="P950" s="7" t="str">
        <f>Raw_Orders!I950</f>
        <v>Begusarai</v>
      </c>
    </row>
    <row r="951" spans="1:16">
      <c r="A951" s="7" t="str">
        <f>Raw_Orders!A951</f>
        <v>950</v>
      </c>
      <c r="B951" s="7" t="str">
        <f>Raw_Orders!B951</f>
        <v>C014</v>
      </c>
      <c r="C951" s="7" t="str">
        <f>INDEX(Raw_Customers!$B$2:$B$101,MATCH($B951,Raw_Customers!$A$2:$A$101,0))</f>
        <v>Indrans Shukla</v>
      </c>
      <c r="D951" s="7" t="str">
        <f>TRIM(INDEX(Raw_Customers!$C$2:$C$101,MATCH($B951,Raw_Customers!$A$2:$A$101,0)))</f>
        <v>Panvel</v>
      </c>
      <c r="E951" s="7" t="str">
        <f>"+91-"&amp;RIGHT("0000000000"&amp;INDEX(Raw_Customers!$D$2:$D$101,MATCH($B951,Raw_Customers!$A$2:$A$101,0)),10)</f>
        <v>+91-2717671919</v>
      </c>
      <c r="F951" s="7" t="str">
        <f>Raw_Orders!C951</f>
        <v>39</v>
      </c>
      <c r="G951" s="7" t="str">
        <f>INDEX(Raw_Products!$B$2:$B$71,MATCH($F951,Raw_Products!$A$2:$A$71,0))</f>
        <v>Voluptate Set</v>
      </c>
      <c r="H951" s="7" t="str">
        <f>INDEX(Raw_Products!$C$2:$C$71,MATCH($F951,Raw_Products!$A$2:$A$71,0))</f>
        <v>Mugs</v>
      </c>
      <c r="I951" s="7">
        <f>VALUE(Raw_Orders!D951)</f>
        <v>3</v>
      </c>
      <c r="J951" s="11" t="str">
        <f>INDEX(Raw_Products!$D$2:$D$71,MATCH($F951,Raw_Products!$A$2:$A$71,0))</f>
        <v>387</v>
      </c>
      <c r="K951" s="11">
        <f t="shared" si="28"/>
        <v>1161</v>
      </c>
      <c r="L951" s="12">
        <f>DATE(VALUE(RIGHT(Raw_Orders!E951,4)),VALUE(MID(Raw_Orders!E951,4,2)),VALUE(LEFT(Raw_Orders!E951,2)))</f>
        <v>45215</v>
      </c>
      <c r="M951" s="12">
        <f>DATE(VALUE(RIGHT(Raw_Orders!G951,4)),VALUE(MID(Raw_Orders!G951,4,2)),VALUE(LEFT(Raw_Orders!G951,2)))</f>
        <v>45217</v>
      </c>
      <c r="N951" s="7">
        <f t="shared" si="29"/>
        <v>2</v>
      </c>
      <c r="O951" s="7" t="str">
        <f>Raw_Orders!J951</f>
        <v>All Occasions</v>
      </c>
      <c r="P951" s="7" t="str">
        <f>Raw_Orders!I951</f>
        <v>Tiruchirappalli</v>
      </c>
    </row>
    <row r="952" spans="1:16">
      <c r="A952" s="7" t="str">
        <f>Raw_Orders!A952</f>
        <v>951</v>
      </c>
      <c r="B952" s="7" t="str">
        <f>Raw_Orders!B952</f>
        <v>C024</v>
      </c>
      <c r="C952" s="7" t="str">
        <f>INDEX(Raw_Customers!$B$2:$B$101,MATCH($B952,Raw_Customers!$A$2:$A$101,0))</f>
        <v>Jhanvi Chowdhury</v>
      </c>
      <c r="D952" s="7" t="str">
        <f>TRIM(INDEX(Raw_Customers!$C$2:$C$101,MATCH($B952,Raw_Customers!$A$2:$A$101,0)))</f>
        <v>Kavali</v>
      </c>
      <c r="E952" s="7" t="str">
        <f>"+91-"&amp;RIGHT("0000000000"&amp;INDEX(Raw_Customers!$D$2:$D$101,MATCH($B952,Raw_Customers!$A$2:$A$101,0)),10)</f>
        <v>+91-0316756360</v>
      </c>
      <c r="F952" s="7" t="str">
        <f>Raw_Orders!C952</f>
        <v>20</v>
      </c>
      <c r="G952" s="7" t="str">
        <f>INDEX(Raw_Products!$B$2:$B$71,MATCH($F952,Raw_Products!$A$2:$A$71,0))</f>
        <v>Reiciendis Box</v>
      </c>
      <c r="H952" s="7" t="str">
        <f>INDEX(Raw_Products!$C$2:$C$71,MATCH($F952,Raw_Products!$A$2:$A$71,0))</f>
        <v>Colors</v>
      </c>
      <c r="I952" s="7">
        <f>VALUE(Raw_Orders!D952)</f>
        <v>1</v>
      </c>
      <c r="J952" s="11" t="str">
        <f>INDEX(Raw_Products!$D$2:$D$71,MATCH($F952,Raw_Products!$A$2:$A$71,0))</f>
        <v>697</v>
      </c>
      <c r="K952" s="11">
        <f t="shared" si="28"/>
        <v>697</v>
      </c>
      <c r="L952" s="12">
        <f>DATE(VALUE(RIGHT(Raw_Orders!E952,4)),VALUE(MID(Raw_Orders!E952,4,2)),VALUE(LEFT(Raw_Orders!E952,2)))</f>
        <v>45253</v>
      </c>
      <c r="M952" s="12">
        <f>DATE(VALUE(RIGHT(Raw_Orders!G952,4)),VALUE(MID(Raw_Orders!G952,4,2)),VALUE(LEFT(Raw_Orders!G952,2)))</f>
        <v>45255</v>
      </c>
      <c r="N952" s="7">
        <f t="shared" si="29"/>
        <v>2</v>
      </c>
      <c r="O952" s="7" t="str">
        <f>Raw_Orders!J952</f>
        <v>Anniversary</v>
      </c>
      <c r="P952" s="7" t="str">
        <f>Raw_Orders!I952</f>
        <v>Bongaigaon</v>
      </c>
    </row>
    <row r="953" spans="1:16">
      <c r="A953" s="7" t="str">
        <f>Raw_Orders!A953</f>
        <v>952</v>
      </c>
      <c r="B953" s="7" t="str">
        <f>Raw_Orders!B953</f>
        <v>C027</v>
      </c>
      <c r="C953" s="7" t="str">
        <f>INDEX(Raw_Customers!$B$2:$B$101,MATCH($B953,Raw_Customers!$A$2:$A$101,0))</f>
        <v>Kashvi Sur</v>
      </c>
      <c r="D953" s="7" t="str">
        <f>TRIM(INDEX(Raw_Customers!$C$2:$C$101,MATCH($B953,Raw_Customers!$A$2:$A$101,0)))</f>
        <v>Serampore</v>
      </c>
      <c r="E953" s="7" t="str">
        <f>"+91-"&amp;RIGHT("0000000000"&amp;INDEX(Raw_Customers!$D$2:$D$101,MATCH($B953,Raw_Customers!$A$2:$A$101,0)),10)</f>
        <v>+91-3431035116</v>
      </c>
      <c r="F953" s="7" t="str">
        <f>Raw_Orders!C953</f>
        <v>49</v>
      </c>
      <c r="G953" s="7" t="str">
        <f>INDEX(Raw_Products!$B$2:$B$71,MATCH($F953,Raw_Products!$A$2:$A$71,0))</f>
        <v>Voluptate Pack</v>
      </c>
      <c r="H953" s="7" t="str">
        <f>INDEX(Raw_Products!$C$2:$C$71,MATCH($F953,Raw_Products!$A$2:$A$71,0))</f>
        <v>Colors</v>
      </c>
      <c r="I953" s="7">
        <f>VALUE(Raw_Orders!D953)</f>
        <v>4</v>
      </c>
      <c r="J953" s="11" t="str">
        <f>INDEX(Raw_Products!$D$2:$D$71,MATCH($F953,Raw_Products!$A$2:$A$71,0))</f>
        <v>903</v>
      </c>
      <c r="K953" s="11">
        <f t="shared" si="28"/>
        <v>3612</v>
      </c>
      <c r="L953" s="12">
        <f>DATE(VALUE(RIGHT(Raw_Orders!E953,4)),VALUE(MID(Raw_Orders!E953,4,2)),VALUE(LEFT(Raw_Orders!E953,2)))</f>
        <v>44969</v>
      </c>
      <c r="M953" s="12">
        <f>DATE(VALUE(RIGHT(Raw_Orders!G953,4)),VALUE(MID(Raw_Orders!G953,4,2)),VALUE(LEFT(Raw_Orders!G953,2)))</f>
        <v>44979</v>
      </c>
      <c r="N953" s="7">
        <f t="shared" si="29"/>
        <v>10</v>
      </c>
      <c r="O953" s="7" t="str">
        <f>Raw_Orders!J953</f>
        <v>Valentine's Day</v>
      </c>
      <c r="P953" s="7" t="str">
        <f>Raw_Orders!I953</f>
        <v>Bidar</v>
      </c>
    </row>
    <row r="954" spans="1:16">
      <c r="A954" s="7" t="str">
        <f>Raw_Orders!A954</f>
        <v>953</v>
      </c>
      <c r="B954" s="7" t="str">
        <f>Raw_Orders!B954</f>
        <v>C076</v>
      </c>
      <c r="C954" s="7" t="str">
        <f>INDEX(Raw_Customers!$B$2:$B$101,MATCH($B954,Raw_Customers!$A$2:$A$101,0))</f>
        <v>Oorja Dayal</v>
      </c>
      <c r="D954" s="7" t="str">
        <f>TRIM(INDEX(Raw_Customers!$C$2:$C$101,MATCH($B954,Raw_Customers!$A$2:$A$101,0)))</f>
        <v>Gaya</v>
      </c>
      <c r="E954" s="7" t="str">
        <f>"+91-"&amp;RIGHT("0000000000"&amp;INDEX(Raw_Customers!$D$2:$D$101,MATCH($B954,Raw_Customers!$A$2:$A$101,0)),10)</f>
        <v>+91-6936516442</v>
      </c>
      <c r="F954" s="7" t="str">
        <f>Raw_Orders!C954</f>
        <v>40</v>
      </c>
      <c r="G954" s="7" t="str">
        <f>INDEX(Raw_Products!$B$2:$B$71,MATCH($F954,Raw_Products!$A$2:$A$71,0))</f>
        <v>Provident Pack</v>
      </c>
      <c r="H954" s="7" t="str">
        <f>INDEX(Raw_Products!$C$2:$C$71,MATCH($F954,Raw_Products!$A$2:$A$71,0))</f>
        <v>Sweets</v>
      </c>
      <c r="I954" s="7">
        <f>VALUE(Raw_Orders!D954)</f>
        <v>1</v>
      </c>
      <c r="J954" s="11" t="str">
        <f>INDEX(Raw_Products!$D$2:$D$71,MATCH($F954,Raw_Products!$A$2:$A$71,0))</f>
        <v>1923</v>
      </c>
      <c r="K954" s="11">
        <f t="shared" si="28"/>
        <v>1923</v>
      </c>
      <c r="L954" s="12">
        <f>DATE(VALUE(RIGHT(Raw_Orders!E954,4)),VALUE(MID(Raw_Orders!E954,4,2)),VALUE(LEFT(Raw_Orders!E954,2)))</f>
        <v>45172</v>
      </c>
      <c r="M954" s="12">
        <f>DATE(VALUE(RIGHT(Raw_Orders!G954,4)),VALUE(MID(Raw_Orders!G954,4,2)),VALUE(LEFT(Raw_Orders!G954,2)))</f>
        <v>45173</v>
      </c>
      <c r="N954" s="7">
        <f t="shared" si="29"/>
        <v>1</v>
      </c>
      <c r="O954" s="7" t="str">
        <f>Raw_Orders!J954</f>
        <v>Anniversary</v>
      </c>
      <c r="P954" s="7" t="str">
        <f>Raw_Orders!I954</f>
        <v>Varanasi</v>
      </c>
    </row>
    <row r="955" spans="1:16">
      <c r="A955" s="7" t="str">
        <f>Raw_Orders!A955</f>
        <v>954</v>
      </c>
      <c r="B955" s="7" t="str">
        <f>Raw_Orders!B955</f>
        <v>C063</v>
      </c>
      <c r="C955" s="7" t="str">
        <f>INDEX(Raw_Customers!$B$2:$B$101,MATCH($B955,Raw_Customers!$A$2:$A$101,0))</f>
        <v>Arhaan Ahluwalia</v>
      </c>
      <c r="D955" s="7" t="str">
        <f>TRIM(INDEX(Raw_Customers!$C$2:$C$101,MATCH($B955,Raw_Customers!$A$2:$A$101,0)))</f>
        <v>Jamnagar</v>
      </c>
      <c r="E955" s="7" t="str">
        <f>"+91-"&amp;RIGHT("0000000000"&amp;INDEX(Raw_Customers!$D$2:$D$101,MATCH($B955,Raw_Customers!$A$2:$A$101,0)),10)</f>
        <v>+91-5287021467</v>
      </c>
      <c r="F955" s="7" t="str">
        <f>Raw_Orders!C955</f>
        <v>44</v>
      </c>
      <c r="G955" s="7" t="str">
        <f>INDEX(Raw_Products!$B$2:$B$71,MATCH($F955,Raw_Products!$A$2:$A$71,0))</f>
        <v>Dolorum Set</v>
      </c>
      <c r="H955" s="7" t="str">
        <f>INDEX(Raw_Products!$C$2:$C$71,MATCH($F955,Raw_Products!$A$2:$A$71,0))</f>
        <v>Plants</v>
      </c>
      <c r="I955" s="7">
        <f>VALUE(Raw_Orders!D955)</f>
        <v>3</v>
      </c>
      <c r="J955" s="11" t="str">
        <f>INDEX(Raw_Products!$D$2:$D$71,MATCH($F955,Raw_Products!$A$2:$A$71,0))</f>
        <v>794</v>
      </c>
      <c r="K955" s="11">
        <f t="shared" si="28"/>
        <v>2382</v>
      </c>
      <c r="L955" s="12">
        <f>DATE(VALUE(RIGHT(Raw_Orders!E955,4)),VALUE(MID(Raw_Orders!E955,4,2)),VALUE(LEFT(Raw_Orders!E955,2)))</f>
        <v>45232</v>
      </c>
      <c r="M955" s="12">
        <f>DATE(VALUE(RIGHT(Raw_Orders!G955,4)),VALUE(MID(Raw_Orders!G955,4,2)),VALUE(LEFT(Raw_Orders!G955,2)))</f>
        <v>45233</v>
      </c>
      <c r="N955" s="7">
        <f t="shared" si="29"/>
        <v>1</v>
      </c>
      <c r="O955" s="7" t="str">
        <f>Raw_Orders!J955</f>
        <v>Diwali</v>
      </c>
      <c r="P955" s="7" t="str">
        <f>Raw_Orders!I955</f>
        <v>Ballia</v>
      </c>
    </row>
    <row r="956" spans="1:16">
      <c r="A956" s="7" t="str">
        <f>Raw_Orders!A956</f>
        <v>955</v>
      </c>
      <c r="B956" s="7" t="str">
        <f>Raw_Orders!B956</f>
        <v>C015</v>
      </c>
      <c r="C956" s="7" t="str">
        <f>INDEX(Raw_Customers!$B$2:$B$101,MATCH($B956,Raw_Customers!$A$2:$A$101,0))</f>
        <v>Romil Bajwa</v>
      </c>
      <c r="D956" s="7" t="str">
        <f>TRIM(INDEX(Raw_Customers!$C$2:$C$101,MATCH($B956,Raw_Customers!$A$2:$A$101,0)))</f>
        <v>Kolkata</v>
      </c>
      <c r="E956" s="7" t="str">
        <f>"+91-"&amp;RIGHT("0000000000"&amp;INDEX(Raw_Customers!$D$2:$D$101,MATCH($B956,Raw_Customers!$A$2:$A$101,0)),10)</f>
        <v>+91-8664164910</v>
      </c>
      <c r="F956" s="7" t="str">
        <f>Raw_Orders!C956</f>
        <v>24</v>
      </c>
      <c r="G956" s="7" t="str">
        <f>INDEX(Raw_Products!$B$2:$B$71,MATCH($F956,Raw_Products!$A$2:$A$71,0))</f>
        <v>Ad Box</v>
      </c>
      <c r="H956" s="7" t="str">
        <f>INDEX(Raw_Products!$C$2:$C$71,MATCH($F956,Raw_Products!$A$2:$A$71,0))</f>
        <v>Mugs</v>
      </c>
      <c r="I956" s="7">
        <f>VALUE(Raw_Orders!D956)</f>
        <v>4</v>
      </c>
      <c r="J956" s="11" t="str">
        <f>INDEX(Raw_Products!$D$2:$D$71,MATCH($F956,Raw_Products!$A$2:$A$71,0))</f>
        <v>535</v>
      </c>
      <c r="K956" s="11">
        <f t="shared" si="28"/>
        <v>2140</v>
      </c>
      <c r="L956" s="12">
        <f>DATE(VALUE(RIGHT(Raw_Orders!E956,4)),VALUE(MID(Raw_Orders!E956,4,2)),VALUE(LEFT(Raw_Orders!E956,2)))</f>
        <v>45080</v>
      </c>
      <c r="M956" s="12">
        <f>DATE(VALUE(RIGHT(Raw_Orders!G956,4)),VALUE(MID(Raw_Orders!G956,4,2)),VALUE(LEFT(Raw_Orders!G956,2)))</f>
        <v>45084</v>
      </c>
      <c r="N956" s="7">
        <f t="shared" si="29"/>
        <v>4</v>
      </c>
      <c r="O956" s="7" t="str">
        <f>Raw_Orders!J956</f>
        <v>Birthday</v>
      </c>
      <c r="P956" s="7" t="str">
        <f>Raw_Orders!I956</f>
        <v>Singrauli</v>
      </c>
    </row>
    <row r="957" spans="1:16">
      <c r="A957" s="7" t="str">
        <f>Raw_Orders!A957</f>
        <v>956</v>
      </c>
      <c r="B957" s="7" t="str">
        <f>Raw_Orders!B957</f>
        <v>C037</v>
      </c>
      <c r="C957" s="7" t="str">
        <f>INDEX(Raw_Customers!$B$2:$B$101,MATCH($B957,Raw_Customers!$A$2:$A$101,0))</f>
        <v>Aradhya Kumar</v>
      </c>
      <c r="D957" s="7" t="str">
        <f>TRIM(INDEX(Raw_Customers!$C$2:$C$101,MATCH($B957,Raw_Customers!$A$2:$A$101,0)))</f>
        <v>Davanagere</v>
      </c>
      <c r="E957" s="7" t="str">
        <f>"+91-"&amp;RIGHT("0000000000"&amp;INDEX(Raw_Customers!$D$2:$D$101,MATCH($B957,Raw_Customers!$A$2:$A$101,0)),10)</f>
        <v>+91-1972392634</v>
      </c>
      <c r="F957" s="7" t="str">
        <f>Raw_Orders!C957</f>
        <v>34</v>
      </c>
      <c r="G957" s="7" t="str">
        <f>INDEX(Raw_Products!$B$2:$B$71,MATCH($F957,Raw_Products!$A$2:$A$71,0))</f>
        <v>Placeat Pack</v>
      </c>
      <c r="H957" s="7" t="str">
        <f>INDEX(Raw_Products!$C$2:$C$71,MATCH($F957,Raw_Products!$A$2:$A$71,0))</f>
        <v>Soft Toys</v>
      </c>
      <c r="I957" s="7">
        <f>VALUE(Raw_Orders!D957)</f>
        <v>5</v>
      </c>
      <c r="J957" s="11" t="str">
        <f>INDEX(Raw_Products!$D$2:$D$71,MATCH($F957,Raw_Products!$A$2:$A$71,0))</f>
        <v>1335</v>
      </c>
      <c r="K957" s="11">
        <f t="shared" si="28"/>
        <v>6675</v>
      </c>
      <c r="L957" s="12">
        <f>DATE(VALUE(RIGHT(Raw_Orders!E957,4)),VALUE(MID(Raw_Orders!E957,4,2)),VALUE(LEFT(Raw_Orders!E957,2)))</f>
        <v>45167</v>
      </c>
      <c r="M957" s="12">
        <f>DATE(VALUE(RIGHT(Raw_Orders!G957,4)),VALUE(MID(Raw_Orders!G957,4,2)),VALUE(LEFT(Raw_Orders!G957,2)))</f>
        <v>45172</v>
      </c>
      <c r="N957" s="7">
        <f t="shared" si="29"/>
        <v>5</v>
      </c>
      <c r="O957" s="7" t="str">
        <f>Raw_Orders!J957</f>
        <v>Raksha Bandhan</v>
      </c>
      <c r="P957" s="7" t="str">
        <f>Raw_Orders!I957</f>
        <v>Sagar</v>
      </c>
    </row>
    <row r="958" spans="1:16">
      <c r="A958" s="7" t="str">
        <f>Raw_Orders!A958</f>
        <v>957</v>
      </c>
      <c r="B958" s="7" t="str">
        <f>Raw_Orders!B958</f>
        <v>C038</v>
      </c>
      <c r="C958" s="7" t="str">
        <f>INDEX(Raw_Customers!$B$2:$B$101,MATCH($B958,Raw_Customers!$A$2:$A$101,0))</f>
        <v>Yakshit Shah</v>
      </c>
      <c r="D958" s="7" t="str">
        <f>TRIM(INDEX(Raw_Customers!$C$2:$C$101,MATCH($B958,Raw_Customers!$A$2:$A$101,0)))</f>
        <v>Aizawl</v>
      </c>
      <c r="E958" s="7" t="str">
        <f>"+91-"&amp;RIGHT("0000000000"&amp;INDEX(Raw_Customers!$D$2:$D$101,MATCH($B958,Raw_Customers!$A$2:$A$101,0)),10)</f>
        <v>+91-2847411902</v>
      </c>
      <c r="F958" s="7" t="str">
        <f>Raw_Orders!C958</f>
        <v>23</v>
      </c>
      <c r="G958" s="7" t="str">
        <f>INDEX(Raw_Products!$B$2:$B$71,MATCH($F958,Raw_Products!$A$2:$A$71,0))</f>
        <v>Dignissimos Pack</v>
      </c>
      <c r="H958" s="7" t="str">
        <f>INDEX(Raw_Products!$C$2:$C$71,MATCH($F958,Raw_Products!$A$2:$A$71,0))</f>
        <v>Sweets</v>
      </c>
      <c r="I958" s="7">
        <f>VALUE(Raw_Orders!D958)</f>
        <v>1</v>
      </c>
      <c r="J958" s="11" t="str">
        <f>INDEX(Raw_Products!$D$2:$D$71,MATCH($F958,Raw_Products!$A$2:$A$71,0))</f>
        <v>1098</v>
      </c>
      <c r="K958" s="11">
        <f t="shared" si="28"/>
        <v>1098</v>
      </c>
      <c r="L958" s="12">
        <f>DATE(VALUE(RIGHT(Raw_Orders!E958,4)),VALUE(MID(Raw_Orders!E958,4,2)),VALUE(LEFT(Raw_Orders!E958,2)))</f>
        <v>45275</v>
      </c>
      <c r="M958" s="12">
        <f>DATE(VALUE(RIGHT(Raw_Orders!G958,4)),VALUE(MID(Raw_Orders!G958,4,2)),VALUE(LEFT(Raw_Orders!G958,2)))</f>
        <v>45277</v>
      </c>
      <c r="N958" s="7">
        <f t="shared" si="29"/>
        <v>2</v>
      </c>
      <c r="O958" s="7" t="str">
        <f>Raw_Orders!J958</f>
        <v>Anniversary</v>
      </c>
      <c r="P958" s="7" t="str">
        <f>Raw_Orders!I958</f>
        <v>Kanpur</v>
      </c>
    </row>
    <row r="959" spans="1:16">
      <c r="A959" s="7" t="str">
        <f>Raw_Orders!A959</f>
        <v>958</v>
      </c>
      <c r="B959" s="7" t="str">
        <f>Raw_Orders!B959</f>
        <v>C009</v>
      </c>
      <c r="C959" s="7" t="str">
        <f>INDEX(Raw_Customers!$B$2:$B$101,MATCH($B959,Raw_Customers!$A$2:$A$101,0))</f>
        <v>Ritvik Borah</v>
      </c>
      <c r="D959" s="7" t="str">
        <f>TRIM(INDEX(Raw_Customers!$C$2:$C$101,MATCH($B959,Raw_Customers!$A$2:$A$101,0)))</f>
        <v>Madurai</v>
      </c>
      <c r="E959" s="7" t="str">
        <f>"+91-"&amp;RIGHT("0000000000"&amp;INDEX(Raw_Customers!$D$2:$D$101,MATCH($B959,Raw_Customers!$A$2:$A$101,0)),10)</f>
        <v>+91-1336765676</v>
      </c>
      <c r="F959" s="7" t="str">
        <f>Raw_Orders!C959</f>
        <v>16</v>
      </c>
      <c r="G959" s="7" t="str">
        <f>INDEX(Raw_Products!$B$2:$B$71,MATCH($F959,Raw_Products!$A$2:$A$71,0))</f>
        <v>Ut Pack</v>
      </c>
      <c r="H959" s="7" t="str">
        <f>INDEX(Raw_Products!$C$2:$C$71,MATCH($F959,Raw_Products!$A$2:$A$71,0))</f>
        <v>Sweets</v>
      </c>
      <c r="I959" s="7">
        <f>VALUE(Raw_Orders!D959)</f>
        <v>3</v>
      </c>
      <c r="J959" s="11" t="str">
        <f>INDEX(Raw_Products!$D$2:$D$71,MATCH($F959,Raw_Products!$A$2:$A$71,0))</f>
        <v>1721</v>
      </c>
      <c r="K959" s="11">
        <f t="shared" si="28"/>
        <v>5163</v>
      </c>
      <c r="L959" s="12">
        <f>DATE(VALUE(RIGHT(Raw_Orders!E959,4)),VALUE(MID(Raw_Orders!E959,4,2)),VALUE(LEFT(Raw_Orders!E959,2)))</f>
        <v>44992</v>
      </c>
      <c r="M959" s="12">
        <f>DATE(VALUE(RIGHT(Raw_Orders!G959,4)),VALUE(MID(Raw_Orders!G959,4,2)),VALUE(LEFT(Raw_Orders!G959,2)))</f>
        <v>44999</v>
      </c>
      <c r="N959" s="7">
        <f t="shared" si="29"/>
        <v>7</v>
      </c>
      <c r="O959" s="7" t="str">
        <f>Raw_Orders!J959</f>
        <v>Holi</v>
      </c>
      <c r="P959" s="7" t="str">
        <f>Raw_Orders!I959</f>
        <v>Bihar Sharif</v>
      </c>
    </row>
    <row r="960" spans="1:16">
      <c r="A960" s="7" t="str">
        <f>Raw_Orders!A960</f>
        <v>959</v>
      </c>
      <c r="B960" s="7" t="str">
        <f>Raw_Orders!B960</f>
        <v>C098</v>
      </c>
      <c r="C960" s="7" t="str">
        <f>INDEX(Raw_Customers!$B$2:$B$101,MATCH($B960,Raw_Customers!$A$2:$A$101,0))</f>
        <v>Navya Golla</v>
      </c>
      <c r="D960" s="7" t="str">
        <f>TRIM(INDEX(Raw_Customers!$C$2:$C$101,MATCH($B960,Raw_Customers!$A$2:$A$101,0)))</f>
        <v>Cuttack</v>
      </c>
      <c r="E960" s="7" t="str">
        <f>"+91-"&amp;RIGHT("0000000000"&amp;INDEX(Raw_Customers!$D$2:$D$101,MATCH($B960,Raw_Customers!$A$2:$A$101,0)),10)</f>
        <v>+91-4461213936</v>
      </c>
      <c r="F960" s="7" t="str">
        <f>Raw_Orders!C960</f>
        <v>40</v>
      </c>
      <c r="G960" s="7" t="str">
        <f>INDEX(Raw_Products!$B$2:$B$71,MATCH($F960,Raw_Products!$A$2:$A$71,0))</f>
        <v>Provident Pack</v>
      </c>
      <c r="H960" s="7" t="str">
        <f>INDEX(Raw_Products!$C$2:$C$71,MATCH($F960,Raw_Products!$A$2:$A$71,0))</f>
        <v>Sweets</v>
      </c>
      <c r="I960" s="7">
        <f>VALUE(Raw_Orders!D960)</f>
        <v>1</v>
      </c>
      <c r="J960" s="11" t="str">
        <f>INDEX(Raw_Products!$D$2:$D$71,MATCH($F960,Raw_Products!$A$2:$A$71,0))</f>
        <v>1923</v>
      </c>
      <c r="K960" s="11">
        <f t="shared" si="28"/>
        <v>1923</v>
      </c>
      <c r="L960" s="12">
        <f>DATE(VALUE(RIGHT(Raw_Orders!E960,4)),VALUE(MID(Raw_Orders!E960,4,2)),VALUE(LEFT(Raw_Orders!E960,2)))</f>
        <v>45281</v>
      </c>
      <c r="M960" s="12">
        <f>DATE(VALUE(RIGHT(Raw_Orders!G960,4)),VALUE(MID(Raw_Orders!G960,4,2)),VALUE(LEFT(Raw_Orders!G960,2)))</f>
        <v>45286</v>
      </c>
      <c r="N960" s="7">
        <f t="shared" si="29"/>
        <v>5</v>
      </c>
      <c r="O960" s="7" t="str">
        <f>Raw_Orders!J960</f>
        <v>Anniversary</v>
      </c>
      <c r="P960" s="7" t="str">
        <f>Raw_Orders!I960</f>
        <v>Raebareli</v>
      </c>
    </row>
    <row r="961" spans="1:16">
      <c r="A961" s="7" t="str">
        <f>Raw_Orders!A961</f>
        <v>960</v>
      </c>
      <c r="B961" s="7" t="str">
        <f>Raw_Orders!B961</f>
        <v>C032</v>
      </c>
      <c r="C961" s="7" t="str">
        <f>INDEX(Raw_Customers!$B$2:$B$101,MATCH($B961,Raw_Customers!$A$2:$A$101,0))</f>
        <v>Mannat Anand</v>
      </c>
      <c r="D961" s="7" t="str">
        <f>TRIM(INDEX(Raw_Customers!$C$2:$C$101,MATCH($B961,Raw_Customers!$A$2:$A$101,0)))</f>
        <v>Surat</v>
      </c>
      <c r="E961" s="7" t="str">
        <f>"+91-"&amp;RIGHT("0000000000"&amp;INDEX(Raw_Customers!$D$2:$D$101,MATCH($B961,Raw_Customers!$A$2:$A$101,0)),10)</f>
        <v>+91-1611365500</v>
      </c>
      <c r="F961" s="7" t="str">
        <f>Raw_Orders!C961</f>
        <v>48</v>
      </c>
      <c r="G961" s="7" t="str">
        <f>INDEX(Raw_Products!$B$2:$B$71,MATCH($F961,Raw_Products!$A$2:$A$71,0))</f>
        <v>Maiores Gift</v>
      </c>
      <c r="H961" s="7" t="str">
        <f>INDEX(Raw_Products!$C$2:$C$71,MATCH($F961,Raw_Products!$A$2:$A$71,0))</f>
        <v>Colors</v>
      </c>
      <c r="I961" s="7">
        <f>VALUE(Raw_Orders!D961)</f>
        <v>3</v>
      </c>
      <c r="J961" s="11" t="str">
        <f>INDEX(Raw_Products!$D$2:$D$71,MATCH($F961,Raw_Products!$A$2:$A$71,0))</f>
        <v>433</v>
      </c>
      <c r="K961" s="11">
        <f t="shared" si="28"/>
        <v>1299</v>
      </c>
      <c r="L961" s="12">
        <f>DATE(VALUE(RIGHT(Raw_Orders!E961,4)),VALUE(MID(Raw_Orders!E961,4,2)),VALUE(LEFT(Raw_Orders!E961,2)))</f>
        <v>45235</v>
      </c>
      <c r="M961" s="12">
        <f>DATE(VALUE(RIGHT(Raw_Orders!G961,4)),VALUE(MID(Raw_Orders!G961,4,2)),VALUE(LEFT(Raw_Orders!G961,2)))</f>
        <v>45238</v>
      </c>
      <c r="N961" s="7">
        <f t="shared" si="29"/>
        <v>3</v>
      </c>
      <c r="O961" s="7" t="str">
        <f>Raw_Orders!J961</f>
        <v>Diwali</v>
      </c>
      <c r="P961" s="7" t="str">
        <f>Raw_Orders!I961</f>
        <v>Nadiad</v>
      </c>
    </row>
    <row r="962" spans="1:16">
      <c r="A962" s="7" t="str">
        <f>Raw_Orders!A962</f>
        <v>961</v>
      </c>
      <c r="B962" s="7" t="str">
        <f>Raw_Orders!B962</f>
        <v>C016</v>
      </c>
      <c r="C962" s="7" t="str">
        <f>INDEX(Raw_Customers!$B$2:$B$101,MATCH($B962,Raw_Customers!$A$2:$A$101,0))</f>
        <v>Amani Ganesh</v>
      </c>
      <c r="D962" s="7" t="str">
        <f>TRIM(INDEX(Raw_Customers!$C$2:$C$101,MATCH($B962,Raw_Customers!$A$2:$A$101,0)))</f>
        <v>Tenali</v>
      </c>
      <c r="E962" s="7" t="str">
        <f>"+91-"&amp;RIGHT("0000000000"&amp;INDEX(Raw_Customers!$D$2:$D$101,MATCH($B962,Raw_Customers!$A$2:$A$101,0)),10)</f>
        <v>+91-8482992702</v>
      </c>
      <c r="F962" s="7" t="str">
        <f>Raw_Orders!C962</f>
        <v>1</v>
      </c>
      <c r="G962" s="7" t="str">
        <f>INDEX(Raw_Products!$B$2:$B$71,MATCH($F962,Raw_Products!$A$2:$A$71,0))</f>
        <v>Magnam Set</v>
      </c>
      <c r="H962" s="7" t="str">
        <f>INDEX(Raw_Products!$C$2:$C$71,MATCH($F962,Raw_Products!$A$2:$A$71,0))</f>
        <v>Soft Toys</v>
      </c>
      <c r="I962" s="7">
        <f>VALUE(Raw_Orders!D962)</f>
        <v>5</v>
      </c>
      <c r="J962" s="11" t="str">
        <f>INDEX(Raw_Products!$D$2:$D$71,MATCH($F962,Raw_Products!$A$2:$A$71,0))</f>
        <v>1935</v>
      </c>
      <c r="K962" s="11">
        <f t="shared" ref="K962:K1001" si="30">I962*J962</f>
        <v>9675</v>
      </c>
      <c r="L962" s="12">
        <f>DATE(VALUE(RIGHT(Raw_Orders!E962,4)),VALUE(MID(Raw_Orders!E962,4,2)),VALUE(LEFT(Raw_Orders!E962,2)))</f>
        <v>44958</v>
      </c>
      <c r="M962" s="12">
        <f>DATE(VALUE(RIGHT(Raw_Orders!G962,4)),VALUE(MID(Raw_Orders!G962,4,2)),VALUE(LEFT(Raw_Orders!G962,2)))</f>
        <v>44967</v>
      </c>
      <c r="N962" s="7">
        <f t="shared" ref="N962:N1001" si="31">M962-L962</f>
        <v>9</v>
      </c>
      <c r="O962" s="7" t="str">
        <f>Raw_Orders!J962</f>
        <v>All Occasions</v>
      </c>
      <c r="P962" s="7" t="str">
        <f>Raw_Orders!I962</f>
        <v>Gulbarga</v>
      </c>
    </row>
    <row r="963" spans="1:16">
      <c r="A963" s="7" t="str">
        <f>Raw_Orders!A963</f>
        <v>962</v>
      </c>
      <c r="B963" s="7" t="str">
        <f>Raw_Orders!B963</f>
        <v>C028</v>
      </c>
      <c r="C963" s="7" t="str">
        <f>INDEX(Raw_Customers!$B$2:$B$101,MATCH($B963,Raw_Customers!$A$2:$A$101,0))</f>
        <v>Hridaan Rajagopalan</v>
      </c>
      <c r="D963" s="7" t="str">
        <f>TRIM(INDEX(Raw_Customers!$C$2:$C$101,MATCH($B963,Raw_Customers!$A$2:$A$101,0)))</f>
        <v>Noida</v>
      </c>
      <c r="E963" s="7" t="str">
        <f>"+91-"&amp;RIGHT("0000000000"&amp;INDEX(Raw_Customers!$D$2:$D$101,MATCH($B963,Raw_Customers!$A$2:$A$101,0)),10)</f>
        <v>+91-2539728317</v>
      </c>
      <c r="F963" s="7" t="str">
        <f>Raw_Orders!C963</f>
        <v>17</v>
      </c>
      <c r="G963" s="7" t="str">
        <f>INDEX(Raw_Products!$B$2:$B$71,MATCH($F963,Raw_Products!$A$2:$A$71,0))</f>
        <v>Delectus Gift</v>
      </c>
      <c r="H963" s="7" t="str">
        <f>INDEX(Raw_Products!$C$2:$C$71,MATCH($F963,Raw_Products!$A$2:$A$71,0))</f>
        <v>Soft Toys</v>
      </c>
      <c r="I963" s="7">
        <f>VALUE(Raw_Orders!D963)</f>
        <v>5</v>
      </c>
      <c r="J963" s="11" t="str">
        <f>INDEX(Raw_Products!$D$2:$D$71,MATCH($F963,Raw_Products!$A$2:$A$71,0))</f>
        <v>1899</v>
      </c>
      <c r="K963" s="11">
        <f t="shared" si="30"/>
        <v>9495</v>
      </c>
      <c r="L963" s="12">
        <f>DATE(VALUE(RIGHT(Raw_Orders!E963,4)),VALUE(MID(Raw_Orders!E963,4,2)),VALUE(LEFT(Raw_Orders!E963,2)))</f>
        <v>45198</v>
      </c>
      <c r="M963" s="12">
        <f>DATE(VALUE(RIGHT(Raw_Orders!G963,4)),VALUE(MID(Raw_Orders!G963,4,2)),VALUE(LEFT(Raw_Orders!G963,2)))</f>
        <v>45200</v>
      </c>
      <c r="N963" s="7">
        <f t="shared" si="31"/>
        <v>2</v>
      </c>
      <c r="O963" s="7" t="str">
        <f>Raw_Orders!J963</f>
        <v>Anniversary</v>
      </c>
      <c r="P963" s="7" t="str">
        <f>Raw_Orders!I963</f>
        <v>Kalyan-Dombivli</v>
      </c>
    </row>
    <row r="964" spans="1:16">
      <c r="A964" s="7" t="str">
        <f>Raw_Orders!A964</f>
        <v>963</v>
      </c>
      <c r="B964" s="7" t="str">
        <f>Raw_Orders!B964</f>
        <v>C025</v>
      </c>
      <c r="C964" s="7" t="str">
        <f>INDEX(Raw_Customers!$B$2:$B$101,MATCH($B964,Raw_Customers!$A$2:$A$101,0))</f>
        <v>Ira Bava</v>
      </c>
      <c r="D964" s="7" t="str">
        <f>TRIM(INDEX(Raw_Customers!$C$2:$C$101,MATCH($B964,Raw_Customers!$A$2:$A$101,0)))</f>
        <v>Singrauli</v>
      </c>
      <c r="E964" s="7" t="str">
        <f>"+91-"&amp;RIGHT("0000000000"&amp;INDEX(Raw_Customers!$D$2:$D$101,MATCH($B964,Raw_Customers!$A$2:$A$101,0)),10)</f>
        <v>+91-7406193950</v>
      </c>
      <c r="F964" s="7" t="str">
        <f>Raw_Orders!C964</f>
        <v>29</v>
      </c>
      <c r="G964" s="7" t="str">
        <f>INDEX(Raw_Products!$B$2:$B$71,MATCH($F964,Raw_Products!$A$2:$A$71,0))</f>
        <v>In Set</v>
      </c>
      <c r="H964" s="7" t="str">
        <f>INDEX(Raw_Products!$C$2:$C$71,MATCH($F964,Raw_Products!$A$2:$A$71,0))</f>
        <v>Colors</v>
      </c>
      <c r="I964" s="7">
        <f>VALUE(Raw_Orders!D964)</f>
        <v>1</v>
      </c>
      <c r="J964" s="11" t="str">
        <f>INDEX(Raw_Products!$D$2:$D$71,MATCH($F964,Raw_Products!$A$2:$A$71,0))</f>
        <v>1252</v>
      </c>
      <c r="K964" s="11">
        <f t="shared" si="30"/>
        <v>1252</v>
      </c>
      <c r="L964" s="12">
        <f>DATE(VALUE(RIGHT(Raw_Orders!E964,4)),VALUE(MID(Raw_Orders!E964,4,2)),VALUE(LEFT(Raw_Orders!E964,2)))</f>
        <v>44988</v>
      </c>
      <c r="M964" s="12">
        <f>DATE(VALUE(RIGHT(Raw_Orders!G964,4)),VALUE(MID(Raw_Orders!G964,4,2)),VALUE(LEFT(Raw_Orders!G964,2)))</f>
        <v>44991</v>
      </c>
      <c r="N964" s="7">
        <f t="shared" si="31"/>
        <v>3</v>
      </c>
      <c r="O964" s="7" t="str">
        <f>Raw_Orders!J964</f>
        <v>Holi</v>
      </c>
      <c r="P964" s="7" t="str">
        <f>Raw_Orders!I964</f>
        <v>Phagwara</v>
      </c>
    </row>
    <row r="965" spans="1:16">
      <c r="A965" s="7" t="str">
        <f>Raw_Orders!A965</f>
        <v>964</v>
      </c>
      <c r="B965" s="7" t="str">
        <f>Raw_Orders!B965</f>
        <v>C098</v>
      </c>
      <c r="C965" s="7" t="str">
        <f>INDEX(Raw_Customers!$B$2:$B$101,MATCH($B965,Raw_Customers!$A$2:$A$101,0))</f>
        <v>Navya Golla</v>
      </c>
      <c r="D965" s="7" t="str">
        <f>TRIM(INDEX(Raw_Customers!$C$2:$C$101,MATCH($B965,Raw_Customers!$A$2:$A$101,0)))</f>
        <v>Cuttack</v>
      </c>
      <c r="E965" s="7" t="str">
        <f>"+91-"&amp;RIGHT("0000000000"&amp;INDEX(Raw_Customers!$D$2:$D$101,MATCH($B965,Raw_Customers!$A$2:$A$101,0)),10)</f>
        <v>+91-4461213936</v>
      </c>
      <c r="F965" s="7" t="str">
        <f>Raw_Orders!C965</f>
        <v>32</v>
      </c>
      <c r="G965" s="7" t="str">
        <f>INDEX(Raw_Products!$B$2:$B$71,MATCH($F965,Raw_Products!$A$2:$A$71,0))</f>
        <v>Fuga Set</v>
      </c>
      <c r="H965" s="7" t="str">
        <f>INDEX(Raw_Products!$C$2:$C$71,MATCH($F965,Raw_Products!$A$2:$A$71,0))</f>
        <v>Soft Toys</v>
      </c>
      <c r="I965" s="7">
        <f>VALUE(Raw_Orders!D965)</f>
        <v>4</v>
      </c>
      <c r="J965" s="11" t="str">
        <f>INDEX(Raw_Products!$D$2:$D$71,MATCH($F965,Raw_Products!$A$2:$A$71,0))</f>
        <v>1792</v>
      </c>
      <c r="K965" s="11">
        <f t="shared" si="30"/>
        <v>7168</v>
      </c>
      <c r="L965" s="12">
        <f>DATE(VALUE(RIGHT(Raw_Orders!E965,4)),VALUE(MID(Raw_Orders!E965,4,2)),VALUE(LEFT(Raw_Orders!E965,2)))</f>
        <v>45218</v>
      </c>
      <c r="M965" s="12">
        <f>DATE(VALUE(RIGHT(Raw_Orders!G965,4)),VALUE(MID(Raw_Orders!G965,4,2)),VALUE(LEFT(Raw_Orders!G965,2)))</f>
        <v>45222</v>
      </c>
      <c r="N965" s="7">
        <f t="shared" si="31"/>
        <v>4</v>
      </c>
      <c r="O965" s="7" t="str">
        <f>Raw_Orders!J965</f>
        <v>Birthday</v>
      </c>
      <c r="P965" s="7" t="str">
        <f>Raw_Orders!I965</f>
        <v>Jammu</v>
      </c>
    </row>
    <row r="966" spans="1:16">
      <c r="A966" s="7" t="str">
        <f>Raw_Orders!A966</f>
        <v>965</v>
      </c>
      <c r="B966" s="7" t="str">
        <f>Raw_Orders!B966</f>
        <v>C080</v>
      </c>
      <c r="C966" s="7" t="str">
        <f>INDEX(Raw_Customers!$B$2:$B$101,MATCH($B966,Raw_Customers!$A$2:$A$101,0))</f>
        <v>Mohanlal Garde</v>
      </c>
      <c r="D966" s="7" t="str">
        <f>TRIM(INDEX(Raw_Customers!$C$2:$C$101,MATCH($B966,Raw_Customers!$A$2:$A$101,0)))</f>
        <v>Bhopal</v>
      </c>
      <c r="E966" s="7" t="str">
        <f>"+91-"&amp;RIGHT("0000000000"&amp;INDEX(Raw_Customers!$D$2:$D$101,MATCH($B966,Raw_Customers!$A$2:$A$101,0)),10)</f>
        <v>+91-8448890371</v>
      </c>
      <c r="F966" s="7" t="str">
        <f>Raw_Orders!C966</f>
        <v>62</v>
      </c>
      <c r="G966" s="7" t="str">
        <f>INDEX(Raw_Products!$B$2:$B$71,MATCH($F966,Raw_Products!$A$2:$A$71,0))</f>
        <v>Sed Set</v>
      </c>
      <c r="H966" s="7" t="str">
        <f>INDEX(Raw_Products!$C$2:$C$71,MATCH($F966,Raw_Products!$A$2:$A$71,0))</f>
        <v>Colors</v>
      </c>
      <c r="I966" s="7">
        <f>VALUE(Raw_Orders!D966)</f>
        <v>1</v>
      </c>
      <c r="J966" s="11" t="str">
        <f>INDEX(Raw_Products!$D$2:$D$71,MATCH($F966,Raw_Products!$A$2:$A$71,0))</f>
        <v>1356</v>
      </c>
      <c r="K966" s="11">
        <f t="shared" si="30"/>
        <v>1356</v>
      </c>
      <c r="L966" s="12">
        <f>DATE(VALUE(RIGHT(Raw_Orders!E966,4)),VALUE(MID(Raw_Orders!E966,4,2)),VALUE(LEFT(Raw_Orders!E966,2)))</f>
        <v>44987</v>
      </c>
      <c r="M966" s="12">
        <f>DATE(VALUE(RIGHT(Raw_Orders!G966,4)),VALUE(MID(Raw_Orders!G966,4,2)),VALUE(LEFT(Raw_Orders!G966,2)))</f>
        <v>44991</v>
      </c>
      <c r="N966" s="7">
        <f t="shared" si="31"/>
        <v>4</v>
      </c>
      <c r="O966" s="7" t="str">
        <f>Raw_Orders!J966</f>
        <v>Holi</v>
      </c>
      <c r="P966" s="7" t="str">
        <f>Raw_Orders!I966</f>
        <v>Amaravati</v>
      </c>
    </row>
    <row r="967" spans="1:16">
      <c r="A967" s="7" t="str">
        <f>Raw_Orders!A967</f>
        <v>966</v>
      </c>
      <c r="B967" s="7" t="str">
        <f>Raw_Orders!B967</f>
        <v>C061</v>
      </c>
      <c r="C967" s="7" t="str">
        <f>INDEX(Raw_Customers!$B$2:$B$101,MATCH($B967,Raw_Customers!$A$2:$A$101,0))</f>
        <v>Akarsh Ramesh</v>
      </c>
      <c r="D967" s="7" t="str">
        <f>TRIM(INDEX(Raw_Customers!$C$2:$C$101,MATCH($B967,Raw_Customers!$A$2:$A$101,0)))</f>
        <v>Kavali</v>
      </c>
      <c r="E967" s="7" t="str">
        <f>"+91-"&amp;RIGHT("0000000000"&amp;INDEX(Raw_Customers!$D$2:$D$101,MATCH($B967,Raw_Customers!$A$2:$A$101,0)),10)</f>
        <v>+91-4318554567</v>
      </c>
      <c r="F967" s="7" t="str">
        <f>Raw_Orders!C967</f>
        <v>13</v>
      </c>
      <c r="G967" s="7" t="str">
        <f>INDEX(Raw_Products!$B$2:$B$71,MATCH($F967,Raw_Products!$A$2:$A$71,0))</f>
        <v>Et Set</v>
      </c>
      <c r="H967" s="7" t="str">
        <f>INDEX(Raw_Products!$C$2:$C$71,MATCH($F967,Raw_Products!$A$2:$A$71,0))</f>
        <v>Mugs</v>
      </c>
      <c r="I967" s="7">
        <f>VALUE(Raw_Orders!D967)</f>
        <v>2</v>
      </c>
      <c r="J967" s="11" t="str">
        <f>INDEX(Raw_Products!$D$2:$D$71,MATCH($F967,Raw_Products!$A$2:$A$71,0))</f>
        <v>1141</v>
      </c>
      <c r="K967" s="11">
        <f t="shared" si="30"/>
        <v>2282</v>
      </c>
      <c r="L967" s="12">
        <f>DATE(VALUE(RIGHT(Raw_Orders!E967,4)),VALUE(MID(Raw_Orders!E967,4,2)),VALUE(LEFT(Raw_Orders!E967,2)))</f>
        <v>44986</v>
      </c>
      <c r="M967" s="12">
        <f>DATE(VALUE(RIGHT(Raw_Orders!G967,4)),VALUE(MID(Raw_Orders!G967,4,2)),VALUE(LEFT(Raw_Orders!G967,2)))</f>
        <v>44995</v>
      </c>
      <c r="N967" s="7">
        <f t="shared" si="31"/>
        <v>9</v>
      </c>
      <c r="O967" s="7" t="str">
        <f>Raw_Orders!J967</f>
        <v>Holi</v>
      </c>
      <c r="P967" s="7" t="str">
        <f>Raw_Orders!I967</f>
        <v>Nellore</v>
      </c>
    </row>
    <row r="968" spans="1:16">
      <c r="A968" s="7" t="str">
        <f>Raw_Orders!A968</f>
        <v>967</v>
      </c>
      <c r="B968" s="7" t="str">
        <f>Raw_Orders!B968</f>
        <v>C041</v>
      </c>
      <c r="C968" s="7" t="str">
        <f>INDEX(Raw_Customers!$B$2:$B$101,MATCH($B968,Raw_Customers!$A$2:$A$101,0))</f>
        <v>Rati Dhingra</v>
      </c>
      <c r="D968" s="7" t="str">
        <f>TRIM(INDEX(Raw_Customers!$C$2:$C$101,MATCH($B968,Raw_Customers!$A$2:$A$101,0)))</f>
        <v>Karaikudi</v>
      </c>
      <c r="E968" s="7" t="str">
        <f>"+91-"&amp;RIGHT("0000000000"&amp;INDEX(Raw_Customers!$D$2:$D$101,MATCH($B968,Raw_Customers!$A$2:$A$101,0)),10)</f>
        <v>+91-0625408216</v>
      </c>
      <c r="F968" s="7" t="str">
        <f>Raw_Orders!C968</f>
        <v>68</v>
      </c>
      <c r="G968" s="7" t="str">
        <f>INDEX(Raw_Products!$B$2:$B$71,MATCH($F968,Raw_Products!$A$2:$A$71,0))</f>
        <v>Quas Gift</v>
      </c>
      <c r="H968" s="7" t="str">
        <f>INDEX(Raw_Products!$C$2:$C$71,MATCH($F968,Raw_Products!$A$2:$A$71,0))</f>
        <v>Soft Toys</v>
      </c>
      <c r="I968" s="7">
        <f>VALUE(Raw_Orders!D968)</f>
        <v>4</v>
      </c>
      <c r="J968" s="11" t="str">
        <f>INDEX(Raw_Products!$D$2:$D$71,MATCH($F968,Raw_Products!$A$2:$A$71,0))</f>
        <v>597</v>
      </c>
      <c r="K968" s="11">
        <f t="shared" si="30"/>
        <v>2388</v>
      </c>
      <c r="L968" s="12">
        <f>DATE(VALUE(RIGHT(Raw_Orders!E968,4)),VALUE(MID(Raw_Orders!E968,4,2)),VALUE(LEFT(Raw_Orders!E968,2)))</f>
        <v>44969</v>
      </c>
      <c r="M968" s="12">
        <f>DATE(VALUE(RIGHT(Raw_Orders!G968,4)),VALUE(MID(Raw_Orders!G968,4,2)),VALUE(LEFT(Raw_Orders!G968,2)))</f>
        <v>44977</v>
      </c>
      <c r="N968" s="7">
        <f t="shared" si="31"/>
        <v>8</v>
      </c>
      <c r="O968" s="7" t="str">
        <f>Raw_Orders!J968</f>
        <v>Valentine's Day</v>
      </c>
      <c r="P968" s="7" t="str">
        <f>Raw_Orders!I968</f>
        <v>Siliguri</v>
      </c>
    </row>
    <row r="969" spans="1:16">
      <c r="A969" s="7" t="str">
        <f>Raw_Orders!A969</f>
        <v>968</v>
      </c>
      <c r="B969" s="7" t="str">
        <f>Raw_Orders!B969</f>
        <v>C002</v>
      </c>
      <c r="C969" s="7" t="str">
        <f>INDEX(Raw_Customers!$B$2:$B$101,MATCH($B969,Raw_Customers!$A$2:$A$101,0))</f>
        <v>Myra Edwin</v>
      </c>
      <c r="D969" s="7" t="str">
        <f>TRIM(INDEX(Raw_Customers!$C$2:$C$101,MATCH($B969,Raw_Customers!$A$2:$A$101,0)))</f>
        <v>Bulandshahr</v>
      </c>
      <c r="E969" s="7" t="str">
        <f>"+91-"&amp;RIGHT("0000000000"&amp;INDEX(Raw_Customers!$D$2:$D$101,MATCH($B969,Raw_Customers!$A$2:$A$101,0)),10)</f>
        <v>+91-8915420519</v>
      </c>
      <c r="F969" s="7" t="str">
        <f>Raw_Orders!C969</f>
        <v>9</v>
      </c>
      <c r="G969" s="7" t="str">
        <f>INDEX(Raw_Products!$B$2:$B$71,MATCH($F969,Raw_Products!$A$2:$A$71,0))</f>
        <v>Aperiam Box</v>
      </c>
      <c r="H969" s="7" t="str">
        <f>INDEX(Raw_Products!$C$2:$C$71,MATCH($F969,Raw_Products!$A$2:$A$71,0))</f>
        <v>Colors</v>
      </c>
      <c r="I969" s="7">
        <f>VALUE(Raw_Orders!D969)</f>
        <v>2</v>
      </c>
      <c r="J969" s="11" t="str">
        <f>INDEX(Raw_Products!$D$2:$D$71,MATCH($F969,Raw_Products!$A$2:$A$71,0))</f>
        <v>1605</v>
      </c>
      <c r="K969" s="11">
        <f t="shared" si="30"/>
        <v>3210</v>
      </c>
      <c r="L969" s="12">
        <f>DATE(VALUE(RIGHT(Raw_Orders!E969,4)),VALUE(MID(Raw_Orders!E969,4,2)),VALUE(LEFT(Raw_Orders!E969,2)))</f>
        <v>45163</v>
      </c>
      <c r="M969" s="12">
        <f>DATE(VALUE(RIGHT(Raw_Orders!G969,4)),VALUE(MID(Raw_Orders!G969,4,2)),VALUE(LEFT(Raw_Orders!G969,2)))</f>
        <v>45170</v>
      </c>
      <c r="N969" s="7">
        <f t="shared" si="31"/>
        <v>7</v>
      </c>
      <c r="O969" s="7" t="str">
        <f>Raw_Orders!J969</f>
        <v>Raksha Bandhan</v>
      </c>
      <c r="P969" s="7" t="str">
        <f>Raw_Orders!I969</f>
        <v>Jaunpur</v>
      </c>
    </row>
    <row r="970" spans="1:16">
      <c r="A970" s="7" t="str">
        <f>Raw_Orders!A970</f>
        <v>969</v>
      </c>
      <c r="B970" s="7" t="str">
        <f>Raw_Orders!B970</f>
        <v>C004</v>
      </c>
      <c r="C970" s="7" t="str">
        <f>INDEX(Raw_Customers!$B$2:$B$101,MATCH($B970,Raw_Customers!$A$2:$A$101,0))</f>
        <v>Tarini Bava</v>
      </c>
      <c r="D970" s="7" t="str">
        <f>TRIM(INDEX(Raw_Customers!$C$2:$C$101,MATCH($B970,Raw_Customers!$A$2:$A$101,0)))</f>
        <v>Miryalaguda</v>
      </c>
      <c r="E970" s="7" t="str">
        <f>"+91-"&amp;RIGHT("0000000000"&amp;INDEX(Raw_Customers!$D$2:$D$101,MATCH($B970,Raw_Customers!$A$2:$A$101,0)),10)</f>
        <v>+91-7232349928</v>
      </c>
      <c r="F970" s="7" t="str">
        <f>Raw_Orders!C970</f>
        <v>42</v>
      </c>
      <c r="G970" s="7" t="str">
        <f>INDEX(Raw_Products!$B$2:$B$71,MATCH($F970,Raw_Products!$A$2:$A$71,0))</f>
        <v>Expedita Gift</v>
      </c>
      <c r="H970" s="7" t="str">
        <f>INDEX(Raw_Products!$C$2:$C$71,MATCH($F970,Raw_Products!$A$2:$A$71,0))</f>
        <v>Sweets</v>
      </c>
      <c r="I970" s="7">
        <f>VALUE(Raw_Orders!D970)</f>
        <v>4</v>
      </c>
      <c r="J970" s="11" t="str">
        <f>INDEX(Raw_Products!$D$2:$D$71,MATCH($F970,Raw_Products!$A$2:$A$71,0))</f>
        <v>1744</v>
      </c>
      <c r="K970" s="11">
        <f t="shared" si="30"/>
        <v>6976</v>
      </c>
      <c r="L970" s="12">
        <f>DATE(VALUE(RIGHT(Raw_Orders!E970,4)),VALUE(MID(Raw_Orders!E970,4,2)),VALUE(LEFT(Raw_Orders!E970,2)))</f>
        <v>45168</v>
      </c>
      <c r="M970" s="12">
        <f>DATE(VALUE(RIGHT(Raw_Orders!G970,4)),VALUE(MID(Raw_Orders!G970,4,2)),VALUE(LEFT(Raw_Orders!G970,2)))</f>
        <v>45172</v>
      </c>
      <c r="N970" s="7">
        <f t="shared" si="31"/>
        <v>4</v>
      </c>
      <c r="O970" s="7" t="str">
        <f>Raw_Orders!J970</f>
        <v>All Occasions</v>
      </c>
      <c r="P970" s="7" t="str">
        <f>Raw_Orders!I970</f>
        <v>Khammam</v>
      </c>
    </row>
    <row r="971" spans="1:16">
      <c r="A971" s="7" t="str">
        <f>Raw_Orders!A971</f>
        <v>970</v>
      </c>
      <c r="B971" s="7" t="str">
        <f>Raw_Orders!B971</f>
        <v>C020</v>
      </c>
      <c r="C971" s="7" t="str">
        <f>INDEX(Raw_Customers!$B$2:$B$101,MATCH($B971,Raw_Customers!$A$2:$A$101,0))</f>
        <v>Samaira Ganesh</v>
      </c>
      <c r="D971" s="7" t="str">
        <f>TRIM(INDEX(Raw_Customers!$C$2:$C$101,MATCH($B971,Raw_Customers!$A$2:$A$101,0)))</f>
        <v>Machilipatnam</v>
      </c>
      <c r="E971" s="7" t="str">
        <f>"+91-"&amp;RIGHT("0000000000"&amp;INDEX(Raw_Customers!$D$2:$D$101,MATCH($B971,Raw_Customers!$A$2:$A$101,0)),10)</f>
        <v>+91-1731643700</v>
      </c>
      <c r="F971" s="7" t="str">
        <f>Raw_Orders!C971</f>
        <v>54</v>
      </c>
      <c r="G971" s="7" t="str">
        <f>INDEX(Raw_Products!$B$2:$B$71,MATCH($F971,Raw_Products!$A$2:$A$71,0))</f>
        <v>Occaecati Gift</v>
      </c>
      <c r="H971" s="7" t="str">
        <f>INDEX(Raw_Products!$C$2:$C$71,MATCH($F971,Raw_Products!$A$2:$A$71,0))</f>
        <v>Cake</v>
      </c>
      <c r="I971" s="7">
        <f>VALUE(Raw_Orders!D971)</f>
        <v>4</v>
      </c>
      <c r="J971" s="11" t="str">
        <f>INDEX(Raw_Products!$D$2:$D$71,MATCH($F971,Raw_Products!$A$2:$A$71,0))</f>
        <v>1236</v>
      </c>
      <c r="K971" s="11">
        <f t="shared" si="30"/>
        <v>4944</v>
      </c>
      <c r="L971" s="12">
        <f>DATE(VALUE(RIGHT(Raw_Orders!E971,4)),VALUE(MID(Raw_Orders!E971,4,2)),VALUE(LEFT(Raw_Orders!E971,2)))</f>
        <v>45029</v>
      </c>
      <c r="M971" s="12">
        <f>DATE(VALUE(RIGHT(Raw_Orders!G971,4)),VALUE(MID(Raw_Orders!G971,4,2)),VALUE(LEFT(Raw_Orders!G971,2)))</f>
        <v>45037</v>
      </c>
      <c r="N971" s="7">
        <f t="shared" si="31"/>
        <v>8</v>
      </c>
      <c r="O971" s="7" t="str">
        <f>Raw_Orders!J971</f>
        <v>Anniversary</v>
      </c>
      <c r="P971" s="7" t="str">
        <f>Raw_Orders!I971</f>
        <v>Siliguri</v>
      </c>
    </row>
    <row r="972" spans="1:16">
      <c r="A972" s="7" t="str">
        <f>Raw_Orders!A972</f>
        <v>971</v>
      </c>
      <c r="B972" s="7" t="str">
        <f>Raw_Orders!B972</f>
        <v>C027</v>
      </c>
      <c r="C972" s="7" t="str">
        <f>INDEX(Raw_Customers!$B$2:$B$101,MATCH($B972,Raw_Customers!$A$2:$A$101,0))</f>
        <v>Kashvi Sur</v>
      </c>
      <c r="D972" s="7" t="str">
        <f>TRIM(INDEX(Raw_Customers!$C$2:$C$101,MATCH($B972,Raw_Customers!$A$2:$A$101,0)))</f>
        <v>Serampore</v>
      </c>
      <c r="E972" s="7" t="str">
        <f>"+91-"&amp;RIGHT("0000000000"&amp;INDEX(Raw_Customers!$D$2:$D$101,MATCH($B972,Raw_Customers!$A$2:$A$101,0)),10)</f>
        <v>+91-3431035116</v>
      </c>
      <c r="F972" s="7" t="str">
        <f>Raw_Orders!C972</f>
        <v>47</v>
      </c>
      <c r="G972" s="7" t="str">
        <f>INDEX(Raw_Products!$B$2:$B$71,MATCH($F972,Raw_Products!$A$2:$A$71,0))</f>
        <v>Harum Pack</v>
      </c>
      <c r="H972" s="7" t="str">
        <f>INDEX(Raw_Products!$C$2:$C$71,MATCH($F972,Raw_Products!$A$2:$A$71,0))</f>
        <v>Colors</v>
      </c>
      <c r="I972" s="7">
        <f>VALUE(Raw_Orders!D972)</f>
        <v>1</v>
      </c>
      <c r="J972" s="11" t="str">
        <f>INDEX(Raw_Products!$D$2:$D$71,MATCH($F972,Raw_Products!$A$2:$A$71,0))</f>
        <v>1638</v>
      </c>
      <c r="K972" s="11">
        <f t="shared" si="30"/>
        <v>1638</v>
      </c>
      <c r="L972" s="12">
        <f>DATE(VALUE(RIGHT(Raw_Orders!E972,4)),VALUE(MID(Raw_Orders!E972,4,2)),VALUE(LEFT(Raw_Orders!E972,2)))</f>
        <v>44987</v>
      </c>
      <c r="M972" s="12">
        <f>DATE(VALUE(RIGHT(Raw_Orders!G972,4)),VALUE(MID(Raw_Orders!G972,4,2)),VALUE(LEFT(Raw_Orders!G972,2)))</f>
        <v>44995</v>
      </c>
      <c r="N972" s="7">
        <f t="shared" si="31"/>
        <v>8</v>
      </c>
      <c r="O972" s="7" t="str">
        <f>Raw_Orders!J972</f>
        <v>Holi</v>
      </c>
      <c r="P972" s="7" t="str">
        <f>Raw_Orders!I972</f>
        <v>Sultan Pur Majra</v>
      </c>
    </row>
    <row r="973" spans="1:16">
      <c r="A973" s="7" t="str">
        <f>Raw_Orders!A973</f>
        <v>972</v>
      </c>
      <c r="B973" s="7" t="str">
        <f>Raw_Orders!B973</f>
        <v>C026</v>
      </c>
      <c r="C973" s="7" t="str">
        <f>INDEX(Raw_Customers!$B$2:$B$101,MATCH($B973,Raw_Customers!$A$2:$A$101,0))</f>
        <v>Ira Chahal</v>
      </c>
      <c r="D973" s="7" t="str">
        <f>TRIM(INDEX(Raw_Customers!$C$2:$C$101,MATCH($B973,Raw_Customers!$A$2:$A$101,0)))</f>
        <v>Farrukhabad</v>
      </c>
      <c r="E973" s="7" t="str">
        <f>"+91-"&amp;RIGHT("0000000000"&amp;INDEX(Raw_Customers!$D$2:$D$101,MATCH($B973,Raw_Customers!$A$2:$A$101,0)),10)</f>
        <v>+91-8716483532</v>
      </c>
      <c r="F973" s="7" t="str">
        <f>Raw_Orders!C973</f>
        <v>30</v>
      </c>
      <c r="G973" s="7" t="str">
        <f>INDEX(Raw_Products!$B$2:$B$71,MATCH($F973,Raw_Products!$A$2:$A$71,0))</f>
        <v>Recusandae Pack</v>
      </c>
      <c r="H973" s="7" t="str">
        <f>INDEX(Raw_Products!$C$2:$C$71,MATCH($F973,Raw_Products!$A$2:$A$71,0))</f>
        <v>Colors</v>
      </c>
      <c r="I973" s="7">
        <f>VALUE(Raw_Orders!D973)</f>
        <v>2</v>
      </c>
      <c r="J973" s="11" t="str">
        <f>INDEX(Raw_Products!$D$2:$D$71,MATCH($F973,Raw_Products!$A$2:$A$71,0))</f>
        <v>751</v>
      </c>
      <c r="K973" s="11">
        <f t="shared" si="30"/>
        <v>1502</v>
      </c>
      <c r="L973" s="12">
        <f>DATE(VALUE(RIGHT(Raw_Orders!E973,4)),VALUE(MID(Raw_Orders!E973,4,2)),VALUE(LEFT(Raw_Orders!E973,2)))</f>
        <v>45046</v>
      </c>
      <c r="M973" s="12">
        <f>DATE(VALUE(RIGHT(Raw_Orders!G973,4)),VALUE(MID(Raw_Orders!G973,4,2)),VALUE(LEFT(Raw_Orders!G973,2)))</f>
        <v>45048</v>
      </c>
      <c r="N973" s="7">
        <f t="shared" si="31"/>
        <v>2</v>
      </c>
      <c r="O973" s="7" t="str">
        <f>Raw_Orders!J973</f>
        <v>Anniversary</v>
      </c>
      <c r="P973" s="7" t="str">
        <f>Raw_Orders!I973</f>
        <v>Ujjain</v>
      </c>
    </row>
    <row r="974" spans="1:16">
      <c r="A974" s="7" t="str">
        <f>Raw_Orders!A974</f>
        <v>973</v>
      </c>
      <c r="B974" s="7" t="str">
        <f>Raw_Orders!B974</f>
        <v>C031</v>
      </c>
      <c r="C974" s="7" t="str">
        <f>INDEX(Raw_Customers!$B$2:$B$101,MATCH($B974,Raw_Customers!$A$2:$A$101,0))</f>
        <v>Madhup Wable</v>
      </c>
      <c r="D974" s="7" t="str">
        <f>TRIM(INDEX(Raw_Customers!$C$2:$C$101,MATCH($B974,Raw_Customers!$A$2:$A$101,0)))</f>
        <v>Sasaram</v>
      </c>
      <c r="E974" s="7" t="str">
        <f>"+91-"&amp;RIGHT("0000000000"&amp;INDEX(Raw_Customers!$D$2:$D$101,MATCH($B974,Raw_Customers!$A$2:$A$101,0)),10)</f>
        <v>+91-0135745753</v>
      </c>
      <c r="F974" s="7" t="str">
        <f>Raw_Orders!C974</f>
        <v>66</v>
      </c>
      <c r="G974" s="7" t="str">
        <f>INDEX(Raw_Products!$B$2:$B$71,MATCH($F974,Raw_Products!$A$2:$A$71,0))</f>
        <v>Quas Box</v>
      </c>
      <c r="H974" s="7" t="str">
        <f>INDEX(Raw_Products!$C$2:$C$71,MATCH($F974,Raw_Products!$A$2:$A$71,0))</f>
        <v>Colors</v>
      </c>
      <c r="I974" s="7">
        <f>VALUE(Raw_Orders!D974)</f>
        <v>3</v>
      </c>
      <c r="J974" s="11" t="str">
        <f>INDEX(Raw_Products!$D$2:$D$71,MATCH($F974,Raw_Products!$A$2:$A$71,0))</f>
        <v>610</v>
      </c>
      <c r="K974" s="11">
        <f t="shared" si="30"/>
        <v>1830</v>
      </c>
      <c r="L974" s="12">
        <f>DATE(VALUE(RIGHT(Raw_Orders!E974,4)),VALUE(MID(Raw_Orders!E974,4,2)),VALUE(LEFT(Raw_Orders!E974,2)))</f>
        <v>44983</v>
      </c>
      <c r="M974" s="12">
        <f>DATE(VALUE(RIGHT(Raw_Orders!G974,4)),VALUE(MID(Raw_Orders!G974,4,2)),VALUE(LEFT(Raw_Orders!G974,2)))</f>
        <v>44992</v>
      </c>
      <c r="N974" s="7">
        <f t="shared" si="31"/>
        <v>9</v>
      </c>
      <c r="O974" s="7" t="str">
        <f>Raw_Orders!J974</f>
        <v>Holi</v>
      </c>
      <c r="P974" s="7" t="str">
        <f>Raw_Orders!I974</f>
        <v>Barasat</v>
      </c>
    </row>
    <row r="975" spans="1:16">
      <c r="A975" s="7" t="str">
        <f>Raw_Orders!A975</f>
        <v>974</v>
      </c>
      <c r="B975" s="7" t="str">
        <f>Raw_Orders!B975</f>
        <v>C014</v>
      </c>
      <c r="C975" s="7" t="str">
        <f>INDEX(Raw_Customers!$B$2:$B$101,MATCH($B975,Raw_Customers!$A$2:$A$101,0))</f>
        <v>Indrans Shukla</v>
      </c>
      <c r="D975" s="7" t="str">
        <f>TRIM(INDEX(Raw_Customers!$C$2:$C$101,MATCH($B975,Raw_Customers!$A$2:$A$101,0)))</f>
        <v>Panvel</v>
      </c>
      <c r="E975" s="7" t="str">
        <f>"+91-"&amp;RIGHT("0000000000"&amp;INDEX(Raw_Customers!$D$2:$D$101,MATCH($B975,Raw_Customers!$A$2:$A$101,0)),10)</f>
        <v>+91-2717671919</v>
      </c>
      <c r="F975" s="7" t="str">
        <f>Raw_Orders!C975</f>
        <v>17</v>
      </c>
      <c r="G975" s="7" t="str">
        <f>INDEX(Raw_Products!$B$2:$B$71,MATCH($F975,Raw_Products!$A$2:$A$71,0))</f>
        <v>Delectus Gift</v>
      </c>
      <c r="H975" s="7" t="str">
        <f>INDEX(Raw_Products!$C$2:$C$71,MATCH($F975,Raw_Products!$A$2:$A$71,0))</f>
        <v>Soft Toys</v>
      </c>
      <c r="I975" s="7">
        <f>VALUE(Raw_Orders!D975)</f>
        <v>4</v>
      </c>
      <c r="J975" s="11" t="str">
        <f>INDEX(Raw_Products!$D$2:$D$71,MATCH($F975,Raw_Products!$A$2:$A$71,0))</f>
        <v>1899</v>
      </c>
      <c r="K975" s="11">
        <f t="shared" si="30"/>
        <v>7596</v>
      </c>
      <c r="L975" s="12">
        <f>DATE(VALUE(RIGHT(Raw_Orders!E975,4)),VALUE(MID(Raw_Orders!E975,4,2)),VALUE(LEFT(Raw_Orders!E975,2)))</f>
        <v>45234</v>
      </c>
      <c r="M975" s="12">
        <f>DATE(VALUE(RIGHT(Raw_Orders!G975,4)),VALUE(MID(Raw_Orders!G975,4,2)),VALUE(LEFT(Raw_Orders!G975,2)))</f>
        <v>45237</v>
      </c>
      <c r="N975" s="7">
        <f t="shared" si="31"/>
        <v>3</v>
      </c>
      <c r="O975" s="7" t="str">
        <f>Raw_Orders!J975</f>
        <v>Anniversary</v>
      </c>
      <c r="P975" s="7" t="str">
        <f>Raw_Orders!I975</f>
        <v>Pallavaram</v>
      </c>
    </row>
    <row r="976" spans="1:16">
      <c r="A976" s="7" t="str">
        <f>Raw_Orders!A976</f>
        <v>975</v>
      </c>
      <c r="B976" s="7" t="str">
        <f>Raw_Orders!B976</f>
        <v>C077</v>
      </c>
      <c r="C976" s="7" t="str">
        <f>INDEX(Raw_Customers!$B$2:$B$101,MATCH($B976,Raw_Customers!$A$2:$A$101,0))</f>
        <v>Gokul Ahluwalia</v>
      </c>
      <c r="D976" s="7" t="str">
        <f>TRIM(INDEX(Raw_Customers!$C$2:$C$101,MATCH($B976,Raw_Customers!$A$2:$A$101,0)))</f>
        <v>Panchkula</v>
      </c>
      <c r="E976" s="7" t="str">
        <f>"+91-"&amp;RIGHT("0000000000"&amp;INDEX(Raw_Customers!$D$2:$D$101,MATCH($B976,Raw_Customers!$A$2:$A$101,0)),10)</f>
        <v>+91-0413737551</v>
      </c>
      <c r="F976" s="7" t="str">
        <f>Raw_Orders!C976</f>
        <v>62</v>
      </c>
      <c r="G976" s="7" t="str">
        <f>INDEX(Raw_Products!$B$2:$B$71,MATCH($F976,Raw_Products!$A$2:$A$71,0))</f>
        <v>Sed Set</v>
      </c>
      <c r="H976" s="7" t="str">
        <f>INDEX(Raw_Products!$C$2:$C$71,MATCH($F976,Raw_Products!$A$2:$A$71,0))</f>
        <v>Colors</v>
      </c>
      <c r="I976" s="7">
        <f>VALUE(Raw_Orders!D976)</f>
        <v>2</v>
      </c>
      <c r="J976" s="11" t="str">
        <f>INDEX(Raw_Products!$D$2:$D$71,MATCH($F976,Raw_Products!$A$2:$A$71,0))</f>
        <v>1356</v>
      </c>
      <c r="K976" s="11">
        <f t="shared" si="30"/>
        <v>2712</v>
      </c>
      <c r="L976" s="12">
        <f>DATE(VALUE(RIGHT(Raw_Orders!E976,4)),VALUE(MID(Raw_Orders!E976,4,2)),VALUE(LEFT(Raw_Orders!E976,2)))</f>
        <v>44989</v>
      </c>
      <c r="M976" s="12">
        <f>DATE(VALUE(RIGHT(Raw_Orders!G976,4)),VALUE(MID(Raw_Orders!G976,4,2)),VALUE(LEFT(Raw_Orders!G976,2)))</f>
        <v>44997</v>
      </c>
      <c r="N976" s="7">
        <f t="shared" si="31"/>
        <v>8</v>
      </c>
      <c r="O976" s="7" t="str">
        <f>Raw_Orders!J976</f>
        <v>Holi</v>
      </c>
      <c r="P976" s="7" t="str">
        <f>Raw_Orders!I976</f>
        <v>Sultan Pur Majra</v>
      </c>
    </row>
    <row r="977" spans="1:16">
      <c r="A977" s="7" t="str">
        <f>Raw_Orders!A977</f>
        <v>976</v>
      </c>
      <c r="B977" s="7" t="str">
        <f>Raw_Orders!B977</f>
        <v>C017</v>
      </c>
      <c r="C977" s="7" t="str">
        <f>INDEX(Raw_Customers!$B$2:$B$101,MATCH($B977,Raw_Customers!$A$2:$A$101,0))</f>
        <v>Advika Dhar</v>
      </c>
      <c r="D977" s="7" t="str">
        <f>TRIM(INDEX(Raw_Customers!$C$2:$C$101,MATCH($B977,Raw_Customers!$A$2:$A$101,0)))</f>
        <v>Gangtok</v>
      </c>
      <c r="E977" s="7" t="str">
        <f>"+91-"&amp;RIGHT("0000000000"&amp;INDEX(Raw_Customers!$D$2:$D$101,MATCH($B977,Raw_Customers!$A$2:$A$101,0)),10)</f>
        <v>+91-2738556486</v>
      </c>
      <c r="F977" s="7" t="str">
        <f>Raw_Orders!C977</f>
        <v>17</v>
      </c>
      <c r="G977" s="7" t="str">
        <f>INDEX(Raw_Products!$B$2:$B$71,MATCH($F977,Raw_Products!$A$2:$A$71,0))</f>
        <v>Delectus Gift</v>
      </c>
      <c r="H977" s="7" t="str">
        <f>INDEX(Raw_Products!$C$2:$C$71,MATCH($F977,Raw_Products!$A$2:$A$71,0))</f>
        <v>Soft Toys</v>
      </c>
      <c r="I977" s="7">
        <f>VALUE(Raw_Orders!D977)</f>
        <v>2</v>
      </c>
      <c r="J977" s="11" t="str">
        <f>INDEX(Raw_Products!$D$2:$D$71,MATCH($F977,Raw_Products!$A$2:$A$71,0))</f>
        <v>1899</v>
      </c>
      <c r="K977" s="11">
        <f t="shared" si="30"/>
        <v>3798</v>
      </c>
      <c r="L977" s="12">
        <f>DATE(VALUE(RIGHT(Raw_Orders!E977,4)),VALUE(MID(Raw_Orders!E977,4,2)),VALUE(LEFT(Raw_Orders!E977,2)))</f>
        <v>45065</v>
      </c>
      <c r="M977" s="12">
        <f>DATE(VALUE(RIGHT(Raw_Orders!G977,4)),VALUE(MID(Raw_Orders!G977,4,2)),VALUE(LEFT(Raw_Orders!G977,2)))</f>
        <v>45066</v>
      </c>
      <c r="N977" s="7">
        <f t="shared" si="31"/>
        <v>1</v>
      </c>
      <c r="O977" s="7" t="str">
        <f>Raw_Orders!J977</f>
        <v>Anniversary</v>
      </c>
      <c r="P977" s="7" t="str">
        <f>Raw_Orders!I977</f>
        <v>Raichur</v>
      </c>
    </row>
    <row r="978" spans="1:16">
      <c r="A978" s="7" t="str">
        <f>Raw_Orders!A978</f>
        <v>977</v>
      </c>
      <c r="B978" s="7" t="str">
        <f>Raw_Orders!B978</f>
        <v>C005</v>
      </c>
      <c r="C978" s="7" t="str">
        <f>INDEX(Raw_Customers!$B$2:$B$101,MATCH($B978,Raw_Customers!$A$2:$A$101,0))</f>
        <v>Hiran Kaul</v>
      </c>
      <c r="D978" s="7" t="str">
        <f>TRIM(INDEX(Raw_Customers!$C$2:$C$101,MATCH($B978,Raw_Customers!$A$2:$A$101,0)))</f>
        <v>Kottayam</v>
      </c>
      <c r="E978" s="7" t="str">
        <f>"+91-"&amp;RIGHT("0000000000"&amp;INDEX(Raw_Customers!$D$2:$D$101,MATCH($B978,Raw_Customers!$A$2:$A$101,0)),10)</f>
        <v>+91-2207644242</v>
      </c>
      <c r="F978" s="7" t="str">
        <f>Raw_Orders!C978</f>
        <v>47</v>
      </c>
      <c r="G978" s="7" t="str">
        <f>INDEX(Raw_Products!$B$2:$B$71,MATCH($F978,Raw_Products!$A$2:$A$71,0))</f>
        <v>Harum Pack</v>
      </c>
      <c r="H978" s="7" t="str">
        <f>INDEX(Raw_Products!$C$2:$C$71,MATCH($F978,Raw_Products!$A$2:$A$71,0))</f>
        <v>Colors</v>
      </c>
      <c r="I978" s="7">
        <f>VALUE(Raw_Orders!D978)</f>
        <v>2</v>
      </c>
      <c r="J978" s="11" t="str">
        <f>INDEX(Raw_Products!$D$2:$D$71,MATCH($F978,Raw_Products!$A$2:$A$71,0))</f>
        <v>1638</v>
      </c>
      <c r="K978" s="11">
        <f t="shared" si="30"/>
        <v>3276</v>
      </c>
      <c r="L978" s="12">
        <f>DATE(VALUE(RIGHT(Raw_Orders!E978,4)),VALUE(MID(Raw_Orders!E978,4,2)),VALUE(LEFT(Raw_Orders!E978,2)))</f>
        <v>44990</v>
      </c>
      <c r="M978" s="12">
        <f>DATE(VALUE(RIGHT(Raw_Orders!G978,4)),VALUE(MID(Raw_Orders!G978,4,2)),VALUE(LEFT(Raw_Orders!G978,2)))</f>
        <v>44992</v>
      </c>
      <c r="N978" s="7">
        <f t="shared" si="31"/>
        <v>2</v>
      </c>
      <c r="O978" s="7" t="str">
        <f>Raw_Orders!J978</f>
        <v>Holi</v>
      </c>
      <c r="P978" s="7" t="str">
        <f>Raw_Orders!I978</f>
        <v>Rajpur Sonarpur</v>
      </c>
    </row>
    <row r="979" spans="1:16">
      <c r="A979" s="7" t="str">
        <f>Raw_Orders!A979</f>
        <v>978</v>
      </c>
      <c r="B979" s="7" t="str">
        <f>Raw_Orders!B979</f>
        <v>C019</v>
      </c>
      <c r="C979" s="7" t="str">
        <f>INDEX(Raw_Customers!$B$2:$B$101,MATCH($B979,Raw_Customers!$A$2:$A$101,0))</f>
        <v>Amira Sengupta</v>
      </c>
      <c r="D979" s="7" t="str">
        <f>TRIM(INDEX(Raw_Customers!$C$2:$C$101,MATCH($B979,Raw_Customers!$A$2:$A$101,0)))</f>
        <v>Danapur</v>
      </c>
      <c r="E979" s="7" t="str">
        <f>"+91-"&amp;RIGHT("0000000000"&amp;INDEX(Raw_Customers!$D$2:$D$101,MATCH($B979,Raw_Customers!$A$2:$A$101,0)),10)</f>
        <v>+91-4513393592</v>
      </c>
      <c r="F979" s="7" t="str">
        <f>Raw_Orders!C979</f>
        <v>29</v>
      </c>
      <c r="G979" s="7" t="str">
        <f>INDEX(Raw_Products!$B$2:$B$71,MATCH($F979,Raw_Products!$A$2:$A$71,0))</f>
        <v>In Set</v>
      </c>
      <c r="H979" s="7" t="str">
        <f>INDEX(Raw_Products!$C$2:$C$71,MATCH($F979,Raw_Products!$A$2:$A$71,0))</f>
        <v>Colors</v>
      </c>
      <c r="I979" s="7">
        <f>VALUE(Raw_Orders!D979)</f>
        <v>4</v>
      </c>
      <c r="J979" s="11" t="str">
        <f>INDEX(Raw_Products!$D$2:$D$71,MATCH($F979,Raw_Products!$A$2:$A$71,0))</f>
        <v>1252</v>
      </c>
      <c r="K979" s="11">
        <f t="shared" si="30"/>
        <v>5008</v>
      </c>
      <c r="L979" s="12">
        <f>DATE(VALUE(RIGHT(Raw_Orders!E979,4)),VALUE(MID(Raw_Orders!E979,4,2)),VALUE(LEFT(Raw_Orders!E979,2)))</f>
        <v>44985</v>
      </c>
      <c r="M979" s="12">
        <f>DATE(VALUE(RIGHT(Raw_Orders!G979,4)),VALUE(MID(Raw_Orders!G979,4,2)),VALUE(LEFT(Raw_Orders!G979,2)))</f>
        <v>44994</v>
      </c>
      <c r="N979" s="7">
        <f t="shared" si="31"/>
        <v>9</v>
      </c>
      <c r="O979" s="7" t="str">
        <f>Raw_Orders!J979</f>
        <v>Holi</v>
      </c>
      <c r="P979" s="7" t="str">
        <f>Raw_Orders!I979</f>
        <v>Barasat</v>
      </c>
    </row>
    <row r="980" spans="1:16">
      <c r="A980" s="7" t="str">
        <f>Raw_Orders!A980</f>
        <v>979</v>
      </c>
      <c r="B980" s="7" t="str">
        <f>Raw_Orders!B980</f>
        <v>C030</v>
      </c>
      <c r="C980" s="7" t="str">
        <f>INDEX(Raw_Customers!$B$2:$B$101,MATCH($B980,Raw_Customers!$A$2:$A$101,0))</f>
        <v>Vardaniya Contractor</v>
      </c>
      <c r="D980" s="7" t="str">
        <f>TRIM(INDEX(Raw_Customers!$C$2:$C$101,MATCH($B980,Raw_Customers!$A$2:$A$101,0)))</f>
        <v>Sambhal</v>
      </c>
      <c r="E980" s="7" t="str">
        <f>"+91-"&amp;RIGHT("0000000000"&amp;INDEX(Raw_Customers!$D$2:$D$101,MATCH($B980,Raw_Customers!$A$2:$A$101,0)),10)</f>
        <v>+91-9972300876</v>
      </c>
      <c r="F980" s="7" t="str">
        <f>Raw_Orders!C980</f>
        <v>9</v>
      </c>
      <c r="G980" s="7" t="str">
        <f>INDEX(Raw_Products!$B$2:$B$71,MATCH($F980,Raw_Products!$A$2:$A$71,0))</f>
        <v>Aperiam Box</v>
      </c>
      <c r="H980" s="7" t="str">
        <f>INDEX(Raw_Products!$C$2:$C$71,MATCH($F980,Raw_Products!$A$2:$A$71,0))</f>
        <v>Colors</v>
      </c>
      <c r="I980" s="7">
        <f>VALUE(Raw_Orders!D980)</f>
        <v>4</v>
      </c>
      <c r="J980" s="11" t="str">
        <f>INDEX(Raw_Products!$D$2:$D$71,MATCH($F980,Raw_Products!$A$2:$A$71,0))</f>
        <v>1605</v>
      </c>
      <c r="K980" s="11">
        <f t="shared" si="30"/>
        <v>6420</v>
      </c>
      <c r="L980" s="12">
        <f>DATE(VALUE(RIGHT(Raw_Orders!E980,4)),VALUE(MID(Raw_Orders!E980,4,2)),VALUE(LEFT(Raw_Orders!E980,2)))</f>
        <v>45166</v>
      </c>
      <c r="M980" s="12">
        <f>DATE(VALUE(RIGHT(Raw_Orders!G980,4)),VALUE(MID(Raw_Orders!G980,4,2)),VALUE(LEFT(Raw_Orders!G980,2)))</f>
        <v>45169</v>
      </c>
      <c r="N980" s="7">
        <f t="shared" si="31"/>
        <v>3</v>
      </c>
      <c r="O980" s="7" t="str">
        <f>Raw_Orders!J980</f>
        <v>Raksha Bandhan</v>
      </c>
      <c r="P980" s="7" t="str">
        <f>Raw_Orders!I980</f>
        <v>Adoni</v>
      </c>
    </row>
    <row r="981" spans="1:16">
      <c r="A981" s="7" t="str">
        <f>Raw_Orders!A981</f>
        <v>980</v>
      </c>
      <c r="B981" s="7" t="str">
        <f>Raw_Orders!B981</f>
        <v>C067</v>
      </c>
      <c r="C981" s="7" t="str">
        <f>INDEX(Raw_Customers!$B$2:$B$101,MATCH($B981,Raw_Customers!$A$2:$A$101,0))</f>
        <v>Eva Sankaran</v>
      </c>
      <c r="D981" s="7" t="str">
        <f>TRIM(INDEX(Raw_Customers!$C$2:$C$101,MATCH($B981,Raw_Customers!$A$2:$A$101,0)))</f>
        <v>Anand</v>
      </c>
      <c r="E981" s="7" t="str">
        <f>"+91-"&amp;RIGHT("0000000000"&amp;INDEX(Raw_Customers!$D$2:$D$101,MATCH($B981,Raw_Customers!$A$2:$A$101,0)),10)</f>
        <v>+91-0407409251</v>
      </c>
      <c r="F981" s="7" t="str">
        <f>Raw_Orders!C981</f>
        <v>12</v>
      </c>
      <c r="G981" s="7" t="str">
        <f>INDEX(Raw_Products!$B$2:$B$71,MATCH($F981,Raw_Products!$A$2:$A$71,0))</f>
        <v>Non Set</v>
      </c>
      <c r="H981" s="7" t="str">
        <f>INDEX(Raw_Products!$C$2:$C$71,MATCH($F981,Raw_Products!$A$2:$A$71,0))</f>
        <v>Plants</v>
      </c>
      <c r="I981" s="7">
        <f>VALUE(Raw_Orders!D981)</f>
        <v>5</v>
      </c>
      <c r="J981" s="11" t="str">
        <f>INDEX(Raw_Products!$D$2:$D$71,MATCH($F981,Raw_Products!$A$2:$A$71,0))</f>
        <v>672</v>
      </c>
      <c r="K981" s="11">
        <f t="shared" si="30"/>
        <v>3360</v>
      </c>
      <c r="L981" s="12">
        <f>DATE(VALUE(RIGHT(Raw_Orders!E981,4)),VALUE(MID(Raw_Orders!E981,4,2)),VALUE(LEFT(Raw_Orders!E981,2)))</f>
        <v>45190</v>
      </c>
      <c r="M981" s="12">
        <f>DATE(VALUE(RIGHT(Raw_Orders!G981,4)),VALUE(MID(Raw_Orders!G981,4,2)),VALUE(LEFT(Raw_Orders!G981,2)))</f>
        <v>45199</v>
      </c>
      <c r="N981" s="7">
        <f t="shared" si="31"/>
        <v>9</v>
      </c>
      <c r="O981" s="7" t="str">
        <f>Raw_Orders!J981</f>
        <v>Anniversary</v>
      </c>
      <c r="P981" s="7" t="str">
        <f>Raw_Orders!I981</f>
        <v>Bijapur</v>
      </c>
    </row>
    <row r="982" spans="1:16">
      <c r="A982" s="7" t="str">
        <f>Raw_Orders!A982</f>
        <v>981</v>
      </c>
      <c r="B982" s="7" t="str">
        <f>Raw_Orders!B982</f>
        <v>C014</v>
      </c>
      <c r="C982" s="7" t="str">
        <f>INDEX(Raw_Customers!$B$2:$B$101,MATCH($B982,Raw_Customers!$A$2:$A$101,0))</f>
        <v>Indrans Shukla</v>
      </c>
      <c r="D982" s="7" t="str">
        <f>TRIM(INDEX(Raw_Customers!$C$2:$C$101,MATCH($B982,Raw_Customers!$A$2:$A$101,0)))</f>
        <v>Panvel</v>
      </c>
      <c r="E982" s="7" t="str">
        <f>"+91-"&amp;RIGHT("0000000000"&amp;INDEX(Raw_Customers!$D$2:$D$101,MATCH($B982,Raw_Customers!$A$2:$A$101,0)),10)</f>
        <v>+91-2717671919</v>
      </c>
      <c r="F982" s="7" t="str">
        <f>Raw_Orders!C982</f>
        <v>46</v>
      </c>
      <c r="G982" s="7" t="str">
        <f>INDEX(Raw_Products!$B$2:$B$71,MATCH($F982,Raw_Products!$A$2:$A$71,0))</f>
        <v>Pariatur Set</v>
      </c>
      <c r="H982" s="7" t="str">
        <f>INDEX(Raw_Products!$C$2:$C$71,MATCH($F982,Raw_Products!$A$2:$A$71,0))</f>
        <v>Cake</v>
      </c>
      <c r="I982" s="7">
        <f>VALUE(Raw_Orders!D982)</f>
        <v>2</v>
      </c>
      <c r="J982" s="11" t="str">
        <f>INDEX(Raw_Products!$D$2:$D$71,MATCH($F982,Raw_Products!$A$2:$A$71,0))</f>
        <v>758</v>
      </c>
      <c r="K982" s="11">
        <f t="shared" si="30"/>
        <v>1516</v>
      </c>
      <c r="L982" s="12">
        <f>DATE(VALUE(RIGHT(Raw_Orders!E982,4)),VALUE(MID(Raw_Orders!E982,4,2)),VALUE(LEFT(Raw_Orders!E982,2)))</f>
        <v>45018</v>
      </c>
      <c r="M982" s="12">
        <f>DATE(VALUE(RIGHT(Raw_Orders!G982,4)),VALUE(MID(Raw_Orders!G982,4,2)),VALUE(LEFT(Raw_Orders!G982,2)))</f>
        <v>45019</v>
      </c>
      <c r="N982" s="7">
        <f t="shared" si="31"/>
        <v>1</v>
      </c>
      <c r="O982" s="7" t="str">
        <f>Raw_Orders!J982</f>
        <v>Anniversary</v>
      </c>
      <c r="P982" s="7" t="str">
        <f>Raw_Orders!I982</f>
        <v>Dehradun</v>
      </c>
    </row>
    <row r="983" spans="1:16">
      <c r="A983" s="7" t="str">
        <f>Raw_Orders!A983</f>
        <v>982</v>
      </c>
      <c r="B983" s="7" t="str">
        <f>Raw_Orders!B983</f>
        <v>C019</v>
      </c>
      <c r="C983" s="7" t="str">
        <f>INDEX(Raw_Customers!$B$2:$B$101,MATCH($B983,Raw_Customers!$A$2:$A$101,0))</f>
        <v>Amira Sengupta</v>
      </c>
      <c r="D983" s="7" t="str">
        <f>TRIM(INDEX(Raw_Customers!$C$2:$C$101,MATCH($B983,Raw_Customers!$A$2:$A$101,0)))</f>
        <v>Danapur</v>
      </c>
      <c r="E983" s="7" t="str">
        <f>"+91-"&amp;RIGHT("0000000000"&amp;INDEX(Raw_Customers!$D$2:$D$101,MATCH($B983,Raw_Customers!$A$2:$A$101,0)),10)</f>
        <v>+91-4513393592</v>
      </c>
      <c r="F983" s="7" t="str">
        <f>Raw_Orders!C983</f>
        <v>47</v>
      </c>
      <c r="G983" s="7" t="str">
        <f>INDEX(Raw_Products!$B$2:$B$71,MATCH($F983,Raw_Products!$A$2:$A$71,0))</f>
        <v>Harum Pack</v>
      </c>
      <c r="H983" s="7" t="str">
        <f>INDEX(Raw_Products!$C$2:$C$71,MATCH($F983,Raw_Products!$A$2:$A$71,0))</f>
        <v>Colors</v>
      </c>
      <c r="I983" s="7">
        <f>VALUE(Raw_Orders!D983)</f>
        <v>4</v>
      </c>
      <c r="J983" s="11" t="str">
        <f>INDEX(Raw_Products!$D$2:$D$71,MATCH($F983,Raw_Products!$A$2:$A$71,0))</f>
        <v>1638</v>
      </c>
      <c r="K983" s="11">
        <f t="shared" si="30"/>
        <v>6552</v>
      </c>
      <c r="L983" s="12">
        <f>DATE(VALUE(RIGHT(Raw_Orders!E983,4)),VALUE(MID(Raw_Orders!E983,4,2)),VALUE(LEFT(Raw_Orders!E983,2)))</f>
        <v>44985</v>
      </c>
      <c r="M983" s="12">
        <f>DATE(VALUE(RIGHT(Raw_Orders!G983,4)),VALUE(MID(Raw_Orders!G983,4,2)),VALUE(LEFT(Raw_Orders!G983,2)))</f>
        <v>44989</v>
      </c>
      <c r="N983" s="7">
        <f t="shared" si="31"/>
        <v>4</v>
      </c>
      <c r="O983" s="7" t="str">
        <f>Raw_Orders!J983</f>
        <v>Holi</v>
      </c>
      <c r="P983" s="7" t="str">
        <f>Raw_Orders!I983</f>
        <v>Srinagar</v>
      </c>
    </row>
    <row r="984" spans="1:16">
      <c r="A984" s="7" t="str">
        <f>Raw_Orders!A984</f>
        <v>983</v>
      </c>
      <c r="B984" s="7" t="str">
        <f>Raw_Orders!B984</f>
        <v>C094</v>
      </c>
      <c r="C984" s="7" t="str">
        <f>INDEX(Raw_Customers!$B$2:$B$101,MATCH($B984,Raw_Customers!$A$2:$A$101,0))</f>
        <v>Raghav Babu</v>
      </c>
      <c r="D984" s="7" t="str">
        <f>TRIM(INDEX(Raw_Customers!$C$2:$C$101,MATCH($B984,Raw_Customers!$A$2:$A$101,0)))</f>
        <v>Deoghar</v>
      </c>
      <c r="E984" s="7" t="str">
        <f>"+91-"&amp;RIGHT("0000000000"&amp;INDEX(Raw_Customers!$D$2:$D$101,MATCH($B984,Raw_Customers!$A$2:$A$101,0)),10)</f>
        <v>+91-4638480067</v>
      </c>
      <c r="F984" s="7" t="str">
        <f>Raw_Orders!C984</f>
        <v>70</v>
      </c>
      <c r="G984" s="7" t="str">
        <f>INDEX(Raw_Products!$B$2:$B$71,MATCH($F984,Raw_Products!$A$2:$A$71,0))</f>
        <v>Error Gift</v>
      </c>
      <c r="H984" s="7" t="str">
        <f>INDEX(Raw_Products!$C$2:$C$71,MATCH($F984,Raw_Products!$A$2:$A$71,0))</f>
        <v>Sweets</v>
      </c>
      <c r="I984" s="7">
        <f>VALUE(Raw_Orders!D984)</f>
        <v>1</v>
      </c>
      <c r="J984" s="11" t="str">
        <f>INDEX(Raw_Products!$D$2:$D$71,MATCH($F984,Raw_Products!$A$2:$A$71,0))</f>
        <v>866</v>
      </c>
      <c r="K984" s="11">
        <f t="shared" si="30"/>
        <v>866</v>
      </c>
      <c r="L984" s="12">
        <f>DATE(VALUE(RIGHT(Raw_Orders!E984,4)),VALUE(MID(Raw_Orders!E984,4,2)),VALUE(LEFT(Raw_Orders!E984,2)))</f>
        <v>45010</v>
      </c>
      <c r="M984" s="12">
        <f>DATE(VALUE(RIGHT(Raw_Orders!G984,4)),VALUE(MID(Raw_Orders!G984,4,2)),VALUE(LEFT(Raw_Orders!G984,2)))</f>
        <v>45017</v>
      </c>
      <c r="N984" s="7">
        <f t="shared" si="31"/>
        <v>7</v>
      </c>
      <c r="O984" s="7" t="str">
        <f>Raw_Orders!J984</f>
        <v>Birthday</v>
      </c>
      <c r="P984" s="7" t="str">
        <f>Raw_Orders!I984</f>
        <v>Satna</v>
      </c>
    </row>
    <row r="985" spans="1:16">
      <c r="A985" s="7" t="str">
        <f>Raw_Orders!A985</f>
        <v>984</v>
      </c>
      <c r="B985" s="7" t="str">
        <f>Raw_Orders!B985</f>
        <v>C058</v>
      </c>
      <c r="C985" s="7" t="str">
        <f>INDEX(Raw_Customers!$B$2:$B$101,MATCH($B985,Raw_Customers!$A$2:$A$101,0))</f>
        <v>Charvi Kanda</v>
      </c>
      <c r="D985" s="7" t="str">
        <f>TRIM(INDEX(Raw_Customers!$C$2:$C$101,MATCH($B985,Raw_Customers!$A$2:$A$101,0)))</f>
        <v>Guntakal</v>
      </c>
      <c r="E985" s="7" t="str">
        <f>"+91-"&amp;RIGHT("0000000000"&amp;INDEX(Raw_Customers!$D$2:$D$101,MATCH($B985,Raw_Customers!$A$2:$A$101,0)),10)</f>
        <v>+91-9771604920</v>
      </c>
      <c r="F985" s="7" t="str">
        <f>Raw_Orders!C985</f>
        <v>65</v>
      </c>
      <c r="G985" s="7" t="str">
        <f>INDEX(Raw_Products!$B$2:$B$71,MATCH($F985,Raw_Products!$A$2:$A$71,0))</f>
        <v>Error Gift</v>
      </c>
      <c r="H985" s="7" t="str">
        <f>INDEX(Raw_Products!$C$2:$C$71,MATCH($F985,Raw_Products!$A$2:$A$71,0))</f>
        <v>Raksha Bandhan</v>
      </c>
      <c r="I985" s="7">
        <f>VALUE(Raw_Orders!D985)</f>
        <v>1</v>
      </c>
      <c r="J985" s="11" t="str">
        <f>INDEX(Raw_Products!$D$2:$D$71,MATCH($F985,Raw_Products!$A$2:$A$71,0))</f>
        <v>1895</v>
      </c>
      <c r="K985" s="11">
        <f t="shared" si="30"/>
        <v>1895</v>
      </c>
      <c r="L985" s="12">
        <f>DATE(VALUE(RIGHT(Raw_Orders!E985,4)),VALUE(MID(Raw_Orders!E985,4,2)),VALUE(LEFT(Raw_Orders!E985,2)))</f>
        <v>45141</v>
      </c>
      <c r="M985" s="12">
        <f>DATE(VALUE(RIGHT(Raw_Orders!G985,4)),VALUE(MID(Raw_Orders!G985,4,2)),VALUE(LEFT(Raw_Orders!G985,2)))</f>
        <v>45145</v>
      </c>
      <c r="N985" s="7">
        <f t="shared" si="31"/>
        <v>4</v>
      </c>
      <c r="O985" s="7" t="str">
        <f>Raw_Orders!J985</f>
        <v>All Occasions</v>
      </c>
      <c r="P985" s="7" t="str">
        <f>Raw_Orders!I985</f>
        <v>Ballia</v>
      </c>
    </row>
    <row r="986" spans="1:16">
      <c r="A986" s="7" t="str">
        <f>Raw_Orders!A986</f>
        <v>985</v>
      </c>
      <c r="B986" s="7" t="str">
        <f>Raw_Orders!B986</f>
        <v>C070</v>
      </c>
      <c r="C986" s="7" t="str">
        <f>INDEX(Raw_Customers!$B$2:$B$101,MATCH($B986,Raw_Customers!$A$2:$A$101,0))</f>
        <v>Emir Gokhale</v>
      </c>
      <c r="D986" s="7" t="str">
        <f>TRIM(INDEX(Raw_Customers!$C$2:$C$101,MATCH($B986,Raw_Customers!$A$2:$A$101,0)))</f>
        <v>Bhatpara</v>
      </c>
      <c r="E986" s="7" t="str">
        <f>"+91-"&amp;RIGHT("0000000000"&amp;INDEX(Raw_Customers!$D$2:$D$101,MATCH($B986,Raw_Customers!$A$2:$A$101,0)),10)</f>
        <v>+91-3859920805</v>
      </c>
      <c r="F986" s="7" t="str">
        <f>Raw_Orders!C986</f>
        <v>31</v>
      </c>
      <c r="G986" s="7" t="str">
        <f>INDEX(Raw_Products!$B$2:$B$71,MATCH($F986,Raw_Products!$A$2:$A$71,0))</f>
        <v>Nihil Box</v>
      </c>
      <c r="H986" s="7" t="str">
        <f>INDEX(Raw_Products!$C$2:$C$71,MATCH($F986,Raw_Products!$A$2:$A$71,0))</f>
        <v>Colors</v>
      </c>
      <c r="I986" s="7">
        <f>VALUE(Raw_Orders!D986)</f>
        <v>4</v>
      </c>
      <c r="J986" s="11" t="str">
        <f>INDEX(Raw_Products!$D$2:$D$71,MATCH($F986,Raw_Products!$A$2:$A$71,0))</f>
        <v>1804</v>
      </c>
      <c r="K986" s="11">
        <f t="shared" si="30"/>
        <v>7216</v>
      </c>
      <c r="L986" s="12">
        <f>DATE(VALUE(RIGHT(Raw_Orders!E986,4)),VALUE(MID(Raw_Orders!E986,4,2)),VALUE(LEFT(Raw_Orders!E986,2)))</f>
        <v>45204</v>
      </c>
      <c r="M986" s="12">
        <f>DATE(VALUE(RIGHT(Raw_Orders!G986,4)),VALUE(MID(Raw_Orders!G986,4,2)),VALUE(LEFT(Raw_Orders!G986,2)))</f>
        <v>45212</v>
      </c>
      <c r="N986" s="7">
        <f t="shared" si="31"/>
        <v>8</v>
      </c>
      <c r="O986" s="7" t="str">
        <f>Raw_Orders!J986</f>
        <v>All Occasions</v>
      </c>
      <c r="P986" s="7" t="str">
        <f>Raw_Orders!I986</f>
        <v>Ludhiana</v>
      </c>
    </row>
    <row r="987" spans="1:16">
      <c r="A987" s="7" t="str">
        <f>Raw_Orders!A987</f>
        <v>986</v>
      </c>
      <c r="B987" s="7" t="str">
        <f>Raw_Orders!B987</f>
        <v>C086</v>
      </c>
      <c r="C987" s="7" t="str">
        <f>INDEX(Raw_Customers!$B$2:$B$101,MATCH($B987,Raw_Customers!$A$2:$A$101,0))</f>
        <v>Ivana Amble</v>
      </c>
      <c r="D987" s="7" t="str">
        <f>TRIM(INDEX(Raw_Customers!$C$2:$C$101,MATCH($B987,Raw_Customers!$A$2:$A$101,0)))</f>
        <v>Purnia</v>
      </c>
      <c r="E987" s="7" t="str">
        <f>"+91-"&amp;RIGHT("0000000000"&amp;INDEX(Raw_Customers!$D$2:$D$101,MATCH($B987,Raw_Customers!$A$2:$A$101,0)),10)</f>
        <v>+91-9628920018</v>
      </c>
      <c r="F987" s="7" t="str">
        <f>Raw_Orders!C987</f>
        <v>1</v>
      </c>
      <c r="G987" s="7" t="str">
        <f>INDEX(Raw_Products!$B$2:$B$71,MATCH($F987,Raw_Products!$A$2:$A$71,0))</f>
        <v>Magnam Set</v>
      </c>
      <c r="H987" s="7" t="str">
        <f>INDEX(Raw_Products!$C$2:$C$71,MATCH($F987,Raw_Products!$A$2:$A$71,0))</f>
        <v>Soft Toys</v>
      </c>
      <c r="I987" s="7">
        <f>VALUE(Raw_Orders!D987)</f>
        <v>2</v>
      </c>
      <c r="J987" s="11" t="str">
        <f>INDEX(Raw_Products!$D$2:$D$71,MATCH($F987,Raw_Products!$A$2:$A$71,0))</f>
        <v>1935</v>
      </c>
      <c r="K987" s="11">
        <f t="shared" si="30"/>
        <v>3870</v>
      </c>
      <c r="L987" s="12">
        <f>DATE(VALUE(RIGHT(Raw_Orders!E987,4)),VALUE(MID(Raw_Orders!E987,4,2)),VALUE(LEFT(Raw_Orders!E987,2)))</f>
        <v>45233</v>
      </c>
      <c r="M987" s="12">
        <f>DATE(VALUE(RIGHT(Raw_Orders!G987,4)),VALUE(MID(Raw_Orders!G987,4,2)),VALUE(LEFT(Raw_Orders!G987,2)))</f>
        <v>45235</v>
      </c>
      <c r="N987" s="7">
        <f t="shared" si="31"/>
        <v>2</v>
      </c>
      <c r="O987" s="7" t="str">
        <f>Raw_Orders!J987</f>
        <v>All Occasions</v>
      </c>
      <c r="P987" s="7" t="str">
        <f>Raw_Orders!I987</f>
        <v>Bally</v>
      </c>
    </row>
    <row r="988" spans="1:16">
      <c r="A988" s="7" t="str">
        <f>Raw_Orders!A988</f>
        <v>987</v>
      </c>
      <c r="B988" s="7" t="str">
        <f>Raw_Orders!B988</f>
        <v>C018</v>
      </c>
      <c r="C988" s="7" t="str">
        <f>INDEX(Raw_Customers!$B$2:$B$101,MATCH($B988,Raw_Customers!$A$2:$A$101,0))</f>
        <v>Eva Vaidya</v>
      </c>
      <c r="D988" s="7" t="str">
        <f>TRIM(INDEX(Raw_Customers!$C$2:$C$101,MATCH($B988,Raw_Customers!$A$2:$A$101,0)))</f>
        <v>Nizamabad</v>
      </c>
      <c r="E988" s="7" t="str">
        <f>"+91-"&amp;RIGHT("0000000000"&amp;INDEX(Raw_Customers!$D$2:$D$101,MATCH($B988,Raw_Customers!$A$2:$A$101,0)),10)</f>
        <v>+91-9080029661</v>
      </c>
      <c r="F988" s="7" t="str">
        <f>Raw_Orders!C988</f>
        <v>65</v>
      </c>
      <c r="G988" s="7" t="str">
        <f>INDEX(Raw_Products!$B$2:$B$71,MATCH($F988,Raw_Products!$A$2:$A$71,0))</f>
        <v>Error Gift</v>
      </c>
      <c r="H988" s="7" t="str">
        <f>INDEX(Raw_Products!$C$2:$C$71,MATCH($F988,Raw_Products!$A$2:$A$71,0))</f>
        <v>Raksha Bandhan</v>
      </c>
      <c r="I988" s="7">
        <f>VALUE(Raw_Orders!D988)</f>
        <v>3</v>
      </c>
      <c r="J988" s="11" t="str">
        <f>INDEX(Raw_Products!$D$2:$D$71,MATCH($F988,Raw_Products!$A$2:$A$71,0))</f>
        <v>1895</v>
      </c>
      <c r="K988" s="11">
        <f t="shared" si="30"/>
        <v>5685</v>
      </c>
      <c r="L988" s="12">
        <f>DATE(VALUE(RIGHT(Raw_Orders!E988,4)),VALUE(MID(Raw_Orders!E988,4,2)),VALUE(LEFT(Raw_Orders!E988,2)))</f>
        <v>45280</v>
      </c>
      <c r="M988" s="12">
        <f>DATE(VALUE(RIGHT(Raw_Orders!G988,4)),VALUE(MID(Raw_Orders!G988,4,2)),VALUE(LEFT(Raw_Orders!G988,2)))</f>
        <v>45285</v>
      </c>
      <c r="N988" s="7">
        <f t="shared" si="31"/>
        <v>5</v>
      </c>
      <c r="O988" s="7" t="str">
        <f>Raw_Orders!J988</f>
        <v>All Occasions</v>
      </c>
      <c r="P988" s="7" t="str">
        <f>Raw_Orders!I988</f>
        <v>Bulandshahr</v>
      </c>
    </row>
    <row r="989" spans="1:16">
      <c r="A989" s="7" t="str">
        <f>Raw_Orders!A989</f>
        <v>988</v>
      </c>
      <c r="B989" s="7" t="str">
        <f>Raw_Orders!B989</f>
        <v>C020</v>
      </c>
      <c r="C989" s="7" t="str">
        <f>INDEX(Raw_Customers!$B$2:$B$101,MATCH($B989,Raw_Customers!$A$2:$A$101,0))</f>
        <v>Samaira Ganesh</v>
      </c>
      <c r="D989" s="7" t="str">
        <f>TRIM(INDEX(Raw_Customers!$C$2:$C$101,MATCH($B989,Raw_Customers!$A$2:$A$101,0)))</f>
        <v>Machilipatnam</v>
      </c>
      <c r="E989" s="7" t="str">
        <f>"+91-"&amp;RIGHT("0000000000"&amp;INDEX(Raw_Customers!$D$2:$D$101,MATCH($B989,Raw_Customers!$A$2:$A$101,0)),10)</f>
        <v>+91-1731643700</v>
      </c>
      <c r="F989" s="7" t="str">
        <f>Raw_Orders!C989</f>
        <v>4</v>
      </c>
      <c r="G989" s="7" t="str">
        <f>INDEX(Raw_Products!$B$2:$B$71,MATCH($F989,Raw_Products!$A$2:$A$71,0))</f>
        <v>Accusantium Set</v>
      </c>
      <c r="H989" s="7" t="str">
        <f>INDEX(Raw_Products!$C$2:$C$71,MATCH($F989,Raw_Products!$A$2:$A$71,0))</f>
        <v>Sweets</v>
      </c>
      <c r="I989" s="7">
        <f>VALUE(Raw_Orders!D989)</f>
        <v>3</v>
      </c>
      <c r="J989" s="11" t="str">
        <f>INDEX(Raw_Products!$D$2:$D$71,MATCH($F989,Raw_Products!$A$2:$A$71,0))</f>
        <v>1199</v>
      </c>
      <c r="K989" s="11">
        <f t="shared" si="30"/>
        <v>3597</v>
      </c>
      <c r="L989" s="12">
        <f>DATE(VALUE(RIGHT(Raw_Orders!E989,4)),VALUE(MID(Raw_Orders!E989,4,2)),VALUE(LEFT(Raw_Orders!E989,2)))</f>
        <v>45240</v>
      </c>
      <c r="M989" s="12">
        <f>DATE(VALUE(RIGHT(Raw_Orders!G989,4)),VALUE(MID(Raw_Orders!G989,4,2)),VALUE(LEFT(Raw_Orders!G989,2)))</f>
        <v>45245</v>
      </c>
      <c r="N989" s="7">
        <f t="shared" si="31"/>
        <v>5</v>
      </c>
      <c r="O989" s="7" t="str">
        <f>Raw_Orders!J989</f>
        <v>Diwali</v>
      </c>
      <c r="P989" s="7" t="str">
        <f>Raw_Orders!I989</f>
        <v>Mau</v>
      </c>
    </row>
    <row r="990" spans="1:16">
      <c r="A990" s="7" t="str">
        <f>Raw_Orders!A990</f>
        <v>989</v>
      </c>
      <c r="B990" s="7" t="str">
        <f>Raw_Orders!B990</f>
        <v>C017</v>
      </c>
      <c r="C990" s="7" t="str">
        <f>INDEX(Raw_Customers!$B$2:$B$101,MATCH($B990,Raw_Customers!$A$2:$A$101,0))</f>
        <v>Advika Dhar</v>
      </c>
      <c r="D990" s="7" t="str">
        <f>TRIM(INDEX(Raw_Customers!$C$2:$C$101,MATCH($B990,Raw_Customers!$A$2:$A$101,0)))</f>
        <v>Gangtok</v>
      </c>
      <c r="E990" s="7" t="str">
        <f>"+91-"&amp;RIGHT("0000000000"&amp;INDEX(Raw_Customers!$D$2:$D$101,MATCH($B990,Raw_Customers!$A$2:$A$101,0)),10)</f>
        <v>+91-2738556486</v>
      </c>
      <c r="F990" s="7" t="str">
        <f>Raw_Orders!C990</f>
        <v>52</v>
      </c>
      <c r="G990" s="7" t="str">
        <f>INDEX(Raw_Products!$B$2:$B$71,MATCH($F990,Raw_Products!$A$2:$A$71,0))</f>
        <v>Dolorum Box</v>
      </c>
      <c r="H990" s="7" t="str">
        <f>INDEX(Raw_Products!$C$2:$C$71,MATCH($F990,Raw_Products!$A$2:$A$71,0))</f>
        <v>Raksha Bandhan</v>
      </c>
      <c r="I990" s="7">
        <f>VALUE(Raw_Orders!D990)</f>
        <v>3</v>
      </c>
      <c r="J990" s="11" t="str">
        <f>INDEX(Raw_Products!$D$2:$D$71,MATCH($F990,Raw_Products!$A$2:$A$71,0))</f>
        <v>236</v>
      </c>
      <c r="K990" s="11">
        <f t="shared" si="30"/>
        <v>708</v>
      </c>
      <c r="L990" s="12">
        <f>DATE(VALUE(RIGHT(Raw_Orders!E990,4)),VALUE(MID(Raw_Orders!E990,4,2)),VALUE(LEFT(Raw_Orders!E990,2)))</f>
        <v>44963</v>
      </c>
      <c r="M990" s="12">
        <f>DATE(VALUE(RIGHT(Raw_Orders!G990,4)),VALUE(MID(Raw_Orders!G990,4,2)),VALUE(LEFT(Raw_Orders!G990,2)))</f>
        <v>44972</v>
      </c>
      <c r="N990" s="7">
        <f t="shared" si="31"/>
        <v>9</v>
      </c>
      <c r="O990" s="7" t="str">
        <f>Raw_Orders!J990</f>
        <v>Valentine's Day</v>
      </c>
      <c r="P990" s="7" t="str">
        <f>Raw_Orders!I990</f>
        <v>Bidhannagar</v>
      </c>
    </row>
    <row r="991" spans="1:16">
      <c r="A991" s="7" t="str">
        <f>Raw_Orders!A991</f>
        <v>990</v>
      </c>
      <c r="B991" s="7" t="str">
        <f>Raw_Orders!B991</f>
        <v>C021</v>
      </c>
      <c r="C991" s="7" t="str">
        <f>INDEX(Raw_Customers!$B$2:$B$101,MATCH($B991,Raw_Customers!$A$2:$A$101,0))</f>
        <v>Siya Talwar</v>
      </c>
      <c r="D991" s="7" t="str">
        <f>TRIM(INDEX(Raw_Customers!$C$2:$C$101,MATCH($B991,Raw_Customers!$A$2:$A$101,0)))</f>
        <v>Mehsana</v>
      </c>
      <c r="E991" s="7" t="str">
        <f>"+91-"&amp;RIGHT("0000000000"&amp;INDEX(Raw_Customers!$D$2:$D$101,MATCH($B991,Raw_Customers!$A$2:$A$101,0)),10)</f>
        <v>+91-5555408563</v>
      </c>
      <c r="F991" s="7" t="str">
        <f>Raw_Orders!C991</f>
        <v>42</v>
      </c>
      <c r="G991" s="7" t="str">
        <f>INDEX(Raw_Products!$B$2:$B$71,MATCH($F991,Raw_Products!$A$2:$A$71,0))</f>
        <v>Expedita Gift</v>
      </c>
      <c r="H991" s="7" t="str">
        <f>INDEX(Raw_Products!$C$2:$C$71,MATCH($F991,Raw_Products!$A$2:$A$71,0))</f>
        <v>Sweets</v>
      </c>
      <c r="I991" s="7">
        <f>VALUE(Raw_Orders!D991)</f>
        <v>2</v>
      </c>
      <c r="J991" s="11" t="str">
        <f>INDEX(Raw_Products!$D$2:$D$71,MATCH($F991,Raw_Products!$A$2:$A$71,0))</f>
        <v>1744</v>
      </c>
      <c r="K991" s="11">
        <f t="shared" si="30"/>
        <v>3488</v>
      </c>
      <c r="L991" s="12">
        <f>DATE(VALUE(RIGHT(Raw_Orders!E991,4)),VALUE(MID(Raw_Orders!E991,4,2)),VALUE(LEFT(Raw_Orders!E991,2)))</f>
        <v>45264</v>
      </c>
      <c r="M991" s="12">
        <f>DATE(VALUE(RIGHT(Raw_Orders!G991,4)),VALUE(MID(Raw_Orders!G991,4,2)),VALUE(LEFT(Raw_Orders!G991,2)))</f>
        <v>45268</v>
      </c>
      <c r="N991" s="7">
        <f t="shared" si="31"/>
        <v>4</v>
      </c>
      <c r="O991" s="7" t="str">
        <f>Raw_Orders!J991</f>
        <v>All Occasions</v>
      </c>
      <c r="P991" s="7" t="str">
        <f>Raw_Orders!I991</f>
        <v>Amritsar</v>
      </c>
    </row>
    <row r="992" spans="1:16">
      <c r="A992" s="7" t="str">
        <f>Raw_Orders!A992</f>
        <v>991</v>
      </c>
      <c r="B992" s="7" t="str">
        <f>Raw_Orders!B992</f>
        <v>C054</v>
      </c>
      <c r="C992" s="7" t="str">
        <f>INDEX(Raw_Customers!$B$2:$B$101,MATCH($B992,Raw_Customers!$A$2:$A$101,0))</f>
        <v>Umang Ahuja</v>
      </c>
      <c r="D992" s="7" t="str">
        <f>TRIM(INDEX(Raw_Customers!$C$2:$C$101,MATCH($B992,Raw_Customers!$A$2:$A$101,0)))</f>
        <v>Bidhannagar</v>
      </c>
      <c r="E992" s="7" t="str">
        <f>"+91-"&amp;RIGHT("0000000000"&amp;INDEX(Raw_Customers!$D$2:$D$101,MATCH($B992,Raw_Customers!$A$2:$A$101,0)),10)</f>
        <v>+91-7271590783</v>
      </c>
      <c r="F992" s="7" t="str">
        <f>Raw_Orders!C992</f>
        <v>36</v>
      </c>
      <c r="G992" s="7" t="str">
        <f>INDEX(Raw_Products!$B$2:$B$71,MATCH($F992,Raw_Products!$A$2:$A$71,0))</f>
        <v>Cum Gift</v>
      </c>
      <c r="H992" s="7" t="str">
        <f>INDEX(Raw_Products!$C$2:$C$71,MATCH($F992,Raw_Products!$A$2:$A$71,0))</f>
        <v>Plants</v>
      </c>
      <c r="I992" s="7">
        <f>VALUE(Raw_Orders!D992)</f>
        <v>5</v>
      </c>
      <c r="J992" s="11" t="str">
        <f>INDEX(Raw_Products!$D$2:$D$71,MATCH($F992,Raw_Products!$A$2:$A$71,0))</f>
        <v>203</v>
      </c>
      <c r="K992" s="11">
        <f t="shared" si="30"/>
        <v>1015</v>
      </c>
      <c r="L992" s="12">
        <f>DATE(VALUE(RIGHT(Raw_Orders!E992,4)),VALUE(MID(Raw_Orders!E992,4,2)),VALUE(LEFT(Raw_Orders!E992,2)))</f>
        <v>44966</v>
      </c>
      <c r="M992" s="12">
        <f>DATE(VALUE(RIGHT(Raw_Orders!G992,4)),VALUE(MID(Raw_Orders!G992,4,2)),VALUE(LEFT(Raw_Orders!G992,2)))</f>
        <v>44972</v>
      </c>
      <c r="N992" s="7">
        <f t="shared" si="31"/>
        <v>6</v>
      </c>
      <c r="O992" s="7" t="str">
        <f>Raw_Orders!J992</f>
        <v>Birthday</v>
      </c>
      <c r="P992" s="7" t="str">
        <f>Raw_Orders!I992</f>
        <v>Barasat</v>
      </c>
    </row>
    <row r="993" spans="1:16">
      <c r="A993" s="7" t="str">
        <f>Raw_Orders!A993</f>
        <v>992</v>
      </c>
      <c r="B993" s="7" t="str">
        <f>Raw_Orders!B993</f>
        <v>C091</v>
      </c>
      <c r="C993" s="7" t="str">
        <f>INDEX(Raw_Customers!$B$2:$B$101,MATCH($B993,Raw_Customers!$A$2:$A$101,0))</f>
        <v>Adira Rajan</v>
      </c>
      <c r="D993" s="7" t="str">
        <f>TRIM(INDEX(Raw_Customers!$C$2:$C$101,MATCH($B993,Raw_Customers!$A$2:$A$101,0)))</f>
        <v>New Delhi</v>
      </c>
      <c r="E993" s="7" t="str">
        <f>"+91-"&amp;RIGHT("0000000000"&amp;INDEX(Raw_Customers!$D$2:$D$101,MATCH($B993,Raw_Customers!$A$2:$A$101,0)),10)</f>
        <v>+91-5525478357</v>
      </c>
      <c r="F993" s="7" t="str">
        <f>Raw_Orders!C993</f>
        <v>43</v>
      </c>
      <c r="G993" s="7" t="str">
        <f>INDEX(Raw_Products!$B$2:$B$71,MATCH($F993,Raw_Products!$A$2:$A$71,0))</f>
        <v>Quisquam Pack</v>
      </c>
      <c r="H993" s="7" t="str">
        <f>INDEX(Raw_Products!$C$2:$C$71,MATCH($F993,Raw_Products!$A$2:$A$71,0))</f>
        <v>Raksha Bandhan</v>
      </c>
      <c r="I993" s="7">
        <f>VALUE(Raw_Orders!D993)</f>
        <v>3</v>
      </c>
      <c r="J993" s="11" t="str">
        <f>INDEX(Raw_Products!$D$2:$D$71,MATCH($F993,Raw_Products!$A$2:$A$71,0))</f>
        <v>750</v>
      </c>
      <c r="K993" s="11">
        <f t="shared" si="30"/>
        <v>2250</v>
      </c>
      <c r="L993" s="12">
        <f>DATE(VALUE(RIGHT(Raw_Orders!E993,4)),VALUE(MID(Raw_Orders!E993,4,2)),VALUE(LEFT(Raw_Orders!E993,2)))</f>
        <v>45232</v>
      </c>
      <c r="M993" s="12">
        <f>DATE(VALUE(RIGHT(Raw_Orders!G993,4)),VALUE(MID(Raw_Orders!G993,4,2)),VALUE(LEFT(Raw_Orders!G993,2)))</f>
        <v>45233</v>
      </c>
      <c r="N993" s="7">
        <f t="shared" si="31"/>
        <v>1</v>
      </c>
      <c r="O993" s="7" t="str">
        <f>Raw_Orders!J993</f>
        <v>Diwali</v>
      </c>
      <c r="P993" s="7" t="str">
        <f>Raw_Orders!I993</f>
        <v>Chittoor</v>
      </c>
    </row>
    <row r="994" spans="1:16">
      <c r="A994" s="7" t="str">
        <f>Raw_Orders!A994</f>
        <v>993</v>
      </c>
      <c r="B994" s="7" t="str">
        <f>Raw_Orders!B994</f>
        <v>C082</v>
      </c>
      <c r="C994" s="7" t="str">
        <f>INDEX(Raw_Customers!$B$2:$B$101,MATCH($B994,Raw_Customers!$A$2:$A$101,0))</f>
        <v>Anya Chaudhari</v>
      </c>
      <c r="D994" s="7" t="str">
        <f>TRIM(INDEX(Raw_Customers!$C$2:$C$101,MATCH($B994,Raw_Customers!$A$2:$A$101,0)))</f>
        <v>Ahmednagar</v>
      </c>
      <c r="E994" s="7" t="str">
        <f>"+91-"&amp;RIGHT("0000000000"&amp;INDEX(Raw_Customers!$D$2:$D$101,MATCH($B994,Raw_Customers!$A$2:$A$101,0)),10)</f>
        <v>+91-0813770782</v>
      </c>
      <c r="F994" s="7" t="str">
        <f>Raw_Orders!C994</f>
        <v>61</v>
      </c>
      <c r="G994" s="7" t="str">
        <f>INDEX(Raw_Products!$B$2:$B$71,MATCH($F994,Raw_Products!$A$2:$A$71,0))</f>
        <v>Iusto Box</v>
      </c>
      <c r="H994" s="7" t="str">
        <f>INDEX(Raw_Products!$C$2:$C$71,MATCH($F994,Raw_Products!$A$2:$A$71,0))</f>
        <v>Plants</v>
      </c>
      <c r="I994" s="7">
        <f>VALUE(Raw_Orders!D994)</f>
        <v>5</v>
      </c>
      <c r="J994" s="11" t="str">
        <f>INDEX(Raw_Products!$D$2:$D$71,MATCH($F994,Raw_Products!$A$2:$A$71,0))</f>
        <v>810</v>
      </c>
      <c r="K994" s="11">
        <f t="shared" si="30"/>
        <v>4050</v>
      </c>
      <c r="L994" s="12">
        <f>DATE(VALUE(RIGHT(Raw_Orders!E994,4)),VALUE(MID(Raw_Orders!E994,4,2)),VALUE(LEFT(Raw_Orders!E994,2)))</f>
        <v>45207</v>
      </c>
      <c r="M994" s="12">
        <f>DATE(VALUE(RIGHT(Raw_Orders!G994,4)),VALUE(MID(Raw_Orders!G994,4,2)),VALUE(LEFT(Raw_Orders!G994,2)))</f>
        <v>45213</v>
      </c>
      <c r="N994" s="7">
        <f t="shared" si="31"/>
        <v>6</v>
      </c>
      <c r="O994" s="7" t="str">
        <f>Raw_Orders!J994</f>
        <v>Anniversary</v>
      </c>
      <c r="P994" s="7" t="str">
        <f>Raw_Orders!I994</f>
        <v>Kishanganj</v>
      </c>
    </row>
    <row r="995" spans="1:16">
      <c r="A995" s="7" t="str">
        <f>Raw_Orders!A995</f>
        <v>994</v>
      </c>
      <c r="B995" s="7" t="str">
        <f>Raw_Orders!B995</f>
        <v>C004</v>
      </c>
      <c r="C995" s="7" t="str">
        <f>INDEX(Raw_Customers!$B$2:$B$101,MATCH($B995,Raw_Customers!$A$2:$A$101,0))</f>
        <v>Tarini Bava</v>
      </c>
      <c r="D995" s="7" t="str">
        <f>TRIM(INDEX(Raw_Customers!$C$2:$C$101,MATCH($B995,Raw_Customers!$A$2:$A$101,0)))</f>
        <v>Miryalaguda</v>
      </c>
      <c r="E995" s="7" t="str">
        <f>"+91-"&amp;RIGHT("0000000000"&amp;INDEX(Raw_Customers!$D$2:$D$101,MATCH($B995,Raw_Customers!$A$2:$A$101,0)),10)</f>
        <v>+91-7232349928</v>
      </c>
      <c r="F995" s="7" t="str">
        <f>Raw_Orders!C995</f>
        <v>68</v>
      </c>
      <c r="G995" s="7" t="str">
        <f>INDEX(Raw_Products!$B$2:$B$71,MATCH($F995,Raw_Products!$A$2:$A$71,0))</f>
        <v>Quas Gift</v>
      </c>
      <c r="H995" s="7" t="str">
        <f>INDEX(Raw_Products!$C$2:$C$71,MATCH($F995,Raw_Products!$A$2:$A$71,0))</f>
        <v>Soft Toys</v>
      </c>
      <c r="I995" s="7">
        <f>VALUE(Raw_Orders!D995)</f>
        <v>2</v>
      </c>
      <c r="J995" s="11" t="str">
        <f>INDEX(Raw_Products!$D$2:$D$71,MATCH($F995,Raw_Products!$A$2:$A$71,0))</f>
        <v>597</v>
      </c>
      <c r="K995" s="11">
        <f t="shared" si="30"/>
        <v>1194</v>
      </c>
      <c r="L995" s="12">
        <f>DATE(VALUE(RIGHT(Raw_Orders!E995,4)),VALUE(MID(Raw_Orders!E995,4,2)),VALUE(LEFT(Raw_Orders!E995,2)))</f>
        <v>44970</v>
      </c>
      <c r="M995" s="12">
        <f>DATE(VALUE(RIGHT(Raw_Orders!G995,4)),VALUE(MID(Raw_Orders!G995,4,2)),VALUE(LEFT(Raw_Orders!G995,2)))</f>
        <v>44978</v>
      </c>
      <c r="N995" s="7">
        <f t="shared" si="31"/>
        <v>8</v>
      </c>
      <c r="O995" s="7" t="str">
        <f>Raw_Orders!J995</f>
        <v>Valentine's Day</v>
      </c>
      <c r="P995" s="7" t="str">
        <f>Raw_Orders!I995</f>
        <v>Chandigarh</v>
      </c>
    </row>
    <row r="996" spans="1:16">
      <c r="A996" s="7" t="str">
        <f>Raw_Orders!A996</f>
        <v>995</v>
      </c>
      <c r="B996" s="7" t="str">
        <f>Raw_Orders!B996</f>
        <v>C089</v>
      </c>
      <c r="C996" s="7" t="str">
        <f>INDEX(Raw_Customers!$B$2:$B$101,MATCH($B996,Raw_Customers!$A$2:$A$101,0))</f>
        <v>Oorja Dey</v>
      </c>
      <c r="D996" s="7" t="str">
        <f>TRIM(INDEX(Raw_Customers!$C$2:$C$101,MATCH($B996,Raw_Customers!$A$2:$A$101,0)))</f>
        <v>Nellore</v>
      </c>
      <c r="E996" s="7" t="str">
        <f>"+91-"&amp;RIGHT("0000000000"&amp;INDEX(Raw_Customers!$D$2:$D$101,MATCH($B996,Raw_Customers!$A$2:$A$101,0)),10)</f>
        <v>+91-7264144428</v>
      </c>
      <c r="F996" s="7" t="str">
        <f>Raw_Orders!C996</f>
        <v>57</v>
      </c>
      <c r="G996" s="7" t="str">
        <f>INDEX(Raw_Products!$B$2:$B$71,MATCH($F996,Raw_Products!$A$2:$A$71,0))</f>
        <v>Voluptatem Box</v>
      </c>
      <c r="H996" s="7" t="str">
        <f>INDEX(Raw_Products!$C$2:$C$71,MATCH($F996,Raw_Products!$A$2:$A$71,0))</f>
        <v>Colors</v>
      </c>
      <c r="I996" s="7">
        <f>VALUE(Raw_Orders!D996)</f>
        <v>2</v>
      </c>
      <c r="J996" s="11" t="str">
        <f>INDEX(Raw_Products!$D$2:$D$71,MATCH($F996,Raw_Products!$A$2:$A$71,0))</f>
        <v>1582</v>
      </c>
      <c r="K996" s="11">
        <f t="shared" si="30"/>
        <v>3164</v>
      </c>
      <c r="L996" s="12">
        <f>DATE(VALUE(RIGHT(Raw_Orders!E996,4)),VALUE(MID(Raw_Orders!E996,4,2)),VALUE(LEFT(Raw_Orders!E996,2)))</f>
        <v>45127</v>
      </c>
      <c r="M996" s="12">
        <f>DATE(VALUE(RIGHT(Raw_Orders!G996,4)),VALUE(MID(Raw_Orders!G996,4,2)),VALUE(LEFT(Raw_Orders!G996,2)))</f>
        <v>45134</v>
      </c>
      <c r="N996" s="7">
        <f t="shared" si="31"/>
        <v>7</v>
      </c>
      <c r="O996" s="7" t="str">
        <f>Raw_Orders!J996</f>
        <v>Birthday</v>
      </c>
      <c r="P996" s="7" t="str">
        <f>Raw_Orders!I996</f>
        <v>Muzaffarnagar</v>
      </c>
    </row>
    <row r="997" spans="1:16">
      <c r="A997" s="7" t="str">
        <f>Raw_Orders!A997</f>
        <v>996</v>
      </c>
      <c r="B997" s="7" t="str">
        <f>Raw_Orders!B997</f>
        <v>C077</v>
      </c>
      <c r="C997" s="7" t="str">
        <f>INDEX(Raw_Customers!$B$2:$B$101,MATCH($B997,Raw_Customers!$A$2:$A$101,0))</f>
        <v>Gokul Ahluwalia</v>
      </c>
      <c r="D997" s="7" t="str">
        <f>TRIM(INDEX(Raw_Customers!$C$2:$C$101,MATCH($B997,Raw_Customers!$A$2:$A$101,0)))</f>
        <v>Panchkula</v>
      </c>
      <c r="E997" s="7" t="str">
        <f>"+91-"&amp;RIGHT("0000000000"&amp;INDEX(Raw_Customers!$D$2:$D$101,MATCH($B997,Raw_Customers!$A$2:$A$101,0)),10)</f>
        <v>+91-0413737551</v>
      </c>
      <c r="F997" s="7" t="str">
        <f>Raw_Orders!C997</f>
        <v>25</v>
      </c>
      <c r="G997" s="7" t="str">
        <f>INDEX(Raw_Products!$B$2:$B$71,MATCH($F997,Raw_Products!$A$2:$A$71,0))</f>
        <v>Qui Gift</v>
      </c>
      <c r="H997" s="7" t="str">
        <f>INDEX(Raw_Products!$C$2:$C$71,MATCH($F997,Raw_Products!$A$2:$A$71,0))</f>
        <v>Plants</v>
      </c>
      <c r="I997" s="7">
        <f>VALUE(Raw_Orders!D997)</f>
        <v>5</v>
      </c>
      <c r="J997" s="11" t="str">
        <f>INDEX(Raw_Products!$D$2:$D$71,MATCH($F997,Raw_Products!$A$2:$A$71,0))</f>
        <v>1202</v>
      </c>
      <c r="K997" s="11">
        <f t="shared" si="30"/>
        <v>6010</v>
      </c>
      <c r="L997" s="12">
        <f>DATE(VALUE(RIGHT(Raw_Orders!E997,4)),VALUE(MID(Raw_Orders!E997,4,2)),VALUE(LEFT(Raw_Orders!E997,2)))</f>
        <v>45059</v>
      </c>
      <c r="M997" s="12">
        <f>DATE(VALUE(RIGHT(Raw_Orders!G997,4)),VALUE(MID(Raw_Orders!G997,4,2)),VALUE(LEFT(Raw_Orders!G997,2)))</f>
        <v>45065</v>
      </c>
      <c r="N997" s="7">
        <f t="shared" si="31"/>
        <v>6</v>
      </c>
      <c r="O997" s="7" t="str">
        <f>Raw_Orders!J997</f>
        <v>Anniversary</v>
      </c>
      <c r="P997" s="7" t="str">
        <f>Raw_Orders!I997</f>
        <v>Faridabad</v>
      </c>
    </row>
    <row r="998" spans="1:16">
      <c r="A998" s="7" t="str">
        <f>Raw_Orders!A998</f>
        <v>997</v>
      </c>
      <c r="B998" s="7" t="str">
        <f>Raw_Orders!B998</f>
        <v>C098</v>
      </c>
      <c r="C998" s="7" t="str">
        <f>INDEX(Raw_Customers!$B$2:$B$101,MATCH($B998,Raw_Customers!$A$2:$A$101,0))</f>
        <v>Navya Golla</v>
      </c>
      <c r="D998" s="7" t="str">
        <f>TRIM(INDEX(Raw_Customers!$C$2:$C$101,MATCH($B998,Raw_Customers!$A$2:$A$101,0)))</f>
        <v>Cuttack</v>
      </c>
      <c r="E998" s="7" t="str">
        <f>"+91-"&amp;RIGHT("0000000000"&amp;INDEX(Raw_Customers!$D$2:$D$101,MATCH($B998,Raw_Customers!$A$2:$A$101,0)),10)</f>
        <v>+91-4461213936</v>
      </c>
      <c r="F998" s="7" t="str">
        <f>Raw_Orders!C998</f>
        <v>19</v>
      </c>
      <c r="G998" s="7" t="str">
        <f>INDEX(Raw_Products!$B$2:$B$71,MATCH($F998,Raw_Products!$A$2:$A$71,0))</f>
        <v>Iure Gift</v>
      </c>
      <c r="H998" s="7" t="str">
        <f>INDEX(Raw_Products!$C$2:$C$71,MATCH($F998,Raw_Products!$A$2:$A$71,0))</f>
        <v>Mugs</v>
      </c>
      <c r="I998" s="7">
        <f>VALUE(Raw_Orders!D998)</f>
        <v>2</v>
      </c>
      <c r="J998" s="11" t="str">
        <f>INDEX(Raw_Products!$D$2:$D$71,MATCH($F998,Raw_Products!$A$2:$A$71,0))</f>
        <v>1234</v>
      </c>
      <c r="K998" s="11">
        <f t="shared" si="30"/>
        <v>2468</v>
      </c>
      <c r="L998" s="12">
        <f>DATE(VALUE(RIGHT(Raw_Orders!E998,4)),VALUE(MID(Raw_Orders!E998,4,2)),VALUE(LEFT(Raw_Orders!E998,2)))</f>
        <v>44961</v>
      </c>
      <c r="M998" s="12">
        <f>DATE(VALUE(RIGHT(Raw_Orders!G998,4)),VALUE(MID(Raw_Orders!G998,4,2)),VALUE(LEFT(Raw_Orders!G998,2)))</f>
        <v>44967</v>
      </c>
      <c r="N998" s="7">
        <f t="shared" si="31"/>
        <v>6</v>
      </c>
      <c r="O998" s="7" t="str">
        <f>Raw_Orders!J998</f>
        <v>Valentine's Day</v>
      </c>
      <c r="P998" s="7" t="str">
        <f>Raw_Orders!I998</f>
        <v>Vasai-Virar</v>
      </c>
    </row>
    <row r="999" spans="1:16">
      <c r="A999" s="7" t="str">
        <f>Raw_Orders!A999</f>
        <v>998</v>
      </c>
      <c r="B999" s="7" t="str">
        <f>Raw_Orders!B999</f>
        <v>C046</v>
      </c>
      <c r="C999" s="7" t="str">
        <f>INDEX(Raw_Customers!$B$2:$B$101,MATCH($B999,Raw_Customers!$A$2:$A$101,0))</f>
        <v>Tara Kannan</v>
      </c>
      <c r="D999" s="7" t="str">
        <f>TRIM(INDEX(Raw_Customers!$C$2:$C$101,MATCH($B999,Raw_Customers!$A$2:$A$101,0)))</f>
        <v>Guna</v>
      </c>
      <c r="E999" s="7" t="str">
        <f>"+91-"&amp;RIGHT("0000000000"&amp;INDEX(Raw_Customers!$D$2:$D$101,MATCH($B999,Raw_Customers!$A$2:$A$101,0)),10)</f>
        <v>+91-7543187237</v>
      </c>
      <c r="F999" s="7" t="str">
        <f>Raw_Orders!C999</f>
        <v>44</v>
      </c>
      <c r="G999" s="7" t="str">
        <f>INDEX(Raw_Products!$B$2:$B$71,MATCH($F999,Raw_Products!$A$2:$A$71,0))</f>
        <v>Dolorum Set</v>
      </c>
      <c r="H999" s="7" t="str">
        <f>INDEX(Raw_Products!$C$2:$C$71,MATCH($F999,Raw_Products!$A$2:$A$71,0))</f>
        <v>Plants</v>
      </c>
      <c r="I999" s="7">
        <f>VALUE(Raw_Orders!D999)</f>
        <v>1</v>
      </c>
      <c r="J999" s="11" t="str">
        <f>INDEX(Raw_Products!$D$2:$D$71,MATCH($F999,Raw_Products!$A$2:$A$71,0))</f>
        <v>794</v>
      </c>
      <c r="K999" s="11">
        <f t="shared" si="30"/>
        <v>794</v>
      </c>
      <c r="L999" s="12">
        <f>DATE(VALUE(RIGHT(Raw_Orders!E999,4)),VALUE(MID(Raw_Orders!E999,4,2)),VALUE(LEFT(Raw_Orders!E999,2)))</f>
        <v>45236</v>
      </c>
      <c r="M999" s="12">
        <f>DATE(VALUE(RIGHT(Raw_Orders!G999,4)),VALUE(MID(Raw_Orders!G999,4,2)),VALUE(LEFT(Raw_Orders!G999,2)))</f>
        <v>45244</v>
      </c>
      <c r="N999" s="7">
        <f t="shared" si="31"/>
        <v>8</v>
      </c>
      <c r="O999" s="7" t="str">
        <f>Raw_Orders!J999</f>
        <v>Diwali</v>
      </c>
      <c r="P999" s="7" t="str">
        <f>Raw_Orders!I999</f>
        <v>Ballia</v>
      </c>
    </row>
    <row r="1000" spans="1:16">
      <c r="A1000" s="7" t="str">
        <f>Raw_Orders!A1000</f>
        <v>999</v>
      </c>
      <c r="B1000" s="7" t="str">
        <f>Raw_Orders!B1000</f>
        <v>C054</v>
      </c>
      <c r="C1000" s="7" t="str">
        <f>INDEX(Raw_Customers!$B$2:$B$101,MATCH($B1000,Raw_Customers!$A$2:$A$101,0))</f>
        <v>Umang Ahuja</v>
      </c>
      <c r="D1000" s="7" t="str">
        <f>TRIM(INDEX(Raw_Customers!$C$2:$C$101,MATCH($B1000,Raw_Customers!$A$2:$A$101,0)))</f>
        <v>Bidhannagar</v>
      </c>
      <c r="E1000" s="7" t="str">
        <f>"+91-"&amp;RIGHT("0000000000"&amp;INDEX(Raw_Customers!$D$2:$D$101,MATCH($B1000,Raw_Customers!$A$2:$A$101,0)),10)</f>
        <v>+91-7271590783</v>
      </c>
      <c r="F1000" s="7" t="str">
        <f>Raw_Orders!C1000</f>
        <v>52</v>
      </c>
      <c r="G1000" s="7" t="str">
        <f>INDEX(Raw_Products!$B$2:$B$71,MATCH($F1000,Raw_Products!$A$2:$A$71,0))</f>
        <v>Dolorum Box</v>
      </c>
      <c r="H1000" s="7" t="str">
        <f>INDEX(Raw_Products!$C$2:$C$71,MATCH($F1000,Raw_Products!$A$2:$A$71,0))</f>
        <v>Raksha Bandhan</v>
      </c>
      <c r="I1000" s="7">
        <f>VALUE(Raw_Orders!D1000)</f>
        <v>2</v>
      </c>
      <c r="J1000" s="11" t="str">
        <f>INDEX(Raw_Products!$D$2:$D$71,MATCH($F1000,Raw_Products!$A$2:$A$71,0))</f>
        <v>236</v>
      </c>
      <c r="K1000" s="11">
        <f t="shared" si="30"/>
        <v>472</v>
      </c>
      <c r="L1000" s="12">
        <f>DATE(VALUE(RIGHT(Raw_Orders!E1000,4)),VALUE(MID(Raw_Orders!E1000,4,2)),VALUE(LEFT(Raw_Orders!E1000,2)))</f>
        <v>44963</v>
      </c>
      <c r="M1000" s="12">
        <f>DATE(VALUE(RIGHT(Raw_Orders!G1000,4)),VALUE(MID(Raw_Orders!G1000,4,2)),VALUE(LEFT(Raw_Orders!G1000,2)))</f>
        <v>44967</v>
      </c>
      <c r="N1000" s="7">
        <f t="shared" si="31"/>
        <v>4</v>
      </c>
      <c r="O1000" s="7" t="str">
        <f>Raw_Orders!J1000</f>
        <v>Valentine's Day</v>
      </c>
      <c r="P1000" s="7" t="str">
        <f>Raw_Orders!I1000</f>
        <v>Miryalaguda</v>
      </c>
    </row>
    <row r="1001" spans="1:16">
      <c r="A1001" s="7" t="str">
        <f>Raw_Orders!A1001</f>
        <v>1000</v>
      </c>
      <c r="B1001" s="7" t="str">
        <f>Raw_Orders!B1001</f>
        <v>C012</v>
      </c>
      <c r="C1001" s="7" t="str">
        <f>INDEX(Raw_Customers!$B$2:$B$101,MATCH($B1001,Raw_Customers!$A$2:$A$101,0))</f>
        <v>Onkar Mangat</v>
      </c>
      <c r="D1001" s="7" t="str">
        <f>TRIM(INDEX(Raw_Customers!$C$2:$C$101,MATCH($B1001,Raw_Customers!$A$2:$A$101,0)))</f>
        <v>Bilaspur</v>
      </c>
      <c r="E1001" s="7" t="str">
        <f>"+91-"&amp;RIGHT("0000000000"&amp;INDEX(Raw_Customers!$D$2:$D$101,MATCH($B1001,Raw_Customers!$A$2:$A$101,0)),10)</f>
        <v>+91-9921125624</v>
      </c>
      <c r="F1001" s="7" t="str">
        <f>Raw_Orders!C1001</f>
        <v>27</v>
      </c>
      <c r="G1001" s="7" t="str">
        <f>INDEX(Raw_Products!$B$2:$B$71,MATCH($F1001,Raw_Products!$A$2:$A$71,0))</f>
        <v>Architecto Gift</v>
      </c>
      <c r="H1001" s="7" t="str">
        <f>INDEX(Raw_Products!$C$2:$C$71,MATCH($F1001,Raw_Products!$A$2:$A$71,0))</f>
        <v>Cake</v>
      </c>
      <c r="I1001" s="7">
        <f>VALUE(Raw_Orders!D1001)</f>
        <v>4</v>
      </c>
      <c r="J1001" s="11" t="str">
        <f>INDEX(Raw_Products!$D$2:$D$71,MATCH($F1001,Raw_Products!$A$2:$A$71,0))</f>
        <v>548</v>
      </c>
      <c r="K1001" s="11">
        <f t="shared" si="30"/>
        <v>2192</v>
      </c>
      <c r="L1001" s="12">
        <f>DATE(VALUE(RIGHT(Raw_Orders!E1001,4)),VALUE(MID(Raw_Orders!E1001,4,2)),VALUE(LEFT(Raw_Orders!E1001,2)))</f>
        <v>45163</v>
      </c>
      <c r="M1001" s="12">
        <f>DATE(VALUE(RIGHT(Raw_Orders!G1001,4)),VALUE(MID(Raw_Orders!G1001,4,2)),VALUE(LEFT(Raw_Orders!G1001,2)))</f>
        <v>45169</v>
      </c>
      <c r="N1001" s="7">
        <f t="shared" si="31"/>
        <v>6</v>
      </c>
      <c r="O1001" s="7" t="str">
        <f>Raw_Orders!J1001</f>
        <v>Raksha Bandhan</v>
      </c>
      <c r="P1001" s="7" t="str">
        <f>Raw_Orders!I1001</f>
        <v>Tadepalligudem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2"/>
  <sheetViews>
    <sheetView showGridLines="0" workbookViewId="0">
      <selection activeCell="A1" sqref="A1"/>
    </sheetView>
  </sheetViews>
  <sheetFormatPr defaultColWidth="8.68181818181818" defaultRowHeight="14.5" outlineLevelCol="6"/>
  <cols>
    <col min="1" max="1" width="3" customWidth="1"/>
    <col min="2" max="2" width="18" customWidth="1"/>
    <col min="3" max="3" width="14" customWidth="1"/>
    <col min="4" max="4" width="10" customWidth="1"/>
    <col min="5" max="5" width="3" customWidth="1"/>
    <col min="6" max="6" width="18" customWidth="1"/>
    <col min="7" max="7" width="14" customWidth="1"/>
  </cols>
  <sheetData>
    <row r="2" ht="20" spans="2:7">
      <c r="B2" s="1" t="s">
        <v>4274</v>
      </c>
    </row>
    <row r="4" ht="15.5" spans="2:7">
      <c r="B4" s="5" t="s">
        <v>4275</v>
      </c>
      <c r="F4" s="5" t="s">
        <v>4276</v>
      </c>
    </row>
    <row r="5" spans="2:7">
      <c r="B5" s="6" t="s">
        <v>4153</v>
      </c>
      <c r="C5" s="6" t="s">
        <v>4277</v>
      </c>
      <c r="D5" s="6" t="s">
        <v>4278</v>
      </c>
      <c r="F5" s="6" t="s">
        <v>603</v>
      </c>
      <c r="G5" s="6" t="s">
        <v>4277</v>
      </c>
    </row>
    <row r="6" spans="2:7">
      <c r="B6" s="7" t="s">
        <v>4169</v>
      </c>
      <c r="C6" s="8">
        <f>SUMIFS(Cleaned_Data!$K$2:$K$1001,Cleaned_Data!$H$2:$H$1001,B6)</f>
        <v>329862</v>
      </c>
      <c r="D6" s="9">
        <f>COUNTIFS(Cleaned_Data!$H$2:$H$1001,B6)</f>
        <v>118</v>
      </c>
      <c r="F6" s="7" t="s">
        <v>754</v>
      </c>
      <c r="G6" s="8">
        <f>SUMIFS(Cleaned_Data!$K$2:$K$1001,Cleaned_Data!$O$2:$O$1001,F6)</f>
        <v>586176</v>
      </c>
    </row>
    <row r="7" spans="2:7">
      <c r="B7" s="7" t="s">
        <v>4161</v>
      </c>
      <c r="C7" s="8">
        <f>SUMIFS(Cleaned_Data!$K$2:$K$1001,Cleaned_Data!$H$2:$H$1001,B7)</f>
        <v>1005645</v>
      </c>
      <c r="D7" s="9">
        <f>COUNTIFS(Cleaned_Data!$H$2:$H$1001,B7)</f>
        <v>273</v>
      </c>
      <c r="F7" s="7" t="s">
        <v>613</v>
      </c>
      <c r="G7" s="8">
        <f>SUMIFS(Cleaned_Data!$K$2:$K$1001,Cleaned_Data!$O$2:$O$1001,F7)</f>
        <v>674634</v>
      </c>
    </row>
    <row r="8" spans="2:7">
      <c r="B8" s="7" t="s">
        <v>4177</v>
      </c>
      <c r="C8" s="8">
        <f>SUMIFS(Cleaned_Data!$K$2:$K$1001,Cleaned_Data!$H$2:$H$1001,B8)</f>
        <v>201151</v>
      </c>
      <c r="D8" s="9">
        <f>COUNTIFS(Cleaned_Data!$H$2:$H$1001,B8)</f>
        <v>74</v>
      </c>
      <c r="F8" s="7" t="s">
        <v>633</v>
      </c>
      <c r="G8" s="8">
        <f>SUMIFS(Cleaned_Data!$K$2:$K$1001,Cleaned_Data!$O$2:$O$1001,F8)</f>
        <v>408194</v>
      </c>
    </row>
    <row r="9" spans="2:7">
      <c r="B9" s="7" t="s">
        <v>4159</v>
      </c>
      <c r="C9" s="8">
        <f>SUMIFS(Cleaned_Data!$K$2:$K$1001,Cleaned_Data!$H$2:$H$1001,B9)</f>
        <v>212281</v>
      </c>
      <c r="D9" s="9">
        <f>COUNTIFS(Cleaned_Data!$H$2:$H$1001,B9)</f>
        <v>99</v>
      </c>
      <c r="F9" s="7" t="s">
        <v>621</v>
      </c>
      <c r="G9" s="8">
        <f>SUMIFS(Cleaned_Data!$K$2:$K$1001,Cleaned_Data!$O$2:$O$1001,F9)</f>
        <v>313783</v>
      </c>
    </row>
    <row r="10" spans="2:7">
      <c r="B10" s="7" t="s">
        <v>648</v>
      </c>
      <c r="C10" s="8">
        <f>SUMIFS(Cleaned_Data!$K$2:$K$1001,Cleaned_Data!$H$2:$H$1001,B10)</f>
        <v>297372</v>
      </c>
      <c r="D10" s="9">
        <f>COUNTIFS(Cleaned_Data!$H$2:$H$1001,B10)</f>
        <v>99</v>
      </c>
      <c r="F10" s="7" t="s">
        <v>682</v>
      </c>
      <c r="G10" s="8">
        <f>SUMIFS(Cleaned_Data!$K$2:$K$1001,Cleaned_Data!$O$2:$O$1001,F10)</f>
        <v>574682</v>
      </c>
    </row>
    <row r="11" spans="2:7">
      <c r="B11" s="7" t="s">
        <v>4156</v>
      </c>
      <c r="C11" s="8">
        <f>SUMIFS(Cleaned_Data!$K$2:$K$1001,Cleaned_Data!$H$2:$H$1001,B11)</f>
        <v>740831</v>
      </c>
      <c r="D11" s="9">
        <f>COUNTIFS(Cleaned_Data!$H$2:$H$1001,B11)</f>
        <v>166</v>
      </c>
      <c r="F11" s="7" t="s">
        <v>648</v>
      </c>
      <c r="G11" s="8">
        <f>SUMIFS(Cleaned_Data!$K$2:$K$1001,Cleaned_Data!$O$2:$O$1001,F11)</f>
        <v>631585</v>
      </c>
    </row>
    <row r="12" spans="2:7">
      <c r="B12" s="7" t="s">
        <v>4164</v>
      </c>
      <c r="C12" s="8">
        <f>SUMIFS(Cleaned_Data!$K$2:$K$1001,Cleaned_Data!$H$2:$H$1001,B12)</f>
        <v>733842</v>
      </c>
      <c r="D12" s="9">
        <f>COUNTIFS(Cleaned_Data!$H$2:$H$1001,B12)</f>
        <v>171</v>
      </c>
      <c r="F12" s="7" t="s">
        <v>640</v>
      </c>
      <c r="G12" s="8">
        <f>SUMIFS(Cleaned_Data!$K$2:$K$1001,Cleaned_Data!$O$2:$O$1001,F12)</f>
        <v>331930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"/>
  <sheetViews>
    <sheetView showGridLines="0" zoomScale="51" zoomScaleNormal="51" workbookViewId="0">
      <selection activeCell="A1" sqref="A1"/>
    </sheetView>
  </sheetViews>
  <sheetFormatPr defaultColWidth="8.68181818181818" defaultRowHeight="14.5" outlineLevelRow="5"/>
  <cols>
    <col min="1" max="1" width="3" customWidth="1"/>
    <col min="2" max="2" width="16" customWidth="1"/>
    <col min="3" max="3" width="4" customWidth="1"/>
    <col min="4" max="4" width="16" customWidth="1"/>
    <col min="5" max="5" width="4" customWidth="1"/>
    <col min="6" max="6" width="16" customWidth="1"/>
    <col min="7" max="7" width="4" customWidth="1"/>
    <col min="8" max="8" width="16" customWidth="1"/>
  </cols>
  <sheetData>
    <row r="2" ht="20" spans="2:9">
      <c r="B2" s="1" t="s">
        <v>4279</v>
      </c>
    </row>
    <row r="4" spans="2:9">
      <c r="B4" s="2" t="s">
        <v>4280</v>
      </c>
      <c r="C4" s="2"/>
      <c r="D4" s="2" t="s">
        <v>4281</v>
      </c>
      <c r="E4" s="2"/>
      <c r="F4" s="2" t="s">
        <v>4282</v>
      </c>
      <c r="G4" s="2"/>
      <c r="H4" s="2" t="s">
        <v>4283</v>
      </c>
      <c r="I4" s="2"/>
    </row>
    <row r="5" spans="2:9">
      <c r="B5" s="3">
        <f>COUNTA(Cleaned_Data!A2:A1001)</f>
        <v>1000</v>
      </c>
      <c r="C5" s="3"/>
      <c r="D5" s="4">
        <f>SUM(Cleaned_Data!K2:K1001)</f>
        <v>3520984</v>
      </c>
      <c r="E5" s="4"/>
      <c r="F5" s="4">
        <f>AVERAGE(Cleaned_Data!K2:K1001)</f>
        <v>3520.984</v>
      </c>
      <c r="G5" s="4"/>
      <c r="H5" s="3" t="str">
        <f>INDEX(Summary!B6:B12,MATCH(MAX(Summary!C6:C12),Summary!C6:C12,0))</f>
        <v>Colors</v>
      </c>
      <c r="I5" s="3"/>
    </row>
    <row r="6" spans="2:9">
      <c r="B6" s="3"/>
      <c r="C6" s="3"/>
      <c r="D6" s="4"/>
      <c r="E6" s="4"/>
      <c r="F6" s="4"/>
      <c r="G6" s="4"/>
      <c r="H6" s="3"/>
      <c r="I6" s="3"/>
    </row>
  </sheetData>
  <mergeCells count="8">
    <mergeCell ref="B4:C4"/>
    <mergeCell ref="D4:E4"/>
    <mergeCell ref="F4:G4"/>
    <mergeCell ref="H4:I4"/>
    <mergeCell ref="B5:C6"/>
    <mergeCell ref="D5:E6"/>
    <mergeCell ref="F5:G6"/>
    <mergeCell ref="H5:I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Raw_Customers</vt:lpstr>
      <vt:lpstr>Raw_Orders</vt:lpstr>
      <vt:lpstr>Raw_Products</vt:lpstr>
      <vt:lpstr>Cleaned_Data</vt:lpstr>
      <vt:lpstr>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1</cp:revision>
  <dcterms:created xsi:type="dcterms:W3CDTF">2026-07-15T17:45:00Z</dcterms:created>
  <dcterms:modified xsi:type="dcterms:W3CDTF">2026-07-15T17:50:57Z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C9F1193ED2A94A768A6D3A88A687C252_12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